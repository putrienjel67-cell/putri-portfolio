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48e750f52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M Source" sheetId="1" r:id="Ra195736a2718450f"/>
    <x:sheet xmlns:r="http://schemas.openxmlformats.org/officeDocument/2006/relationships" name="Web Orders Source" sheetId="2" r:id="R4bc23d27a647457a"/>
    <x:sheet xmlns:r="http://schemas.openxmlformats.org/officeDocument/2006/relationships" name="Support Source" sheetId="3" r:id="R248c4568d90b49c5"/>
    <x:sheet xmlns:r="http://schemas.openxmlformats.org/officeDocument/2006/relationships" name="Merge Rules" sheetId="4" r:id="Rd33b6b7a2f0046f0"/>
    <x:sheet xmlns:r="http://schemas.openxmlformats.org/officeDocument/2006/relationships" name="Normalized Combined" sheetId="5" r:id="Rf287e3da83f24fe6"/>
    <x:sheet xmlns:r="http://schemas.openxmlformats.org/officeDocument/2006/relationships" name="Master Customer Data" sheetId="6" r:id="Rc0e49987186f426d"/>
    <x:sheet xmlns:r="http://schemas.openxmlformats.org/officeDocument/2006/relationships" name="QA Summary" sheetId="7" r:id="R0728eca2e6484ca6"/>
    <x:sheet xmlns:r="http://schemas.openxmlformats.org/officeDocument/2006/relationships" name="Dashboard" sheetId="8" r:id="R29b3dcf233464dbd"/>
    <x:sheet xmlns:r="http://schemas.openxmlformats.org/officeDocument/2006/relationships" name="Exception Queue" sheetId="9" r:id="R13c1fe38ad9845a9"/>
    <x:sheet xmlns:r="http://schemas.openxmlformats.org/officeDocument/2006/relationships" name="Merge Admin SOP" sheetId="10" r:id="R06841f429f9742eb"/>
    <x:sheet xmlns:r="http://schemas.openxmlformats.org/officeDocument/2006/relationships" name="Project Notes" sheetId="11" r:id="R12e974fa9a60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i/>
      <x:sz val="11"/>
      <x:color rgb="FF1111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3"/>
      <x:color rgb="FFFFFFFF"/>
      <x:name val="Carlito"/>
    </x:font>
    <x:font>
      <x:b/>
      <x:sz val="13"/>
      <x:color rgb="FF111111"/>
      <x:name val="Carlito"/>
    </x:font>
    <x:font>
      <x:b/>
      <x:sz val="11"/>
      <x:color rgb="FFC6FF00"/>
      <x:name val="Carlito"/>
    </x:font>
    <x:font>
      <x:b/>
      <x:sz val="10"/>
      <x:color rgb="FFFFFFFF"/>
      <x:name val="Aptos"/>
    </x:font>
    <x:font>
      <x:b/>
      <x:i/>
      <x:sz val="10"/>
      <x:color rgb="FF111111"/>
      <x:name val="Aptos"/>
    </x:font>
    <x:font>
      <x:sz val="10"/>
      <x:name val="Aptos"/>
    </x:font>
    <x:font>
      <x:sz val="10"/>
      <x:color rgb="FF0000FF"/>
      <x:name val="Aptos"/>
    </x:font>
    <x:font>
      <x:b/>
      <x:sz val="10"/>
      <x:color rgb="FF111111"/>
      <x:name val="Aptos"/>
    </x:font>
    <x:font>
      <x:b/>
      <x:sz val="10"/>
      <x:color rgb="FFC6FF00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6FF00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D9EAD3"/>
      </x:patternFill>
    </x:fill>
    <x:fill>
      <x:patternFill patternType="solid">
        <x:fgColor rgb="FFFCE4C5"/>
      </x:patternFill>
    </x:fill>
    <x:fill>
      <x:patternFill patternType="solid">
        <x:fgColor rgb="FFF4CCCC"/>
      </x:patternFill>
    </x:fill>
    <x:fill>
      <x:patternFill patternType="solid">
        <x:fgColor rgb="FF2B2B2B"/>
      </x:patternFill>
    </x:fill>
  </x:fills>
  <x:borders count="20">
    <x:border/>
    <x:border>
      <x:bottom style="thin">
        <x:color rgb="FFCBD5D1"/>
      </x:bottom>
    </x:border>
    <x:border>
      <x:top style="thin">
        <x:color rgb="FFCBD5D1"/>
      </x:top>
      <x:bottom style="thin">
        <x:color rgb="FFCBD5D1"/>
      </x:bottom>
    </x:border>
    <x:border>
      <x:top style="thin">
        <x:color rgb="FFCBD5D1"/>
      </x:top>
    </x:border>
    <x:border>
      <x:left style="medium">
        <x:color rgb="FF17365D"/>
      </x:left>
      <x:top style="medium">
        <x:color rgb="FF17365D"/>
      </x:top>
    </x:border>
    <x:border>
      <x:right style="medium">
        <x:color rgb="FF17365D"/>
      </x:right>
      <x:top style="medium">
        <x:color rgb="FF17365D"/>
      </x:top>
    </x:border>
    <x:border>
      <x:left style="medium">
        <x:color rgb="FF17365D"/>
      </x:left>
    </x:border>
    <x:border>
      <x:right style="medium">
        <x:color rgb="FF17365D"/>
      </x:right>
    </x:border>
    <x:border>
      <x:left style="medium">
        <x:color rgb="FF17365D"/>
      </x:left>
      <x:bottom style="medium">
        <x:color rgb="FF17365D"/>
      </x:bottom>
    </x:border>
    <x:border>
      <x:right style="medium">
        <x:color rgb="FF17365D"/>
      </x:right>
      <x:bottom style="medium">
        <x:color rgb="FF17365D"/>
      </x:bottom>
    </x:border>
    <x:border>
      <x:top style="medium">
        <x:color rgb="FF17365D"/>
      </x:top>
    </x:border>
    <x:border>
      <x:bottom style="medium">
        <x:color rgb="FF17365D"/>
      </x:bottom>
    </x:border>
    <x:border>
      <x:left style="medium">
        <x:color rgb="FFC6FF00"/>
      </x:left>
      <x:top style="medium">
        <x:color rgb="FFC6FF00"/>
      </x:top>
    </x:border>
    <x:border>
      <x:top style="medium">
        <x:color rgb="FFC6FF00"/>
      </x:top>
    </x:border>
    <x:border>
      <x:right style="medium">
        <x:color rgb="FFC6FF00"/>
      </x:right>
      <x:top style="medium">
        <x:color rgb="FFC6FF00"/>
      </x:top>
    </x:border>
    <x:border>
      <x:left style="medium">
        <x:color rgb="FFC6FF00"/>
      </x:left>
    </x:border>
    <x:border>
      <x:right style="medium">
        <x:color rgb="FFC6FF00"/>
      </x:right>
    </x:border>
    <x:border>
      <x:left style="medium">
        <x:color rgb="FFC6FF00"/>
      </x:left>
      <x:bottom style="medium">
        <x:color rgb="FFC6FF00"/>
      </x:bottom>
    </x:border>
    <x:border>
      <x:bottom style="medium">
        <x:color rgb="FFC6FF00"/>
      </x:bottom>
    </x:border>
    <x:border>
      <x:right style="medium">
        <x:color rgb="FFC6FF00"/>
      </x:right>
      <x:bottom style="medium">
        <x:color rgb="FFC6FF00"/>
      </x:bottom>
    </x:border>
  </x:borders>
  <x:cellStyleXfs count="1">
    <x:xf numFmtId="0" fontId="0" fillId="0" borderId="0"/>
  </x:cellStyleXfs>
  <x:cellXfs count="2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0" fontId="0" fillId="6" borderId="2" xfId="0" applyNumberFormat="1" applyFont="1" applyFill="1" applyBorder="1" applyAlignment="1">
      <x:alignment vertical="center"/>
    </x:xf>
    <x:xf numFmtId="200" fontId="0" fillId="5" borderId="2" xfId="0" applyNumberFormat="1" applyFont="1" applyFill="1" applyBorder="1" applyAlignment="1">
      <x:alignment vertical="center"/>
    </x:xf>
    <x:xf numFmtId="200" fontId="0" fillId="6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200" fontId="4" fillId="6" borderId="3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6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horizontal="center" wrapText="1"/>
    </x:xf>
    <x:xf numFmtId="0" fontId="6" fillId="7" borderId="5" xfId="0" applyNumberFormat="1" applyFont="1" applyFill="1" applyBorder="1" applyAlignment="1">
      <x:alignment horizontal="center" wrapText="1"/>
    </x:xf>
    <x:xf numFmtId="0" fontId="6" fillId="7" borderId="6" xfId="0" applyNumberFormat="1" applyFont="1" applyFill="1" applyBorder="1" applyAlignment="1">
      <x:alignment horizontal="center" wrapText="1"/>
    </x:xf>
    <x:xf numFmtId="0" fontId="6" fillId="7" borderId="7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9" xfId="0" applyNumberFormat="1" applyFont="1" applyFill="1" applyBorder="1" applyAlignment="1">
      <x:alignment horizont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4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wrapText="1"/>
    </x:xf>
    <x:xf numFmtId="0" fontId="6" fillId="8" borderId="6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8" borderId="9" xfId="0" applyNumberFormat="1" applyFont="1" applyFill="1" applyBorder="1" applyAlignment="1">
      <x:alignment wrapText="1"/>
    </x:xf>
    <x:xf numFmtId="0" fontId="6" fillId="8" borderId="4" xfId="0" applyNumberFormat="1" applyFont="1" applyFill="1" applyBorder="1" applyAlignment="1">
      <x:alignment horizontal="center" wrapText="1"/>
    </x:xf>
    <x:xf numFmtId="0" fontId="6" fillId="8" borderId="5" xfId="0" applyNumberFormat="1" applyFont="1" applyFill="1" applyBorder="1" applyAlignment="1">
      <x:alignment horizontal="center" wrapText="1"/>
    </x:xf>
    <x:xf numFmtId="0" fontId="6" fillId="8" borderId="6" xfId="0" applyNumberFormat="1" applyFont="1" applyFill="1" applyBorder="1" applyAlignment="1">
      <x:alignment horizontal="center" wrapText="1"/>
    </x:xf>
    <x:xf numFmtId="0" fontId="6" fillId="8" borderId="7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9" xfId="0" applyNumberFormat="1" applyFont="1" applyFill="1" applyBorder="1" applyAlignment="1">
      <x:alignment horizont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4" xfId="0" applyNumberFormat="1" applyFont="1" applyFill="1" applyBorder="1"/>
    <x:xf numFmtId="0" fontId="6" fillId="9" borderId="10" xfId="0" applyNumberFormat="1" applyFont="1" applyFill="1" applyBorder="1"/>
    <x:xf numFmtId="0" fontId="6" fillId="9" borderId="5" xfId="0" applyNumberFormat="1" applyFont="1" applyFill="1" applyBorder="1"/>
    <x:xf numFmtId="0" fontId="6" fillId="9" borderId="6" xfId="0" applyNumberFormat="1" applyFont="1" applyFill="1" applyBorder="1"/>
    <x:xf numFmtId="0" fontId="6" fillId="9" borderId="7" xfId="0" applyNumberFormat="1" applyFont="1" applyFill="1" applyBorder="1"/>
    <x:xf numFmtId="0" fontId="6" fillId="9" borderId="8" xfId="0" applyNumberFormat="1" applyFont="1" applyFill="1" applyBorder="1"/>
    <x:xf numFmtId="0" fontId="6" fillId="9" borderId="11" xfId="0" applyNumberFormat="1" applyFont="1" applyFill="1" applyBorder="1"/>
    <x:xf numFmtId="0" fontId="6" fillId="9" borderId="9" xfId="0" applyNumberFormat="1" applyFont="1" applyFill="1" applyBorder="1"/>
    <x:xf numFmtId="0" fontId="6" fillId="9" borderId="4" xfId="0" applyNumberFormat="1" applyFont="1" applyFill="1" applyBorder="1" applyAlignment="1">
      <x:alignment wrapText="1"/>
    </x:xf>
    <x:xf numFmtId="0" fontId="6" fillId="9" borderId="10" xfId="0" applyNumberFormat="1" applyFont="1" applyFill="1" applyBorder="1" applyAlignment="1">
      <x:alignment wrapText="1"/>
    </x:xf>
    <x:xf numFmtId="0" fontId="6" fillId="9" borderId="5" xfId="0" applyNumberFormat="1" applyFont="1" applyFill="1" applyBorder="1" applyAlignment="1">
      <x:alignment wrapText="1"/>
    </x:xf>
    <x:xf numFmtId="0" fontId="6" fillId="9" borderId="6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7" xfId="0" applyNumberFormat="1" applyFont="1" applyFill="1" applyBorder="1" applyAlignment="1">
      <x:alignment wrapText="1"/>
    </x:xf>
    <x:xf numFmtId="0" fontId="6" fillId="9" borderId="8" xfId="0" applyNumberFormat="1" applyFont="1" applyFill="1" applyBorder="1" applyAlignment="1">
      <x:alignment wrapText="1"/>
    </x:xf>
    <x:xf numFmtId="0" fontId="6" fillId="9" borderId="11" xfId="0" applyNumberFormat="1" applyFont="1" applyFill="1" applyBorder="1" applyAlignment="1">
      <x:alignment wrapText="1"/>
    </x:xf>
    <x:xf numFmtId="0" fontId="6" fillId="9" borderId="9" xfId="0" applyNumberFormat="1" applyFont="1" applyFill="1" applyBorder="1" applyAlignment="1">
      <x:alignment wrapText="1"/>
    </x:xf>
    <x:xf numFmtId="0" fontId="6" fillId="9" borderId="4" xfId="0" applyNumberFormat="1" applyFont="1" applyFill="1" applyBorder="1" applyAlignment="1">
      <x:alignment horizontal="center" wrapText="1"/>
    </x:xf>
    <x:xf numFmtId="0" fontId="6" fillId="9" borderId="10" xfId="0" applyNumberFormat="1" applyFont="1" applyFill="1" applyBorder="1" applyAlignment="1">
      <x:alignment horizontal="center" wrapText="1"/>
    </x:xf>
    <x:xf numFmtId="0" fontId="6" fillId="9" borderId="5" xfId="0" applyNumberFormat="1" applyFont="1" applyFill="1" applyBorder="1" applyAlignment="1">
      <x:alignment horizontal="center" wrapText="1"/>
    </x:xf>
    <x:xf numFmtId="0" fontId="6" fillId="9" borderId="6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7" xfId="0" applyNumberFormat="1" applyFont="1" applyFill="1" applyBorder="1" applyAlignment="1">
      <x:alignment horizontal="center" wrapText="1"/>
    </x:xf>
    <x:xf numFmtId="0" fontId="6" fillId="9" borderId="8" xfId="0" applyNumberFormat="1" applyFont="1" applyFill="1" applyBorder="1" applyAlignment="1">
      <x:alignment horizontal="center" wrapText="1"/>
    </x:xf>
    <x:xf numFmtId="0" fontId="6" fillId="9" borderId="11" xfId="0" applyNumberFormat="1" applyFont="1" applyFill="1" applyBorder="1" applyAlignment="1">
      <x:alignment horizontal="center" wrapText="1"/>
    </x:xf>
    <x:xf numFmtId="0" fontId="6" fillId="9" borderId="9" xfId="0" applyNumberFormat="1" applyFont="1" applyFill="1" applyBorder="1" applyAlignment="1">
      <x:alignment horizont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11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2" xfId="0" applyNumberFormat="1" applyFont="1" applyFill="1" applyBorder="1"/>
    <x:xf numFmtId="0" fontId="7" fillId="10" borderId="13" xfId="0" applyNumberFormat="1" applyFont="1" applyFill="1" applyBorder="1"/>
    <x:xf numFmtId="0" fontId="7" fillId="10" borderId="14" xfId="0" applyNumberFormat="1" applyFont="1" applyFill="1" applyBorder="1"/>
    <x:xf numFmtId="0" fontId="7" fillId="10" borderId="15" xfId="0" applyNumberFormat="1" applyFont="1" applyFill="1" applyBorder="1"/>
    <x:xf numFmtId="0" fontId="7" fillId="10" borderId="16" xfId="0" applyNumberFormat="1" applyFont="1" applyFill="1" applyBorder="1"/>
    <x:xf numFmtId="0" fontId="7" fillId="10" borderId="17" xfId="0" applyNumberFormat="1" applyFont="1" applyFill="1" applyBorder="1"/>
    <x:xf numFmtId="0" fontId="7" fillId="10" borderId="18" xfId="0" applyNumberFormat="1" applyFont="1" applyFill="1" applyBorder="1"/>
    <x:xf numFmtId="0" fontId="7" fillId="10" borderId="19" xfId="0" applyNumberFormat="1" applyFont="1" applyFill="1" applyBorder="1"/>
    <x:xf numFmtId="0" fontId="7" fillId="10" borderId="12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0" fontId="7" fillId="10" borderId="14" xfId="0" applyNumberFormat="1" applyFont="1" applyFill="1" applyBorder="1" applyAlignment="1">
      <x:alignment wrapText="1"/>
    </x:xf>
    <x:xf numFmtId="0" fontId="7" fillId="10" borderId="15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0" fontId="7" fillId="10" borderId="16" xfId="0" applyNumberFormat="1" applyFont="1" applyFill="1" applyBorder="1" applyAlignment="1">
      <x:alignment wrapText="1"/>
    </x:xf>
    <x:xf numFmtId="0" fontId="7" fillId="10" borderId="17" xfId="0" applyNumberFormat="1" applyFont="1" applyFill="1" applyBorder="1" applyAlignment="1">
      <x:alignment wrapText="1"/>
    </x:xf>
    <x:xf numFmtId="0" fontId="7" fillId="10" borderId="18" xfId="0" applyNumberFormat="1" applyFont="1" applyFill="1" applyBorder="1" applyAlignment="1">
      <x:alignment wrapText="1"/>
    </x:xf>
    <x:xf numFmtId="0" fontId="7" fillId="10" borderId="19" xfId="0" applyNumberFormat="1" applyFont="1" applyFill="1" applyBorder="1" applyAlignment="1">
      <x:alignment wrapText="1"/>
    </x:xf>
    <x:xf numFmtId="0" fontId="7" fillId="10" borderId="12" xfId="0" applyNumberFormat="1" applyFont="1" applyFill="1" applyBorder="1" applyAlignment="1">
      <x:alignment vertical="center" wrapText="1"/>
    </x:xf>
    <x:xf numFmtId="0" fontId="7" fillId="10" borderId="13" xfId="0" applyNumberFormat="1" applyFont="1" applyFill="1" applyBorder="1" applyAlignment="1">
      <x:alignment vertical="center" wrapText="1"/>
    </x:xf>
    <x:xf numFmtId="0" fontId="7" fillId="10" borderId="14" xfId="0" applyNumberFormat="1" applyFont="1" applyFill="1" applyBorder="1" applyAlignment="1">
      <x:alignment vertical="center" wrapText="1"/>
    </x:xf>
    <x:xf numFmtId="0" fontId="7" fillId="10" borderId="15" xfId="0" applyNumberFormat="1" applyFont="1" applyFill="1" applyBorder="1" applyAlignment="1">
      <x:alignment vertical="center" wrapText="1"/>
    </x:xf>
    <x:xf numFmtId="0" fontId="7" fillId="10" borderId="0" xfId="0" applyNumberFormat="1" applyFont="1" applyFill="1" applyBorder="1" applyAlignment="1">
      <x:alignment vertical="center" wrapText="1"/>
    </x:xf>
    <x:xf numFmtId="0" fontId="7" fillId="10" borderId="16" xfId="0" applyNumberFormat="1" applyFont="1" applyFill="1" applyBorder="1" applyAlignment="1">
      <x:alignment vertical="center" wrapText="1"/>
    </x:xf>
    <x:xf numFmtId="0" fontId="7" fillId="10" borderId="17" xfId="0" applyNumberFormat="1" applyFont="1" applyFill="1" applyBorder="1" applyAlignment="1">
      <x:alignment vertical="center" wrapText="1"/>
    </x:xf>
    <x:xf numFmtId="0" fontId="7" fillId="10" borderId="18" xfId="0" applyNumberFormat="1" applyFont="1" applyFill="1" applyBorder="1" applyAlignment="1">
      <x:alignment vertical="center" wrapText="1"/>
    </x:xf>
    <x:xf numFmtId="0" fontId="7" fillId="10" borderId="19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vertical="center"/>
    </x:xf>
    <x:xf numFmtId="200" fontId="11" fillId="5" borderId="1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vertical="center"/>
    </x:xf>
    <x:xf numFmtId="200" fontId="11" fillId="6" borderId="2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200" fontId="11" fillId="5" borderId="2" xfId="0" applyNumberFormat="1" applyFont="1" applyFill="1" applyBorder="1" applyAlignment="1">
      <x:alignment vertical="center"/>
    </x:xf>
    <x:xf numFmtId="0" fontId="11" fillId="6" borderId="3" xfId="0" applyNumberFormat="1" applyFont="1" applyFill="1" applyBorder="1" applyAlignment="1">
      <x:alignment vertical="center"/>
    </x:xf>
    <x:xf numFmtId="200" fontId="11" fillId="6" borderId="3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0" fontId="10" fillId="5" borderId="1" xfId="0" applyNumberFormat="1" applyFont="1" applyFill="1" applyBorder="1" applyAlignment="1">
      <x:alignment vertical="center"/>
    </x:xf>
    <x:xf numFmtId="0" fontId="10" fillId="6" borderId="2" xfId="0" applyNumberFormat="1" applyFont="1" applyFill="1" applyBorder="1" applyAlignment="1">
      <x:alignment vertical="center"/>
    </x:xf>
    <x:xf numFmtId="200" fontId="10" fillId="6" borderId="2" xfId="0" applyNumberFormat="1" applyFont="1" applyFill="1" applyBorder="1" applyAlignment="1">
      <x:alignment vertical="center"/>
    </x:xf>
    <x:xf numFmtId="0" fontId="10" fillId="5" borderId="2" xfId="0" applyNumberFormat="1" applyFont="1" applyFill="1" applyBorder="1" applyAlignment="1">
      <x:alignment vertical="center"/>
    </x:xf>
    <x:xf numFmtId="200" fontId="10" fillId="5" borderId="2" xfId="0" applyNumberFormat="1" applyFont="1" applyFill="1" applyBorder="1" applyAlignment="1">
      <x:alignment vertical="center"/>
    </x:xf>
    <x:xf numFmtId="0" fontId="10" fillId="6" borderId="3" xfId="0" applyNumberFormat="1" applyFont="1" applyFill="1" applyBorder="1" applyAlignment="1">
      <x:alignment vertical="center"/>
    </x:xf>
    <x:xf numFmtId="200" fontId="10" fillId="6" borderId="3" xfId="0" applyNumberFormat="1" applyFont="1" applyFill="1" applyBorder="1" applyAlignment="1">
      <x:alignment vertical="center"/>
    </x:xf>
    <x:xf numFmtId="0" fontId="10" fillId="7" borderId="1" xfId="0" applyNumberFormat="1" applyFont="1" applyFill="1" applyBorder="1" applyAlignment="1">
      <x:alignment vertical="center"/>
    </x:xf>
    <x:xf numFmtId="0" fontId="10" fillId="7" borderId="2" xfId="0" applyNumberFormat="1" applyFont="1" applyFill="1" applyBorder="1" applyAlignment="1">
      <x:alignment vertical="center"/>
    </x:xf>
    <x:xf numFmtId="0" fontId="10" fillId="7" borderId="3" xfId="0" applyNumberFormat="1" applyFont="1" applyFill="1" applyBorder="1" applyAlignment="1">
      <x:alignment vertical="center"/>
    </x:xf>
    <x:xf numFmtId="0" fontId="8" fillId="2" borderId="4" xfId="0" applyNumberFormat="1" applyFont="1" applyFill="1" applyBorder="1" applyAlignment="1">
      <x:alignment horizontal="center" vertical="center" wrapText="1"/>
    </x:xf>
    <x:xf numFmtId="0" fontId="8" fillId="2" borderId="5" xfId="0" applyNumberFormat="1" applyFont="1" applyFill="1" applyBorder="1" applyAlignment="1">
      <x:alignment horizontal="center" vertical="center" wrapText="1"/>
    </x:xf>
    <x:xf numFmtId="0" fontId="12" fillId="7" borderId="4" xfId="0" applyNumberFormat="1" applyFont="1" applyFill="1" applyBorder="1" applyAlignment="1">
      <x:alignment horizontal="center" vertical="center" wrapText="1"/>
    </x:xf>
    <x:xf numFmtId="0" fontId="12" fillId="7" borderId="5" xfId="0" applyNumberFormat="1" applyFont="1" applyFill="1" applyBorder="1" applyAlignment="1">
      <x:alignment horizontal="center" vertical="center" wrapText="1"/>
    </x:xf>
    <x:xf numFmtId="0" fontId="12" fillId="8" borderId="4" xfId="0" applyNumberFormat="1" applyFont="1" applyFill="1" applyBorder="1" applyAlignment="1">
      <x:alignment horizontal="center" vertical="center" wrapText="1"/>
    </x:xf>
    <x:xf numFmtId="0" fontId="12" fillId="8" borderId="5" xfId="0" applyNumberFormat="1" applyFont="1" applyFill="1" applyBorder="1" applyAlignment="1">
      <x:alignment horizontal="center" vertical="center" wrapText="1"/>
    </x:xf>
    <x:xf numFmtId="0" fontId="12" fillId="9" borderId="4" xfId="0" applyNumberFormat="1" applyFont="1" applyFill="1" applyBorder="1" applyAlignment="1">
      <x:alignment horizontal="center" vertical="center" wrapText="1"/>
    </x:xf>
    <x:xf numFmtId="0" fontId="12" fillId="9" borderId="10" xfId="0" applyNumberFormat="1" applyFont="1" applyFill="1" applyBorder="1" applyAlignment="1">
      <x:alignment horizontal="center" vertical="center" wrapText="1"/>
    </x:xf>
    <x:xf numFmtId="0" fontId="12" fillId="9" borderId="5" xfId="0" applyNumberFormat="1" applyFont="1" applyFill="1" applyBorder="1" applyAlignment="1">
      <x:alignment horizontal="center" vertical="center" wrapText="1"/>
    </x:xf>
    <x:xf numFmtId="0" fontId="8" fillId="2" borderId="6" xfId="0" applyNumberFormat="1" applyFont="1" applyFill="1" applyBorder="1" applyAlignment="1">
      <x:alignment horizontal="center" vertical="center" wrapText="1"/>
    </x:xf>
    <x:xf numFmtId="0" fontId="8" fillId="2" borderId="7" xfId="0" applyNumberFormat="1" applyFont="1" applyFill="1" applyBorder="1" applyAlignment="1">
      <x:alignment horizontal="center" vertical="center" wrapText="1"/>
    </x:xf>
    <x:xf numFmtId="0" fontId="12" fillId="7" borderId="6" xfId="0" applyNumberFormat="1" applyFont="1" applyFill="1" applyBorder="1" applyAlignment="1">
      <x:alignment horizontal="center" vertical="center" wrapText="1"/>
    </x:xf>
    <x:xf numFmtId="0" fontId="12" fillId="7" borderId="7" xfId="0" applyNumberFormat="1" applyFont="1" applyFill="1" applyBorder="1" applyAlignment="1">
      <x:alignment horizontal="center" vertical="center" wrapText="1"/>
    </x:xf>
    <x:xf numFmtId="0" fontId="12" fillId="8" borderId="6" xfId="0" applyNumberFormat="1" applyFont="1" applyFill="1" applyBorder="1" applyAlignment="1">
      <x:alignment horizontal="center" vertical="center" wrapText="1"/>
    </x:xf>
    <x:xf numFmtId="0" fontId="12" fillId="8" borderId="7" xfId="0" applyNumberFormat="1" applyFont="1" applyFill="1" applyBorder="1" applyAlignment="1">
      <x:alignment horizontal="center" vertical="center" wrapText="1"/>
    </x:xf>
    <x:xf numFmtId="0" fontId="12" fillId="9" borderId="6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2" fillId="9" borderId="7" xfId="0" applyNumberFormat="1" applyFont="1" applyFill="1" applyBorder="1" applyAlignment="1">
      <x:alignment horizontal="center" vertical="center" wrapText="1"/>
    </x:xf>
    <x:xf numFmtId="0" fontId="8" fillId="2" borderId="8" xfId="0" applyNumberFormat="1" applyFont="1" applyFill="1" applyBorder="1" applyAlignment="1">
      <x:alignment horizontal="center" vertical="center" wrapText="1"/>
    </x:xf>
    <x:xf numFmtId="0" fontId="8" fillId="2" borderId="9" xfId="0" applyNumberFormat="1" applyFont="1" applyFill="1" applyBorder="1" applyAlignment="1">
      <x:alignment horizontal="center" vertical="center" wrapText="1"/>
    </x:xf>
    <x:xf numFmtId="0" fontId="12" fillId="7" borderId="8" xfId="0" applyNumberFormat="1" applyFont="1" applyFill="1" applyBorder="1" applyAlignment="1">
      <x:alignment horizontal="center" vertical="center" wrapText="1"/>
    </x:xf>
    <x:xf numFmtId="0" fontId="12" fillId="7" borderId="9" xfId="0" applyNumberFormat="1" applyFont="1" applyFill="1" applyBorder="1" applyAlignment="1">
      <x:alignment horizontal="center" vertical="center" wrapText="1"/>
    </x:xf>
    <x:xf numFmtId="0" fontId="12" fillId="8" borderId="8" xfId="0" applyNumberFormat="1" applyFont="1" applyFill="1" applyBorder="1" applyAlignment="1">
      <x:alignment horizontal="center" vertical="center" wrapText="1"/>
    </x:xf>
    <x:xf numFmtId="0" fontId="12" fillId="8" borderId="9" xfId="0" applyNumberFormat="1" applyFont="1" applyFill="1" applyBorder="1" applyAlignment="1">
      <x:alignment horizontal="center" vertical="center" wrapText="1"/>
    </x:xf>
    <x:xf numFmtId="0" fontId="12" fillId="9" borderId="8" xfId="0" applyNumberFormat="1" applyFont="1" applyFill="1" applyBorder="1" applyAlignment="1">
      <x:alignment horizontal="center" vertical="center" wrapText="1"/>
    </x:xf>
    <x:xf numFmtId="0" fontId="12" fillId="9" borderId="11" xfId="0" applyNumberFormat="1" applyFont="1" applyFill="1" applyBorder="1" applyAlignment="1">
      <x:alignment horizontal="center" vertical="center" wrapText="1"/>
    </x:xf>
    <x:xf numFmtId="0" fontId="12" fillId="9" borderId="9" xfId="0" applyNumberFormat="1" applyFont="1" applyFill="1" applyBorder="1" applyAlignment="1">
      <x:alignment horizontal="center" vertical="center" wrapText="1"/>
    </x:xf>
    <x:xf numFmtId="0" fontId="13" fillId="10" borderId="12" xfId="0" applyNumberFormat="1" applyFont="1" applyFill="1" applyBorder="1" applyAlignment="1">
      <x:alignment vertical="center" wrapText="1"/>
    </x:xf>
    <x:xf numFmtId="0" fontId="13" fillId="10" borderId="13" xfId="0" applyNumberFormat="1" applyFont="1" applyFill="1" applyBorder="1" applyAlignment="1">
      <x:alignment vertical="center" wrapText="1"/>
    </x:xf>
    <x:xf numFmtId="0" fontId="13" fillId="10" borderId="14" xfId="0" applyNumberFormat="1" applyFont="1" applyFill="1" applyBorder="1" applyAlignment="1">
      <x:alignment vertical="center" wrapText="1"/>
    </x:xf>
    <x:xf numFmtId="0" fontId="13" fillId="10" borderId="15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6" xfId="0" applyNumberFormat="1" applyFont="1" applyFill="1" applyBorder="1" applyAlignment="1">
      <x:alignment vertical="center" wrapText="1"/>
    </x:xf>
    <x:xf numFmtId="0" fontId="13" fillId="10" borderId="17" xfId="0" applyNumberFormat="1" applyFont="1" applyFill="1" applyBorder="1" applyAlignment="1">
      <x:alignment vertical="center" wrapText="1"/>
    </x:xf>
    <x:xf numFmtId="0" fontId="13" fillId="10" borderId="18" xfId="0" applyNumberFormat="1" applyFont="1" applyFill="1" applyBorder="1" applyAlignment="1">
      <x:alignment vertical="center" wrapText="1"/>
    </x:xf>
    <x:xf numFmtId="0" fontId="13" fillId="10" borderId="19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10" fillId="5" borderId="2" xfId="0" applyNumberFormat="1" applyFont="1" applyFill="1" applyBorder="1" applyAlignment="1">
      <x:alignment vertical="center" wrapText="1"/>
    </x:xf>
    <x:xf numFmtId="0" fontId="10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CE4C5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0977e25ad4510" /><Relationship Type="http://schemas.openxmlformats.org/officeDocument/2006/relationships/theme" Target="/xl/theme/theme1.xml" Id="R73de6ea2c3f04c00" /><Relationship Type="http://schemas.openxmlformats.org/officeDocument/2006/relationships/sharedStrings" Target="/xl/sharedStrings.xml" Id="R9cdf794dd804410a" /><Relationship Type="http://schemas.openxmlformats.org/officeDocument/2006/relationships/worksheet" Target="/xl/worksheets/sheet1.xml" Id="Ra195736a2718450f" /><Relationship Type="http://schemas.openxmlformats.org/officeDocument/2006/relationships/worksheet" Target="/xl/worksheets/sheet2.xml" Id="R4bc23d27a647457a" /><Relationship Type="http://schemas.openxmlformats.org/officeDocument/2006/relationships/worksheet" Target="/xl/worksheets/sheet3.xml" Id="R248c4568d90b49c5" /><Relationship Type="http://schemas.openxmlformats.org/officeDocument/2006/relationships/worksheet" Target="/xl/worksheets/sheet4.xml" Id="Rd33b6b7a2f0046f0" /><Relationship Type="http://schemas.openxmlformats.org/officeDocument/2006/relationships/worksheet" Target="/xl/worksheets/sheet5.xml" Id="Rf287e3da83f24fe6" /><Relationship Type="http://schemas.openxmlformats.org/officeDocument/2006/relationships/worksheet" Target="/xl/worksheets/sheet6.xml" Id="Rc0e49987186f426d" /><Relationship Type="http://schemas.openxmlformats.org/officeDocument/2006/relationships/worksheet" Target="/xl/worksheets/sheet7.xml" Id="R0728eca2e6484ca6" /><Relationship Type="http://schemas.openxmlformats.org/officeDocument/2006/relationships/worksheet" Target="/xl/worksheets/sheet8.xml" Id="R29b3dcf233464dbd" /><Relationship Type="http://schemas.openxmlformats.org/officeDocument/2006/relationships/worksheet" Target="/xl/worksheets/sheet9.xml" Id="R13c1fe38ad9845a9" /><Relationship Type="http://schemas.openxmlformats.org/officeDocument/2006/relationships/worksheet" Target="/xl/worksheets/sheet10.xml" Id="R06841f429f9742eb" /><Relationship Type="http://schemas.openxmlformats.org/officeDocument/2006/relationships/worksheet" Target="/xl/worksheets/sheet11.xml" Id="R12e974fa9a6048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36c4ae80f54a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Merge Exceptions by Type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'Dashboard'!$B$9:$B$12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36c4ae80f54a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aaee640b89449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22" hidden="0" customWidth="1"/>
    <x:col min="5" max="5" width="15" hidden="0" customWidth="1"/>
    <x:col min="6" max="6" width="18" hidden="0" customWidth="1"/>
    <x:col min="7" max="7" width="15" hidden="0" customWidth="1"/>
    <x:col min="8" max="8" width="18" hidden="0" customWidth="1"/>
  </x:cols>
  <x:sheetData>
    <x:row r="1" ht="36" customHeight="1">
      <x:c r="A1" s="183" t="str">
        <x:v>PROJ-010 | CRM SOURCE</x:v>
      </x:c>
      <x:c r="B1" s="183"/>
      <x:c r="C1" s="183"/>
      <x:c r="D1" s="183"/>
      <x:c r="E1" s="183"/>
      <x:c r="F1" s="183"/>
      <x:c r="G1" s="183"/>
      <x:c r="H1" s="183"/>
    </x:row>
    <x:row r="2" ht="25" customHeight="1">
      <x:c r="A2" s="184" t="str">
        <x:v>Preserved CRM export • simulated records • duplicate key and conflicts retained</x:v>
      </x:c>
      <x:c r="B2" s="184"/>
      <x:c r="C2" s="184"/>
      <x:c r="D2" s="184"/>
      <x:c r="E2" s="184"/>
      <x:c r="F2" s="184"/>
      <x:c r="G2" s="184"/>
      <x:c r="H2" s="184"/>
    </x:row>
    <x:row r="3">
      <x:c r="A3" s="185"/>
      <x:c r="B3" s="185"/>
      <x:c r="C3" s="185"/>
      <x:c r="D3" s="185"/>
      <x:c r="E3" s="185"/>
      <x:c r="F3" s="185"/>
      <x:c r="G3" s="185"/>
      <x:c r="H3" s="185"/>
    </x:row>
    <x:row r="4" ht="34" customHeight="1">
      <x:c r="A4" s="186" t="str">
        <x:v>Customer ID</x:v>
      </x:c>
      <x:c r="B4" s="186" t="str">
        <x:v>Customer Name</x:v>
      </x:c>
      <x:c r="C4" s="186" t="str">
        <x:v>Email</x:v>
      </x:c>
      <x:c r="D4" s="186" t="str">
        <x:v>Phone</x:v>
      </x:c>
      <x:c r="E4" s="186" t="str">
        <x:v>Country Code</x:v>
      </x:c>
      <x:c r="F4" s="186" t="str">
        <x:v>Segment</x:v>
      </x:c>
      <x:c r="G4" s="186" t="str">
        <x:v>Updated Date</x:v>
      </x:c>
      <x:c r="H4" s="186" t="str">
        <x:v>Source Row ID</x:v>
      </x:c>
    </x:row>
    <x:row r="5" ht="26" customHeight="1">
      <x:c r="A5" s="187" t="str">
        <x:v>CUST-001</x:v>
      </x:c>
      <x:c r="B5" s="187" t="str">
        <x:v>Demo Customer 01</x:v>
      </x:c>
      <x:c r="C5" s="187" t="str">
        <x:v>customer01@example.invalid</x:v>
      </x:c>
      <x:c r="D5" s="187" t="str">
        <x:v>+62-811-000-0001</x:v>
      </x:c>
      <x:c r="E5" s="187" t="str">
        <x:v>ID</x:v>
      </x:c>
      <x:c r="F5" s="187" t="str">
        <x:v>Small Business</x:v>
      </x:c>
      <x:c r="G5" s="188" t="n">
        <x:v>46205</x:v>
      </x:c>
      <x:c r="H5" s="187" t="str">
        <x:v>CRM-001</x:v>
      </x:c>
    </x:row>
    <x:row r="6" ht="26" customHeight="1">
      <x:c r="A6" s="189" t="str">
        <x:v>CUST-002</x:v>
      </x:c>
      <x:c r="B6" s="189" t="str">
        <x:v>Demo Customer 02</x:v>
      </x:c>
      <x:c r="C6" s="189" t="str">
        <x:v>customer02@example.invalid</x:v>
      </x:c>
      <x:c r="D6" s="189" t="str">
        <x:v>+62-811-000-0002</x:v>
      </x:c>
      <x:c r="E6" s="189" t="str">
        <x:v>ID</x:v>
      </x:c>
      <x:c r="F6" s="189" t="str">
        <x:v>Enterprise</x:v>
      </x:c>
      <x:c r="G6" s="190" t="n">
        <x:v>46206</x:v>
      </x:c>
      <x:c r="H6" s="189" t="str">
        <x:v>CRM-002</x:v>
      </x:c>
    </x:row>
    <x:row r="7" ht="26" customHeight="1">
      <x:c r="A7" s="191" t="str">
        <x:v>CUST-003</x:v>
      </x:c>
      <x:c r="B7" s="191" t="str">
        <x:v>Demo Customer 03</x:v>
      </x:c>
      <x:c r="C7" s="191" t="str">
        <x:v>customer03@example.invalid</x:v>
      </x:c>
      <x:c r="D7" s="191" t="str">
        <x:v>+62-811-000-0003</x:v>
      </x:c>
      <x:c r="E7" s="191" t="str">
        <x:v>ID</x:v>
      </x:c>
      <x:c r="F7" s="191" t="str">
        <x:v>Retail</x:v>
      </x:c>
      <x:c r="G7" s="192" t="n">
        <x:v>46207</x:v>
      </x:c>
      <x:c r="H7" s="191" t="str">
        <x:v>CRM-003</x:v>
      </x:c>
    </x:row>
    <x:row r="8" ht="26" customHeight="1">
      <x:c r="A8" s="189" t="str">
        <x:v>CUST-004</x:v>
      </x:c>
      <x:c r="B8" s="189" t="str">
        <x:v>Demo Customer 04</x:v>
      </x:c>
      <x:c r="C8" s="189" t="str">
        <x:v>customer04@example.invalid</x:v>
      </x:c>
      <x:c r="D8" s="189" t="str">
        <x:v>+62-811-000-0004</x:v>
      </x:c>
      <x:c r="E8" s="189" t="str">
        <x:v>ID</x:v>
      </x:c>
      <x:c r="F8" s="189" t="str">
        <x:v>Small Business</x:v>
      </x:c>
      <x:c r="G8" s="190" t="n">
        <x:v>46208</x:v>
      </x:c>
      <x:c r="H8" s="189" t="str">
        <x:v>CRM-004</x:v>
      </x:c>
    </x:row>
    <x:row r="9" ht="26" customHeight="1">
      <x:c r="A9" s="191" t="str">
        <x:v>CUST-005</x:v>
      </x:c>
      <x:c r="B9" s="191" t="str">
        <x:v>Demo Customer 05</x:v>
      </x:c>
      <x:c r="C9" s="191" t="str">
        <x:v>customer05@example.invalid</x:v>
      </x:c>
      <x:c r="D9" s="191" t="str">
        <x:v>+62-811-000-0005</x:v>
      </x:c>
      <x:c r="E9" s="191" t="str">
        <x:v>SG</x:v>
      </x:c>
      <x:c r="F9" s="191" t="str">
        <x:v>Enterprise</x:v>
      </x:c>
      <x:c r="G9" s="192" t="n">
        <x:v>46209</x:v>
      </x:c>
      <x:c r="H9" s="191" t="str">
        <x:v>CRM-005</x:v>
      </x:c>
    </x:row>
    <x:row r="10" ht="26" customHeight="1">
      <x:c r="A10" s="189" t="str">
        <x:v>CUST-006</x:v>
      </x:c>
      <x:c r="B10" s="189" t="str">
        <x:v>Demo Customer 06</x:v>
      </x:c>
      <x:c r="C10" s="189" t="str">
        <x:v>customer06@example.invalid</x:v>
      </x:c>
      <x:c r="D10" s="189" t="str">
        <x:v>+62-811-000-0006</x:v>
      </x:c>
      <x:c r="E10" s="189" t="str">
        <x:v>ID</x:v>
      </x:c>
      <x:c r="F10" s="189" t="str">
        <x:v>Retail</x:v>
      </x:c>
      <x:c r="G10" s="190" t="n">
        <x:v>46210</x:v>
      </x:c>
      <x:c r="H10" s="189" t="str">
        <x:v>CRM-006</x:v>
      </x:c>
    </x:row>
    <x:row r="11" ht="26" customHeight="1">
      <x:c r="A11" s="191" t="str">
        <x:v>CUST-007</x:v>
      </x:c>
      <x:c r="B11" s="191" t="str">
        <x:v>Demo Customer 07</x:v>
      </x:c>
      <x:c r="C11" s="191" t="str">
        <x:v>customer07@example.invalid</x:v>
      </x:c>
      <x:c r="D11" s="191" t="str">
        <x:v>+62-811-000-0007</x:v>
      </x:c>
      <x:c r="E11" s="191" t="str">
        <x:v>ID</x:v>
      </x:c>
      <x:c r="F11" s="191" t="str">
        <x:v>Small Business</x:v>
      </x:c>
      <x:c r="G11" s="192" t="n">
        <x:v>46211</x:v>
      </x:c>
      <x:c r="H11" s="191" t="str">
        <x:v>CRM-007</x:v>
      </x:c>
    </x:row>
    <x:row r="12" ht="26" customHeight="1">
      <x:c r="A12" s="189" t="str">
        <x:v>CUST-008</x:v>
      </x:c>
      <x:c r="B12" s="189" t="str">
        <x:v>Demo Customer 08</x:v>
      </x:c>
      <x:c r="C12" s="189" t="str">
        <x:v>customer08@example.invalid</x:v>
      </x:c>
      <x:c r="D12" s="189" t="str">
        <x:v>+62-811-000-0008</x:v>
      </x:c>
      <x:c r="E12" s="189" t="str">
        <x:v>ID</x:v>
      </x:c>
      <x:c r="F12" s="189" t="str">
        <x:v>Enterprise</x:v>
      </x:c>
      <x:c r="G12" s="190" t="n">
        <x:v>46212</x:v>
      </x:c>
      <x:c r="H12" s="189" t="str">
        <x:v>CRM-008</x:v>
      </x:c>
    </x:row>
    <x:row r="13" ht="26" customHeight="1">
      <x:c r="A13" s="191" t="str">
        <x:v>CUST-009</x:v>
      </x:c>
      <x:c r="B13" s="191" t="str">
        <x:v>Demo Customer 09</x:v>
      </x:c>
      <x:c r="C13" s="191" t="str">
        <x:v>customer09@example.invalid</x:v>
      </x:c>
      <x:c r="D13" s="191" t="str">
        <x:v>+62-811-000-0009</x:v>
      </x:c>
      <x:c r="E13" s="191" t="str">
        <x:v>ID</x:v>
      </x:c>
      <x:c r="F13" s="191" t="str">
        <x:v>Retail</x:v>
      </x:c>
      <x:c r="G13" s="192" t="n">
        <x:v>46213</x:v>
      </x:c>
      <x:c r="H13" s="191" t="str">
        <x:v>CRM-009</x:v>
      </x:c>
    </x:row>
    <x:row r="14" ht="26" customHeight="1">
      <x:c r="A14" s="189" t="str">
        <x:v>CUST-010</x:v>
      </x:c>
      <x:c r="B14" s="189" t="str">
        <x:v>Demo Customer 10</x:v>
      </x:c>
      <x:c r="C14" s="189" t="str">
        <x:v>customer10@example.invalid</x:v>
      </x:c>
      <x:c r="D14" s="189" t="str">
        <x:v>+62-811-000-0010</x:v>
      </x:c>
      <x:c r="E14" s="189" t="str">
        <x:v>SG</x:v>
      </x:c>
      <x:c r="F14" s="189" t="str">
        <x:v>Small Business</x:v>
      </x:c>
      <x:c r="G14" s="190" t="n">
        <x:v>46214</x:v>
      </x:c>
      <x:c r="H14" s="189" t="str">
        <x:v>CRM-010</x:v>
      </x:c>
    </x:row>
    <x:row r="15" ht="26" customHeight="1">
      <x:c r="A15" s="191" t="str">
        <x:v>CUST-011</x:v>
      </x:c>
      <x:c r="B15" s="191" t="str">
        <x:v>Demo Customer 11</x:v>
      </x:c>
      <x:c r="C15" s="191" t="str">
        <x:v>customer11@example.invalid</x:v>
      </x:c>
      <x:c r="D15" s="191" t="str">
        <x:v>+62-811-000-0011</x:v>
      </x:c>
      <x:c r="E15" s="191" t="str">
        <x:v>ID</x:v>
      </x:c>
      <x:c r="F15" s="191" t="str">
        <x:v>Enterprise</x:v>
      </x:c>
      <x:c r="G15" s="192" t="n">
        <x:v>46215</x:v>
      </x:c>
      <x:c r="H15" s="191" t="str">
        <x:v>CRM-011</x:v>
      </x:c>
    </x:row>
    <x:row r="16" ht="26" customHeight="1">
      <x:c r="A16" s="189" t="str">
        <x:v>CUST-012</x:v>
      </x:c>
      <x:c r="B16" s="189" t="str">
        <x:v>Demo Customer 12</x:v>
      </x:c>
      <x:c r="C16" s="189" t="str">
        <x:v>crm12@example.invalid</x:v>
      </x:c>
      <x:c r="D16" s="189" t="str">
        <x:v>+62-811-000-0012</x:v>
      </x:c>
      <x:c r="E16" s="189" t="str">
        <x:v>ID</x:v>
      </x:c>
      <x:c r="F16" s="189" t="str">
        <x:v>Retail</x:v>
      </x:c>
      <x:c r="G16" s="190" t="n">
        <x:v>46216</x:v>
      </x:c>
      <x:c r="H16" s="189" t="str">
        <x:v>CRM-012</x:v>
      </x:c>
    </x:row>
    <x:row r="17" ht="26" customHeight="1">
      <x:c r="A17" s="191" t="str">
        <x:v>CUST-013</x:v>
      </x:c>
      <x:c r="B17" s="191" t="str">
        <x:v>Demo Customer 13</x:v>
      </x:c>
      <x:c r="C17" s="191" t="str">
        <x:v>customer13@example.invalid</x:v>
      </x:c>
      <x:c r="D17" s="191" t="str">
        <x:v>+62-811-000-0013</x:v>
      </x:c>
      <x:c r="E17" s="191" t="str">
        <x:v>ID</x:v>
      </x:c>
      <x:c r="F17" s="191" t="str">
        <x:v>Small Business</x:v>
      </x:c>
      <x:c r="G17" s="192" t="n">
        <x:v>46217</x:v>
      </x:c>
      <x:c r="H17" s="191" t="str">
        <x:v>CRM-013</x:v>
      </x:c>
    </x:row>
    <x:row r="18" ht="26" customHeight="1">
      <x:c r="A18" s="189" t="str">
        <x:v>CUST-014</x:v>
      </x:c>
      <x:c r="B18" s="189" t="str">
        <x:v>Demo Customer 14</x:v>
      </x:c>
      <x:c r="C18" s="189" t="str">
        <x:v>customer14@example.invalid</x:v>
      </x:c>
      <x:c r="D18" s="189" t="str">
        <x:v>+62-811-000-0014</x:v>
      </x:c>
      <x:c r="E18" s="189" t="str">
        <x:v>ID</x:v>
      </x:c>
      <x:c r="F18" s="189" t="str">
        <x:v>Enterprise</x:v>
      </x:c>
      <x:c r="G18" s="190" t="n">
        <x:v>46218</x:v>
      </x:c>
      <x:c r="H18" s="189" t="str">
        <x:v>CRM-014</x:v>
      </x:c>
    </x:row>
    <x:row r="19" ht="26" customHeight="1">
      <x:c r="A19" s="191" t="str">
        <x:v>CUST-015</x:v>
      </x:c>
      <x:c r="B19" s="191" t="str">
        <x:v>Demo Customer 15</x:v>
      </x:c>
      <x:c r="C19" s="191" t="str">
        <x:v>customer15@example.invalid</x:v>
      </x:c>
      <x:c r="D19" s="191" t="str">
        <x:v>+62-812-CRM-15</x:v>
      </x:c>
      <x:c r="E19" s="191" t="str">
        <x:v>SG</x:v>
      </x:c>
      <x:c r="F19" s="191" t="str">
        <x:v>Retail</x:v>
      </x:c>
      <x:c r="G19" s="192" t="n">
        <x:v>46219</x:v>
      </x:c>
      <x:c r="H19" s="191" t="str">
        <x:v>CRM-015</x:v>
      </x:c>
    </x:row>
    <x:row r="20" ht="26" customHeight="1">
      <x:c r="A20" s="189" t="str">
        <x:v>CUST-016</x:v>
      </x:c>
      <x:c r="B20" s="189" t="str">
        <x:v>Demo Customer 16</x:v>
      </x:c>
      <x:c r="C20" s="189" t="str">
        <x:v>customer16@example.invalid</x:v>
      </x:c>
      <x:c r="D20" s="189" t="str">
        <x:v>+62-811-000-0016</x:v>
      </x:c>
      <x:c r="E20" s="189" t="str">
        <x:v>ID</x:v>
      </x:c>
      <x:c r="F20" s="189" t="str">
        <x:v>Small Business</x:v>
      </x:c>
      <x:c r="G20" s="190" t="n">
        <x:v>46220</x:v>
      </x:c>
      <x:c r="H20" s="189" t="str">
        <x:v>CRM-016</x:v>
      </x:c>
    </x:row>
    <x:row r="21" ht="26" customHeight="1">
      <x:c r="A21" s="191" t="str">
        <x:v>CUST-017</x:v>
      </x:c>
      <x:c r="B21" s="191" t="str">
        <x:v>Demo Customer 17</x:v>
      </x:c>
      <x:c r="C21" s="191" t="str">
        <x:v>customer17@example.invalid</x:v>
      </x:c>
      <x:c r="D21" s="191" t="str">
        <x:v>+62-811-000-0017</x:v>
      </x:c>
      <x:c r="E21" s="191" t="str">
        <x:v>ID</x:v>
      </x:c>
      <x:c r="F21" s="191" t="str">
        <x:v>Enterprise</x:v>
      </x:c>
      <x:c r="G21" s="192" t="n">
        <x:v>46221</x:v>
      </x:c>
      <x:c r="H21" s="191" t="str">
        <x:v>CRM-017</x:v>
      </x:c>
    </x:row>
    <x:row r="22" ht="26" customHeight="1">
      <x:c r="A22" s="189" t="str">
        <x:v>CUST-018</x:v>
      </x:c>
      <x:c r="B22" s="189" t="str">
        <x:v>Demo Customer 18</x:v>
      </x:c>
      <x:c r="C22" s="189" t="str">
        <x:v>crm18@example.invalid</x:v>
      </x:c>
      <x:c r="D22" s="189" t="str">
        <x:v>+62-811-000-0018</x:v>
      </x:c>
      <x:c r="E22" s="189" t="str">
        <x:v>ID</x:v>
      </x:c>
      <x:c r="F22" s="189" t="str">
        <x:v>Retail</x:v>
      </x:c>
      <x:c r="G22" s="190" t="n">
        <x:v>46222</x:v>
      </x:c>
      <x:c r="H22" s="189" t="str">
        <x:v>CRM-018</x:v>
      </x:c>
    </x:row>
    <x:row r="23" ht="26" customHeight="1">
      <x:c r="A23" s="191" t="str">
        <x:v>CUST-019</x:v>
      </x:c>
      <x:c r="B23" s="191" t="str">
        <x:v>Demo Customer 19</x:v>
      </x:c>
      <x:c r="C23" s="191" t="str">
        <x:v>customer19@example.invalid</x:v>
      </x:c>
      <x:c r="D23" s="191" t="str">
        <x:v>+62-811-000-0019</x:v>
      </x:c>
      <x:c r="E23" s="191" t="str">
        <x:v>ID</x:v>
      </x:c>
      <x:c r="F23" s="191" t="str">
        <x:v>Small Business</x:v>
      </x:c>
      <x:c r="G23" s="192" t="n">
        <x:v>46223</x:v>
      </x:c>
      <x:c r="H23" s="191" t="str">
        <x:v>CRM-019</x:v>
      </x:c>
    </x:row>
    <x:row r="24" ht="26" customHeight="1">
      <x:c r="A24" s="189" t="str">
        <x:v>CUST-020</x:v>
      </x:c>
      <x:c r="B24" s="189" t="str">
        <x:v>Demo Customer 20</x:v>
      </x:c>
      <x:c r="C24" s="189" t="str">
        <x:v>customer20@example.invalid</x:v>
      </x:c>
      <x:c r="D24" s="189" t="str">
        <x:v>+62-811-000-0020</x:v>
      </x:c>
      <x:c r="E24" s="189" t="str">
        <x:v>XX</x:v>
      </x:c>
      <x:c r="F24" s="189" t="str">
        <x:v>Enterprise</x:v>
      </x:c>
      <x:c r="G24" s="190" t="n">
        <x:v>46224</x:v>
      </x:c>
      <x:c r="H24" s="189" t="str">
        <x:v>CRM-020</x:v>
      </x:c>
    </x:row>
    <x:row r="25" ht="26" customHeight="1">
      <x:c r="A25" s="191" t="str">
        <x:v>CUST-021</x:v>
      </x:c>
      <x:c r="B25" s="191" t="str">
        <x:v>Demo Customer 21</x:v>
      </x:c>
      <x:c r="C25" s="191" t="str">
        <x:v>customer21@example.invalid</x:v>
      </x:c>
      <x:c r="D25" s="191" t="str">
        <x:v>+62-811-000-0021</x:v>
      </x:c>
      <x:c r="E25" s="191" t="str">
        <x:v>ID</x:v>
      </x:c>
      <x:c r="F25" s="191" t="str">
        <x:v>Retail</x:v>
      </x:c>
      <x:c r="G25" s="192" t="n">
        <x:v>46225</x:v>
      </x:c>
      <x:c r="H25" s="191" t="str">
        <x:v>CRM-021</x:v>
      </x:c>
    </x:row>
    <x:row r="26" ht="26" customHeight="1">
      <x:c r="A26" s="189" t="str">
        <x:v>CUST-022</x:v>
      </x:c>
      <x:c r="B26" s="189" t="str">
        <x:v>Demo Customer 22</x:v>
      </x:c>
      <x:c r="C26" s="189" t="str">
        <x:v>customer22@example.invalid</x:v>
      </x:c>
      <x:c r="D26" s="189" t="str">
        <x:v>+62-812-CRM-22</x:v>
      </x:c>
      <x:c r="E26" s="189" t="str">
        <x:v>ID</x:v>
      </x:c>
      <x:c r="F26" s="189" t="str">
        <x:v>Small Business</x:v>
      </x:c>
      <x:c r="G26" s="190" t="n">
        <x:v>46226</x:v>
      </x:c>
      <x:c r="H26" s="189" t="str">
        <x:v>CRM-022</x:v>
      </x:c>
    </x:row>
    <x:row r="27" ht="26" customHeight="1">
      <x:c r="A27" s="191" t="str">
        <x:v>CUST-023</x:v>
      </x:c>
      <x:c r="B27" s="191" t="str">
        <x:v>Demo Customer 23</x:v>
      </x:c>
      <x:c r="C27" s="191" t="str">
        <x:v>customer23@example.invalid</x:v>
      </x:c>
      <x:c r="D27" s="191" t="str">
        <x:v>+62-811-000-0023</x:v>
      </x:c>
      <x:c r="E27" s="191" t="str">
        <x:v>ID</x:v>
      </x:c>
      <x:c r="F27" s="191" t="str">
        <x:v>Enterprise</x:v>
      </x:c>
      <x:c r="G27" s="192" t="n">
        <x:v>46227</x:v>
      </x:c>
      <x:c r="H27" s="191" t="str">
        <x:v>CRM-023</x:v>
      </x:c>
    </x:row>
    <x:row r="28" ht="26" customHeight="1">
      <x:c r="A28" s="189" t="str">
        <x:v>CUST-024</x:v>
      </x:c>
      <x:c r="B28" s="189" t="str">
        <x:v>Demo Customer 24</x:v>
      </x:c>
      <x:c r="C28" s="189" t="str">
        <x:v>customer24@example.invalid</x:v>
      </x:c>
      <x:c r="D28" s="189" t="str">
        <x:v>+62-811-000-0024</x:v>
      </x:c>
      <x:c r="E28" s="189" t="str">
        <x:v>ID</x:v>
      </x:c>
      <x:c r="F28" s="189" t="str">
        <x:v>Retail</x:v>
      </x:c>
      <x:c r="G28" s="190" t="n">
        <x:v>46228</x:v>
      </x:c>
      <x:c r="H28" s="189" t="str">
        <x:v>CRM-024</x:v>
      </x:c>
    </x:row>
    <x:row r="29" ht="26" customHeight="1">
      <x:c r="A29" s="191" t="str">
        <x:v>CUST-025</x:v>
      </x:c>
      <x:c r="B29" s="191" t="str">
        <x:v>Demo Customer 25</x:v>
      </x:c>
      <x:c r="C29" s="191" t="str">
        <x:v>crm25@example.invalid</x:v>
      </x:c>
      <x:c r="D29" s="191" t="str">
        <x:v>+62-811-000-0025</x:v>
      </x:c>
      <x:c r="E29" s="191" t="str">
        <x:v>SG</x:v>
      </x:c>
      <x:c r="F29" s="191" t="str">
        <x:v>Small Business</x:v>
      </x:c>
      <x:c r="G29" s="192" t="n">
        <x:v>46204</x:v>
      </x:c>
      <x:c r="H29" s="191" t="str">
        <x:v>CRM-025</x:v>
      </x:c>
    </x:row>
    <x:row r="30" ht="26" customHeight="1">
      <x:c r="A30" s="189" t="str">
        <x:v>CUST-026</x:v>
      </x:c>
      <x:c r="B30" s="189" t="str">
        <x:v>Demo Customer 26</x:v>
      </x:c>
      <x:c r="C30" s="189" t="str">
        <x:v>customer26@example.invalid</x:v>
      </x:c>
      <x:c r="D30" s="189" t="str">
        <x:v>+62-811-000-0026</x:v>
      </x:c>
      <x:c r="E30" s="189" t="str">
        <x:v>ID</x:v>
      </x:c>
      <x:c r="F30" s="189" t="str">
        <x:v>Enterprise</x:v>
      </x:c>
      <x:c r="G30" s="190" t="n">
        <x:v>46205</x:v>
      </x:c>
      <x:c r="H30" s="189" t="str">
        <x:v>CRM-026</x:v>
      </x:c>
    </x:row>
    <x:row r="31" ht="26" customHeight="1">
      <x:c r="A31" s="191" t="str">
        <x:v>CUST-027</x:v>
      </x:c>
      <x:c r="B31" s="191" t="str">
        <x:v>Demo Customer 27</x:v>
      </x:c>
      <x:c r="C31" s="191" t="str">
        <x:v>customer27@example.invalid</x:v>
      </x:c>
      <x:c r="D31" s="191" t="str">
        <x:v>+62-811-000-0027</x:v>
      </x:c>
      <x:c r="E31" s="191" t="str">
        <x:v>ID</x:v>
      </x:c>
      <x:c r="F31" s="191" t="str">
        <x:v>Retail</x:v>
      </x:c>
      <x:c r="G31" s="192" t="n">
        <x:v>46206</x:v>
      </x:c>
      <x:c r="H31" s="191" t="str">
        <x:v>CRM-027</x:v>
      </x:c>
    </x:row>
    <x:row r="32" ht="26" customHeight="1">
      <x:c r="A32" s="189" t="str">
        <x:v>CUST-028</x:v>
      </x:c>
      <x:c r="B32" s="189" t="str">
        <x:v>Demo Customer 28</x:v>
      </x:c>
      <x:c r="C32" s="189" t="str">
        <x:v>customer28@example.invalid</x:v>
      </x:c>
      <x:c r="D32" s="189" t="str">
        <x:v>+62-811-000-0028</x:v>
      </x:c>
      <x:c r="E32" s="189" t="str">
        <x:v>ID</x:v>
      </x:c>
      <x:c r="F32" s="189" t="str">
        <x:v>Small Business</x:v>
      </x:c>
      <x:c r="G32" s="190" t="n">
        <x:v>46207</x:v>
      </x:c>
      <x:c r="H32" s="189" t="str">
        <x:v>CRM-028</x:v>
      </x:c>
    </x:row>
    <x:row r="33" ht="26" customHeight="1">
      <x:c r="A33" s="191" t="str">
        <x:v>CUST-029</x:v>
      </x:c>
      <x:c r="B33" s="191" t="str">
        <x:v>Demo Customer 29</x:v>
      </x:c>
      <x:c r="C33" s="191" t="str">
        <x:v>customer29@example.invalid</x:v>
      </x:c>
      <x:c r="D33" s="191" t="str">
        <x:v>+62-812-CRM-29</x:v>
      </x:c>
      <x:c r="E33" s="191" t="str">
        <x:v>ID</x:v>
      </x:c>
      <x:c r="F33" s="191" t="str">
        <x:v>Enterprise</x:v>
      </x:c>
      <x:c r="G33" s="192" t="n">
        <x:v>46208</x:v>
      </x:c>
      <x:c r="H33" s="191" t="str">
        <x:v>CRM-029</x:v>
      </x:c>
    </x:row>
    <x:row r="34" ht="26" customHeight="1">
      <x:c r="A34" s="193" t="str">
        <x:v>CUST-008</x:v>
      </x:c>
      <x:c r="B34" s="193" t="str">
        <x:v>Demo Customer 08</x:v>
      </x:c>
      <x:c r="C34" s="193" t="str">
        <x:v>customer08@example.invalid</x:v>
      </x:c>
      <x:c r="D34" s="193" t="str">
        <x:v>+62-811-000-0008</x:v>
      </x:c>
      <x:c r="E34" s="193" t="str">
        <x:v>ID</x:v>
      </x:c>
      <x:c r="F34" s="193" t="str">
        <x:v>Enterprise</x:v>
      </x:c>
      <x:c r="G34" s="194" t="n">
        <x:v>46212</x:v>
      </x:c>
      <x:c r="H34" s="193" t="str">
        <x:v>CRM-030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22" hidden="0" customWidth="1"/>
    <x:col min="5" max="5" width="15" hidden="0" customWidth="1"/>
    <x:col min="6" max="6" width="20" hidden="0" customWidth="1"/>
    <x:col min="7" max="7" width="15" hidden="0" customWidth="1"/>
    <x:col min="8" max="8" width="18" hidden="0" customWidth="1"/>
  </x:cols>
  <x:sheetData>
    <x:row r="1" ht="36" customHeight="1">
      <x:c r="A1" s="183" t="str">
        <x:v>PROJ-010 | WEB ORDERS SOURCE</x:v>
      </x:c>
      <x:c r="B1" s="183"/>
      <x:c r="C1" s="183"/>
      <x:c r="D1" s="183"/>
      <x:c r="E1" s="183"/>
      <x:c r="F1" s="183"/>
      <x:c r="G1" s="183"/>
      <x:c r="H1" s="183"/>
    </x:row>
    <x:row r="2" ht="25" customHeight="1">
      <x:c r="A2" s="184" t="str">
        <x:v>Preserved web-order customer export • simulated records</x:v>
      </x:c>
      <x:c r="B2" s="184"/>
      <x:c r="C2" s="184"/>
      <x:c r="D2" s="184"/>
      <x:c r="E2" s="184"/>
      <x:c r="F2" s="184"/>
      <x:c r="G2" s="184"/>
      <x:c r="H2" s="184"/>
    </x:row>
    <x:row r="3">
      <x:c r="A3" s="185"/>
      <x:c r="B3" s="185"/>
      <x:c r="C3" s="185"/>
      <x:c r="D3" s="185"/>
      <x:c r="E3" s="185"/>
      <x:c r="F3" s="185"/>
      <x:c r="G3" s="185"/>
      <x:c r="H3" s="185"/>
    </x:row>
    <x:row r="4" ht="34" customHeight="1">
      <x:c r="A4" s="186" t="str">
        <x:v>Customer ID</x:v>
      </x:c>
      <x:c r="B4" s="186" t="str">
        <x:v>Customer Name</x:v>
      </x:c>
      <x:c r="C4" s="186" t="str">
        <x:v>Email</x:v>
      </x:c>
      <x:c r="D4" s="186" t="str">
        <x:v>Phone</x:v>
      </x:c>
      <x:c r="E4" s="186" t="str">
        <x:v>Country Code</x:v>
      </x:c>
      <x:c r="F4" s="186" t="str">
        <x:v>Marketing Status</x:v>
      </x:c>
      <x:c r="G4" s="186" t="str">
        <x:v>Updated Date</x:v>
      </x:c>
      <x:c r="H4" s="186" t="str">
        <x:v>Source Row ID</x:v>
      </x:c>
    </x:row>
    <x:row r="5" ht="26" customHeight="1">
      <x:c r="A5" s="187" t="str">
        <x:v>CUST-011</x:v>
      </x:c>
      <x:c r="B5" s="187" t="str">
        <x:v>Demo Customer 11</x:v>
      </x:c>
      <x:c r="C5" s="187" t="str">
        <x:v>customer11@example.invalid</x:v>
      </x:c>
      <x:c r="D5" s="187" t="str">
        <x:v>+62-811-000-0011</x:v>
      </x:c>
      <x:c r="E5" s="187" t="str">
        <x:v>ID</x:v>
      </x:c>
      <x:c r="F5" s="187" t="str">
        <x:v>Opted In</x:v>
      </x:c>
      <x:c r="G5" s="188" t="n">
        <x:v>46218</x:v>
      </x:c>
      <x:c r="H5" s="187" t="str">
        <x:v>WEB-011</x:v>
      </x:c>
    </x:row>
    <x:row r="6" ht="26" customHeight="1">
      <x:c r="A6" s="189" t="str">
        <x:v>CUST-012</x:v>
      </x:c>
      <x:c r="B6" s="189" t="str">
        <x:v>Demo Customer 12</x:v>
      </x:c>
      <x:c r="C6" s="189" t="str">
        <x:v>web12@example.invalid</x:v>
      </x:c>
      <x:c r="D6" s="189" t="str">
        <x:v>+62-811-000-0012</x:v>
      </x:c>
      <x:c r="E6" s="189" t="str">
        <x:v>ID</x:v>
      </x:c>
      <x:c r="F6" s="189" t="str">
        <x:v>Opted Out</x:v>
      </x:c>
      <x:c r="G6" s="190" t="n">
        <x:v>46219</x:v>
      </x:c>
      <x:c r="H6" s="189" t="str">
        <x:v>WEB-012</x:v>
      </x:c>
    </x:row>
    <x:row r="7" ht="26" customHeight="1">
      <x:c r="A7" s="191" t="str">
        <x:v>CUST-013</x:v>
      </x:c>
      <x:c r="B7" s="191" t="str">
        <x:v>Demo Customer 13</x:v>
      </x:c>
      <x:c r="C7" s="191" t="str">
        <x:v>customer13@example.invalid</x:v>
      </x:c>
      <x:c r="D7" s="191" t="str">
        <x:v>+62-811-000-0013</x:v>
      </x:c>
      <x:c r="E7" s="191" t="str">
        <x:v>ID</x:v>
      </x:c>
      <x:c r="F7" s="191" t="str">
        <x:v>Opted In</x:v>
      </x:c>
      <x:c r="G7" s="192" t="n">
        <x:v>46220</x:v>
      </x:c>
      <x:c r="H7" s="191" t="str">
        <x:v>WEB-013</x:v>
      </x:c>
    </x:row>
    <x:row r="8" ht="26" customHeight="1">
      <x:c r="A8" s="189" t="str">
        <x:v>CUST-014</x:v>
      </x:c>
      <x:c r="B8" s="189" t="str">
        <x:v>Demo Customer 14</x:v>
      </x:c>
      <x:c r="C8" s="189" t="str">
        <x:v>customer14@example.invalid</x:v>
      </x:c>
      <x:c r="D8" s="189" t="str">
        <x:v>+62-811-000-0014</x:v>
      </x:c>
      <x:c r="E8" s="189" t="str">
        <x:v>ID</x:v>
      </x:c>
      <x:c r="F8" s="189" t="str">
        <x:v>Opted Out</x:v>
      </x:c>
      <x:c r="G8" s="190" t="n">
        <x:v>46221</x:v>
      </x:c>
      <x:c r="H8" s="189" t="str">
        <x:v>WEB-014</x:v>
      </x:c>
    </x:row>
    <x:row r="9" ht="26" customHeight="1">
      <x:c r="A9" s="191" t="str">
        <x:v>CUST-015</x:v>
      </x:c>
      <x:c r="B9" s="191" t="str">
        <x:v>Demo Customer 15</x:v>
      </x:c>
      <x:c r="C9" s="191" t="str">
        <x:v>customer15@example.invalid</x:v>
      </x:c>
      <x:c r="D9" s="191" t="str">
        <x:v>+62-813-WEB-15</x:v>
      </x:c>
      <x:c r="E9" s="191" t="str">
        <x:v>SG</x:v>
      </x:c>
      <x:c r="F9" s="191" t="str">
        <x:v>Opted In</x:v>
      </x:c>
      <x:c r="G9" s="192" t="n">
        <x:v>46222</x:v>
      </x:c>
      <x:c r="H9" s="191" t="str">
        <x:v>WEB-015</x:v>
      </x:c>
    </x:row>
    <x:row r="10" ht="26" customHeight="1">
      <x:c r="A10" s="189" t="str">
        <x:v>CUST-016</x:v>
      </x:c>
      <x:c r="B10" s="189" t="str">
        <x:v>Demo Customer 16</x:v>
      </x:c>
      <x:c r="C10" s="189" t="str">
        <x:v>customer16@example.invalid</x:v>
      </x:c>
      <x:c r="D10" s="189" t="str">
        <x:v>+62-811-000-0016</x:v>
      </x:c>
      <x:c r="E10" s="189" t="str">
        <x:v>ID</x:v>
      </x:c>
      <x:c r="F10" s="189" t="str">
        <x:v>Opted Out</x:v>
      </x:c>
      <x:c r="G10" s="190" t="n">
        <x:v>46223</x:v>
      </x:c>
      <x:c r="H10" s="189" t="str">
        <x:v>WEB-016</x:v>
      </x:c>
    </x:row>
    <x:row r="11" ht="26" customHeight="1">
      <x:c r="A11" s="191" t="str">
        <x:v>CUST-017</x:v>
      </x:c>
      <x:c r="B11" s="191" t="str">
        <x:v>Demo Customer 17</x:v>
      </x:c>
      <x:c r="C11" s="191" t="str">
        <x:v>customer17@example.invalid</x:v>
      </x:c>
      <x:c r="D11" s="191" t="str">
        <x:v>+62-811-000-0017</x:v>
      </x:c>
      <x:c r="E11" s="191" t="str">
        <x:v>ID</x:v>
      </x:c>
      <x:c r="F11" s="191" t="str">
        <x:v>Opted In</x:v>
      </x:c>
      <x:c r="G11" s="192" t="n">
        <x:v>46224</x:v>
      </x:c>
      <x:c r="H11" s="191" t="str">
        <x:v>WEB-017</x:v>
      </x:c>
    </x:row>
    <x:row r="12" ht="26" customHeight="1">
      <x:c r="A12" s="189" t="str">
        <x:v>CUST-018</x:v>
      </x:c>
      <x:c r="B12" s="189" t="str">
        <x:v>Demo Customer 18</x:v>
      </x:c>
      <x:c r="C12" s="189" t="str">
        <x:v>web18@example.invalid</x:v>
      </x:c>
      <x:c r="D12" s="189" t="str">
        <x:v>+62-811-000-0018</x:v>
      </x:c>
      <x:c r="E12" s="189" t="str">
        <x:v>ID</x:v>
      </x:c>
      <x:c r="F12" s="189" t="str">
        <x:v>Opted Out</x:v>
      </x:c>
      <x:c r="G12" s="190" t="n">
        <x:v>46225</x:v>
      </x:c>
      <x:c r="H12" s="189" t="str">
        <x:v>WEB-018</x:v>
      </x:c>
    </x:row>
    <x:row r="13" ht="26" customHeight="1">
      <x:c r="A13" s="191" t="str">
        <x:v>CUST-019</x:v>
      </x:c>
      <x:c r="B13" s="191" t="str">
        <x:v>Demo Customer 19</x:v>
      </x:c>
      <x:c r="C13" s="191" t="str">
        <x:v>customer19@example.invalid</x:v>
      </x:c>
      <x:c r="D13" s="191" t="str">
        <x:v>+62-811-000-0019</x:v>
      </x:c>
      <x:c r="E13" s="191" t="str">
        <x:v>ID</x:v>
      </x:c>
      <x:c r="F13" s="191" t="str">
        <x:v>Opted In</x:v>
      </x:c>
      <x:c r="G13" s="192" t="n">
        <x:v>46226</x:v>
      </x:c>
      <x:c r="H13" s="191" t="str">
        <x:v>WEB-019</x:v>
      </x:c>
    </x:row>
    <x:row r="14" ht="26" customHeight="1">
      <x:c r="A14" s="189" t="str">
        <x:v>CUST-020</x:v>
      </x:c>
      <x:c r="B14" s="189" t="str">
        <x:v>Demo Customer 20</x:v>
      </x:c>
      <x:c r="C14" s="189" t="str">
        <x:v>customer20@example.invalid</x:v>
      </x:c>
      <x:c r="D14" s="189" t="str">
        <x:v>+62-811-000-0020</x:v>
      </x:c>
      <x:c r="E14" s="189" t="str">
        <x:v>SG</x:v>
      </x:c>
      <x:c r="F14" s="189" t="str">
        <x:v>Opted Out</x:v>
      </x:c>
      <x:c r="G14" s="190" t="n">
        <x:v>46227</x:v>
      </x:c>
      <x:c r="H14" s="189" t="str">
        <x:v>WEB-020</x:v>
      </x:c>
    </x:row>
    <x:row r="15" ht="26" customHeight="1">
      <x:c r="A15" s="191" t="str">
        <x:v>CUST-021</x:v>
      </x:c>
      <x:c r="B15" s="191" t="str">
        <x:v>Demo Customer 21</x:v>
      </x:c>
      <x:c r="C15" s="191" t="str">
        <x:v>customer21@example.invalid</x:v>
      </x:c>
      <x:c r="D15" s="191" t="str">
        <x:v>+62-811-000-0021</x:v>
      </x:c>
      <x:c r="E15" s="191" t="str">
        <x:v>ID</x:v>
      </x:c>
      <x:c r="F15" s="191" t="str">
        <x:v>Opted In</x:v>
      </x:c>
      <x:c r="G15" s="192" t="n">
        <x:v>46228</x:v>
      </x:c>
      <x:c r="H15" s="191" t="str">
        <x:v>WEB-021</x:v>
      </x:c>
    </x:row>
    <x:row r="16" ht="26" customHeight="1">
      <x:c r="A16" s="189" t="str">
        <x:v>CUST-022</x:v>
      </x:c>
      <x:c r="B16" s="189" t="str">
        <x:v>Demo Customer 22</x:v>
      </x:c>
      <x:c r="C16" s="189" t="str">
        <x:v>customer22@example.invalid</x:v>
      </x:c>
      <x:c r="D16" s="189" t="str">
        <x:v>+62-813-WEB-22</x:v>
      </x:c>
      <x:c r="E16" s="189" t="str">
        <x:v>ID</x:v>
      </x:c>
      <x:c r="F16" s="189" t="str">
        <x:v>Opted Out</x:v>
      </x:c>
      <x:c r="G16" s="190" t="n">
        <x:v>46204</x:v>
      </x:c>
      <x:c r="H16" s="189" t="str">
        <x:v>WEB-022</x:v>
      </x:c>
    </x:row>
    <x:row r="17" ht="26" customHeight="1">
      <x:c r="A17" s="191" t="str">
        <x:v>CUST-023</x:v>
      </x:c>
      <x:c r="B17" s="191" t="str">
        <x:v>Demo Customer 23</x:v>
      </x:c>
      <x:c r="C17" s="191" t="str">
        <x:v>customer23@example.invalid</x:v>
      </x:c>
      <x:c r="D17" s="191" t="str">
        <x:v>+62-811-000-0023</x:v>
      </x:c>
      <x:c r="E17" s="191" t="str">
        <x:v>ID</x:v>
      </x:c>
      <x:c r="F17" s="191" t="str">
        <x:v>Opted In</x:v>
      </x:c>
      <x:c r="G17" s="192" t="n">
        <x:v>46205</x:v>
      </x:c>
      <x:c r="H17" s="191" t="str">
        <x:v>WEB-023</x:v>
      </x:c>
    </x:row>
    <x:row r="18" ht="26" customHeight="1">
      <x:c r="A18" s="189" t="str">
        <x:v>CUST-024</x:v>
      </x:c>
      <x:c r="B18" s="189" t="str">
        <x:v>Demo Customer 24</x:v>
      </x:c>
      <x:c r="C18" s="189" t="str">
        <x:v>customer24@example.invalid</x:v>
      </x:c>
      <x:c r="D18" s="189" t="str">
        <x:v>+62-811-000-0024</x:v>
      </x:c>
      <x:c r="E18" s="189" t="str">
        <x:v>ID</x:v>
      </x:c>
      <x:c r="F18" s="189" t="str">
        <x:v>Opted Out</x:v>
      </x:c>
      <x:c r="G18" s="190" t="n">
        <x:v>46206</x:v>
      </x:c>
      <x:c r="H18" s="189" t="str">
        <x:v>WEB-024</x:v>
      </x:c>
    </x:row>
    <x:row r="19" ht="26" customHeight="1">
      <x:c r="A19" s="191" t="str">
        <x:v>CUST-025</x:v>
      </x:c>
      <x:c r="B19" s="191" t="str">
        <x:v>Demo Customer 25</x:v>
      </x:c>
      <x:c r="C19" s="191" t="str">
        <x:v>web25@example.invalid</x:v>
      </x:c>
      <x:c r="D19" s="191" t="str">
        <x:v>+62-811-000-0025</x:v>
      </x:c>
      <x:c r="E19" s="191" t="str">
        <x:v>SG</x:v>
      </x:c>
      <x:c r="F19" s="191" t="str">
        <x:v>Opted In</x:v>
      </x:c>
      <x:c r="G19" s="192" t="n">
        <x:v>46207</x:v>
      </x:c>
      <x:c r="H19" s="191" t="str">
        <x:v>WEB-025</x:v>
      </x:c>
    </x:row>
    <x:row r="20" ht="26" customHeight="1">
      <x:c r="A20" s="189" t="str">
        <x:v>CUST-026</x:v>
      </x:c>
      <x:c r="B20" s="189" t="str">
        <x:v>Demo Customer 26</x:v>
      </x:c>
      <x:c r="C20" s="189" t="str">
        <x:v>customer26@example.invalid</x:v>
      </x:c>
      <x:c r="D20" s="189" t="str">
        <x:v>+62-811-000-0026</x:v>
      </x:c>
      <x:c r="E20" s="189" t="str">
        <x:v>ID</x:v>
      </x:c>
      <x:c r="F20" s="189" t="str">
        <x:v>Opted Out</x:v>
      </x:c>
      <x:c r="G20" s="190" t="n">
        <x:v>46208</x:v>
      </x:c>
      <x:c r="H20" s="189" t="str">
        <x:v>WEB-026</x:v>
      </x:c>
    </x:row>
    <x:row r="21" ht="26" customHeight="1">
      <x:c r="A21" s="191" t="str">
        <x:v>CUST-027</x:v>
      </x:c>
      <x:c r="B21" s="191" t="str">
        <x:v>Demo Customer 27</x:v>
      </x:c>
      <x:c r="C21" s="191" t="str">
        <x:v>customer27@example.invalid</x:v>
      </x:c>
      <x:c r="D21" s="191" t="str">
        <x:v>+62-811-000-0027</x:v>
      </x:c>
      <x:c r="E21" s="191" t="str">
        <x:v>ID</x:v>
      </x:c>
      <x:c r="F21" s="191" t="str">
        <x:v>Opted In</x:v>
      </x:c>
      <x:c r="G21" s="192" t="n">
        <x:v>46209</x:v>
      </x:c>
      <x:c r="H21" s="191" t="str">
        <x:v>WEB-027</x:v>
      </x:c>
    </x:row>
    <x:row r="22" ht="26" customHeight="1">
      <x:c r="A22" s="189" t="str">
        <x:v>CUST-028</x:v>
      </x:c>
      <x:c r="B22" s="189" t="str">
        <x:v>Demo Customer 28</x:v>
      </x:c>
      <x:c r="C22" s="189" t="str">
        <x:v>customer28@example.invalid</x:v>
      </x:c>
      <x:c r="D22" s="189" t="str">
        <x:v>+62-811-000-0028</x:v>
      </x:c>
      <x:c r="E22" s="189" t="str">
        <x:v>ID</x:v>
      </x:c>
      <x:c r="F22" s="189" t="str">
        <x:v>Opted Out</x:v>
      </x:c>
      <x:c r="G22" s="190" t="n">
        <x:v>46210</x:v>
      </x:c>
      <x:c r="H22" s="189" t="str">
        <x:v>WEB-028</x:v>
      </x:c>
    </x:row>
    <x:row r="23" ht="26" customHeight="1">
      <x:c r="A23" s="191" t="str">
        <x:v>CUST-029</x:v>
      </x:c>
      <x:c r="B23" s="191" t="str">
        <x:v>Demo Customer 29</x:v>
      </x:c>
      <x:c r="C23" s="191" t="str">
        <x:v>customer29@example.invalid</x:v>
      </x:c>
      <x:c r="D23" s="191" t="str">
        <x:v>+62-813-WEB-29</x:v>
      </x:c>
      <x:c r="E23" s="191" t="str">
        <x:v>ID</x:v>
      </x:c>
      <x:c r="F23" s="191" t="str">
        <x:v>Opted In</x:v>
      </x:c>
      <x:c r="G23" s="192" t="n">
        <x:v>46211</x:v>
      </x:c>
      <x:c r="H23" s="191" t="str">
        <x:v>WEB-029</x:v>
      </x:c>
    </x:row>
    <x:row r="24" ht="26" customHeight="1">
      <x:c r="A24" s="189" t="str">
        <x:v>CUST-030</x:v>
      </x:c>
      <x:c r="B24" s="189" t="str">
        <x:v>Demo Customer 30</x:v>
      </x:c>
      <x:c r="C24" s="189" t="str">
        <x:v>customer30@example.invalid</x:v>
      </x:c>
      <x:c r="D24" s="189" t="str">
        <x:v>+62-811-000-0030</x:v>
      </x:c>
      <x:c r="E24" s="189" t="str">
        <x:v>SG</x:v>
      </x:c>
      <x:c r="F24" s="189" t="str">
        <x:v>Opted Out</x:v>
      </x:c>
      <x:c r="G24" s="190" t="n">
        <x:v>46212</x:v>
      </x:c>
      <x:c r="H24" s="189" t="str">
        <x:v>WEB-030</x:v>
      </x:c>
    </x:row>
    <x:row r="25" ht="26" customHeight="1">
      <x:c r="A25" s="191" t="str">
        <x:v>CUST-031</x:v>
      </x:c>
      <x:c r="B25" s="191" t="str">
        <x:v>Demo Customer 31</x:v>
      </x:c>
      <x:c r="C25" s="191" t="str">
        <x:v>customer31@example.invalid</x:v>
      </x:c>
      <x:c r="D25" s="191" t="str">
        <x:v>+62-811-000-0031</x:v>
      </x:c>
      <x:c r="E25" s="191" t="str">
        <x:v>ID</x:v>
      </x:c>
      <x:c r="F25" s="191" t="str">
        <x:v>Opted In</x:v>
      </x:c>
      <x:c r="G25" s="192" t="n">
        <x:v>46213</x:v>
      </x:c>
      <x:c r="H25" s="191" t="str">
        <x:v>WEB-031</x:v>
      </x:c>
    </x:row>
    <x:row r="26" ht="26" customHeight="1">
      <x:c r="A26" s="189" t="str">
        <x:v>CUST-032</x:v>
      </x:c>
      <x:c r="B26" s="189" t="str">
        <x:v>Demo Customer 32</x:v>
      </x:c>
      <x:c r="C26" s="189" t="str">
        <x:v>web32@example.invalid</x:v>
      </x:c>
      <x:c r="D26" s="189" t="str">
        <x:v>+62-811-000-0032</x:v>
      </x:c>
      <x:c r="E26" s="189" t="str">
        <x:v>ID</x:v>
      </x:c>
      <x:c r="F26" s="189" t="str">
        <x:v>Opted Out</x:v>
      </x:c>
      <x:c r="G26" s="190" t="n">
        <x:v>46214</x:v>
      </x:c>
      <x:c r="H26" s="189" t="str">
        <x:v>WEB-032</x:v>
      </x:c>
    </x:row>
    <x:row r="27" ht="26" customHeight="1">
      <x:c r="A27" s="191" t="str">
        <x:v>CUST-033</x:v>
      </x:c>
      <x:c r="B27" s="191" t="str">
        <x:v>Demo Customer 33</x:v>
      </x:c>
      <x:c r="C27" s="191" t="str">
        <x:v>customer33@example.invalid</x:v>
      </x:c>
      <x:c r="D27" s="191" t="str">
        <x:v>+62-811-000-0033</x:v>
      </x:c>
      <x:c r="E27" s="191" t="str">
        <x:v>ID</x:v>
      </x:c>
      <x:c r="F27" s="191" t="str">
        <x:v>Opted In</x:v>
      </x:c>
      <x:c r="G27" s="192" t="n">
        <x:v>46215</x:v>
      </x:c>
      <x:c r="H27" s="191" t="str">
        <x:v>WEB-033</x:v>
      </x:c>
    </x:row>
    <x:row r="28" ht="26" customHeight="1">
      <x:c r="A28" s="189" t="str">
        <x:v>CUST-034</x:v>
      </x:c>
      <x:c r="B28" s="189" t="str">
        <x:v>Demo Customer 34</x:v>
      </x:c>
      <x:c r="C28" s="189" t="str">
        <x:v>customer34@example.invalid</x:v>
      </x:c>
      <x:c r="D28" s="189" t="str">
        <x:v>+62-811-000-0034</x:v>
      </x:c>
      <x:c r="E28" s="189" t="str">
        <x:v>ID</x:v>
      </x:c>
      <x:c r="F28" s="189" t="str">
        <x:v>Opted Out</x:v>
      </x:c>
      <x:c r="G28" s="190" t="n">
        <x:v>46216</x:v>
      </x:c>
      <x:c r="H28" s="189" t="str">
        <x:v>WEB-034</x:v>
      </x:c>
    </x:row>
    <x:row r="29" ht="26" customHeight="1">
      <x:c r="A29" s="191" t="str">
        <x:v>CUST-035</x:v>
      </x:c>
      <x:c r="B29" s="191" t="str">
        <x:v>Demo Customer 35</x:v>
      </x:c>
      <x:c r="C29" s="191" t="str">
        <x:v>customer35@example.invalid</x:v>
      </x:c>
      <x:c r="D29" s="191" t="str">
        <x:v>+62-811-000-0035</x:v>
      </x:c>
      <x:c r="E29" s="191" t="str">
        <x:v>SG</x:v>
      </x:c>
      <x:c r="F29" s="191" t="str">
        <x:v>Opted In</x:v>
      </x:c>
      <x:c r="G29" s="192" t="n">
        <x:v>46217</x:v>
      </x:c>
      <x:c r="H29" s="191" t="str">
        <x:v>WEB-035</x:v>
      </x:c>
    </x:row>
    <x:row r="30" ht="26" customHeight="1">
      <x:c r="A30" s="189" t="str">
        <x:v>CUST-036</x:v>
      </x:c>
      <x:c r="B30" s="189" t="str">
        <x:v>Demo Customer 36</x:v>
      </x:c>
      <x:c r="C30" s="189" t="str">
        <x:v>customer36@example.invalid</x:v>
      </x:c>
      <x:c r="D30" s="189" t="str">
        <x:v>+62-811-000-0036</x:v>
      </x:c>
      <x:c r="E30" s="189" t="str">
        <x:v>ID</x:v>
      </x:c>
      <x:c r="F30" s="189" t="str">
        <x:v>Opted Out</x:v>
      </x:c>
      <x:c r="G30" s="190" t="n">
        <x:v>46218</x:v>
      </x:c>
      <x:c r="H30" s="189" t="str">
        <x:v>WEB-036</x:v>
      </x:c>
    </x:row>
    <x:row r="31" ht="26" customHeight="1">
      <x:c r="A31" s="191" t="str">
        <x:v>CUST-037</x:v>
      </x:c>
      <x:c r="B31" s="191" t="str">
        <x:v>Demo Customer 37</x:v>
      </x:c>
      <x:c r="C31" s="191" t="str">
        <x:v>customer37@example.invalid</x:v>
      </x:c>
      <x:c r="D31" s="191" t="str">
        <x:v>+62-811-000-0037</x:v>
      </x:c>
      <x:c r="E31" s="191" t="str">
        <x:v>ID</x:v>
      </x:c>
      <x:c r="F31" s="191" t="str">
        <x:v>Opted In</x:v>
      </x:c>
      <x:c r="G31" s="192" t="n">
        <x:v>46219</x:v>
      </x:c>
      <x:c r="H31" s="191" t="str">
        <x:v>WEB-037</x:v>
      </x:c>
    </x:row>
    <x:row r="32" ht="26" customHeight="1">
      <x:c r="A32" s="189" t="str">
        <x:v>CUST-038</x:v>
      </x:c>
      <x:c r="B32" s="189" t="str">
        <x:v>Demo Customer 38</x:v>
      </x:c>
      <x:c r="C32" s="189" t="str">
        <x:v>customer38@example.invalid</x:v>
      </x:c>
      <x:c r="D32" s="189" t="str">
        <x:v>+62-811-000-0038</x:v>
      </x:c>
      <x:c r="E32" s="189" t="str">
        <x:v>ZZ</x:v>
      </x:c>
      <x:c r="F32" s="189" t="str">
        <x:v>Opted Out</x:v>
      </x:c>
      <x:c r="G32" s="190" t="n">
        <x:v>46220</x:v>
      </x:c>
      <x:c r="H32" s="189" t="str">
        <x:v>WEB-038</x:v>
      </x:c>
    </x:row>
    <x:row r="33" ht="26" customHeight="1">
      <x:c r="A33" s="191" t="str">
        <x:v>CUST-039</x:v>
      </x:c>
      <x:c r="B33" s="191" t="str">
        <x:v>Demo Customer 39</x:v>
      </x:c>
      <x:c r="C33" s="191" t="str">
        <x:v>customer39@example.invalid</x:v>
      </x:c>
      <x:c r="D33" s="191" t="str">
        <x:v>+62-811-000-0039</x:v>
      </x:c>
      <x:c r="E33" s="191" t="str">
        <x:v>ID</x:v>
      </x:c>
      <x:c r="F33" s="191" t="str">
        <x:v>Opted In</x:v>
      </x:c>
      <x:c r="G33" s="192" t="n">
        <x:v>46221</x:v>
      </x:c>
      <x:c r="H33" s="191" t="str">
        <x:v>WEB-039</x:v>
      </x:c>
    </x:row>
    <x:row r="34" ht="26" customHeight="1">
      <x:c r="A34" s="193" t="str">
        <x:v>CUST-040</x:v>
      </x:c>
      <x:c r="B34" s="193" t="str">
        <x:v>Demo Customer 40</x:v>
      </x:c>
      <x:c r="C34" s="193" t="str">
        <x:v>customer40@example.invalid</x:v>
      </x:c>
      <x:c r="D34" s="193" t="str">
        <x:v>+62-811-000-0040</x:v>
      </x:c>
      <x:c r="E34" s="193" t="str">
        <x:v>SG</x:v>
      </x:c>
      <x:c r="F34" s="193" t="str">
        <x:v>Opted Out</x:v>
      </x:c>
      <x:c r="G34" s="194" t="n">
        <x:v>46222</x:v>
      </x:c>
      <x:c r="H34" s="193" t="str">
        <x:v>WEB-040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22" hidden="0" customWidth="1"/>
    <x:col min="5" max="5" width="15" hidden="0" customWidth="1"/>
    <x:col min="6" max="6" width="18" hidden="0" customWidth="1"/>
    <x:col min="7" max="7" width="15" hidden="0" customWidth="1"/>
    <x:col min="8" max="8" width="18" hidden="0" customWidth="1"/>
  </x:cols>
  <x:sheetData>
    <x:row r="1" ht="36" customHeight="1">
      <x:c r="A1" s="183" t="str">
        <x:v>PROJ-010 | SUPPORT SOURCE</x:v>
      </x:c>
      <x:c r="B1" s="183"/>
      <x:c r="C1" s="183"/>
      <x:c r="D1" s="183"/>
      <x:c r="E1" s="183"/>
      <x:c r="F1" s="183"/>
      <x:c r="G1" s="183"/>
      <x:c r="H1" s="183"/>
    </x:row>
    <x:row r="2" ht="25" customHeight="1">
      <x:c r="A2" s="184" t="str">
        <x:v>Preserved support-system export • simulated records</x:v>
      </x:c>
      <x:c r="B2" s="184"/>
      <x:c r="C2" s="184"/>
      <x:c r="D2" s="184"/>
      <x:c r="E2" s="184"/>
      <x:c r="F2" s="184"/>
      <x:c r="G2" s="184"/>
      <x:c r="H2" s="184"/>
    </x:row>
    <x:row r="3">
      <x:c r="A3" s="185"/>
      <x:c r="B3" s="185"/>
      <x:c r="C3" s="185"/>
      <x:c r="D3" s="185"/>
      <x:c r="E3" s="185"/>
      <x:c r="F3" s="185"/>
      <x:c r="G3" s="185"/>
      <x:c r="H3" s="185"/>
    </x:row>
    <x:row r="4" ht="34" customHeight="1">
      <x:c r="A4" s="186" t="str">
        <x:v>Customer ID</x:v>
      </x:c>
      <x:c r="B4" s="186" t="str">
        <x:v>Customer Name</x:v>
      </x:c>
      <x:c r="C4" s="186" t="str">
        <x:v>Email</x:v>
      </x:c>
      <x:c r="D4" s="186" t="str">
        <x:v>Phone</x:v>
      </x:c>
      <x:c r="E4" s="186" t="str">
        <x:v>Country Code</x:v>
      </x:c>
      <x:c r="F4" s="186" t="str">
        <x:v>Ticket Status</x:v>
      </x:c>
      <x:c r="G4" s="186" t="str">
        <x:v>Updated Date</x:v>
      </x:c>
      <x:c r="H4" s="186" t="str">
        <x:v>Source Row ID</x:v>
      </x:c>
    </x:row>
    <x:row r="5" ht="26" customHeight="1">
      <x:c r="A5" s="187" t="str">
        <x:v>CUST-006</x:v>
      </x:c>
      <x:c r="B5" s="187" t="str">
        <x:v>Demo Customer 06</x:v>
      </x:c>
      <x:c r="C5" s="187" t="str">
        <x:v>customer06@example.invalid</x:v>
      </x:c>
      <x:c r="D5" s="187" t="str">
        <x:v>+62-811-000-0006</x:v>
      </x:c>
      <x:c r="E5" s="187" t="str">
        <x:v>ID</x:v>
      </x:c>
      <x:c r="F5" s="187" t="str">
        <x:v>Open</x:v>
      </x:c>
      <x:c r="G5" s="188" t="n">
        <x:v>46216</x:v>
      </x:c>
      <x:c r="H5" s="187" t="str">
        <x:v>SUP-006</x:v>
      </x:c>
    </x:row>
    <x:row r="6" ht="26" customHeight="1">
      <x:c r="A6" s="189" t="str">
        <x:v>CUST-007</x:v>
      </x:c>
      <x:c r="B6" s="189" t="str">
        <x:v>Demo Customer 07</x:v>
      </x:c>
      <x:c r="C6" s="189" t="str">
        <x:v>customer07@example.invalid</x:v>
      </x:c>
      <x:c r="D6" s="189" t="str">
        <x:v>+62-811-000-0007</x:v>
      </x:c>
      <x:c r="E6" s="189" t="str">
        <x:v>ID</x:v>
      </x:c>
      <x:c r="F6" s="189" t="str">
        <x:v>Resolved</x:v>
      </x:c>
      <x:c r="G6" s="190" t="n">
        <x:v>46217</x:v>
      </x:c>
      <x:c r="H6" s="189" t="str">
        <x:v>SUP-007</x:v>
      </x:c>
    </x:row>
    <x:row r="7" ht="26" customHeight="1">
      <x:c r="A7" s="191" t="str">
        <x:v>CUST-008</x:v>
      </x:c>
      <x:c r="B7" s="191" t="str">
        <x:v>Demo Customer 08</x:v>
      </x:c>
      <x:c r="C7" s="191" t="str">
        <x:v>customer08@example.invalid</x:v>
      </x:c>
      <x:c r="D7" s="191" t="str">
        <x:v>+62-811-000-0008</x:v>
      </x:c>
      <x:c r="E7" s="191" t="str">
        <x:v>ID</x:v>
      </x:c>
      <x:c r="F7" s="191" t="str">
        <x:v>Waiting</x:v>
      </x:c>
      <x:c r="G7" s="192" t="n">
        <x:v>46218</x:v>
      </x:c>
      <x:c r="H7" s="191" t="str">
        <x:v>SUP-008</x:v>
      </x:c>
    </x:row>
    <x:row r="8" ht="26" customHeight="1">
      <x:c r="A8" s="189" t="str">
        <x:v>CUST-009</x:v>
      </x:c>
      <x:c r="B8" s="189" t="str">
        <x:v>Demo Customer 09</x:v>
      </x:c>
      <x:c r="C8" s="189" t="str">
        <x:v>customer09@example.invalid</x:v>
      </x:c>
      <x:c r="D8" s="189" t="str">
        <x:v>+62-811-000-0009</x:v>
      </x:c>
      <x:c r="E8" s="189" t="str">
        <x:v>ID</x:v>
      </x:c>
      <x:c r="F8" s="189" t="str">
        <x:v>Open</x:v>
      </x:c>
      <x:c r="G8" s="190" t="n">
        <x:v>46219</x:v>
      </x:c>
      <x:c r="H8" s="189" t="str">
        <x:v>SUP-009</x:v>
      </x:c>
    </x:row>
    <x:row r="9" ht="26" customHeight="1">
      <x:c r="A9" s="191" t="str">
        <x:v>CUST-010</x:v>
      </x:c>
      <x:c r="B9" s="191" t="str">
        <x:v>Demo Customer 10</x:v>
      </x:c>
      <x:c r="C9" s="191" t="str">
        <x:v>customer10@example.invalid</x:v>
      </x:c>
      <x:c r="D9" s="191" t="str">
        <x:v>+62-811-000-0010</x:v>
      </x:c>
      <x:c r="E9" s="191" t="str">
        <x:v>SG</x:v>
      </x:c>
      <x:c r="F9" s="191" t="str">
        <x:v>Resolved</x:v>
      </x:c>
      <x:c r="G9" s="192" t="n">
        <x:v>46220</x:v>
      </x:c>
      <x:c r="H9" s="191" t="str">
        <x:v>SUP-010</x:v>
      </x:c>
    </x:row>
    <x:row r="10" ht="26" customHeight="1">
      <x:c r="A10" s="189" t="str">
        <x:v>CUST-011</x:v>
      </x:c>
      <x:c r="B10" s="189" t="str">
        <x:v>Demo Customer 11</x:v>
      </x:c>
      <x:c r="C10" s="189" t="str">
        <x:v>customer11@example.invalid</x:v>
      </x:c>
      <x:c r="D10" s="189" t="str">
        <x:v>+62-811-000-0011</x:v>
      </x:c>
      <x:c r="E10" s="189" t="str">
        <x:v>ID</x:v>
      </x:c>
      <x:c r="F10" s="189" t="str">
        <x:v>Waiting</x:v>
      </x:c>
      <x:c r="G10" s="190" t="n">
        <x:v>46221</x:v>
      </x:c>
      <x:c r="H10" s="189" t="str">
        <x:v>SUP-011</x:v>
      </x:c>
    </x:row>
    <x:row r="11" ht="26" customHeight="1">
      <x:c r="A11" s="191" t="str">
        <x:v>CUST-012</x:v>
      </x:c>
      <x:c r="B11" s="191" t="str">
        <x:v>Demo Customer 12</x:v>
      </x:c>
      <x:c r="C11" s="191" t="str">
        <x:v>customer12@example.invalid</x:v>
      </x:c>
      <x:c r="D11" s="191" t="str">
        <x:v>+62-811-000-0012</x:v>
      </x:c>
      <x:c r="E11" s="191" t="str">
        <x:v>ID</x:v>
      </x:c>
      <x:c r="F11" s="191" t="str">
        <x:v>Open</x:v>
      </x:c>
      <x:c r="G11" s="192" t="n">
        <x:v>46222</x:v>
      </x:c>
      <x:c r="H11" s="191" t="str">
        <x:v>SUP-012</x:v>
      </x:c>
    </x:row>
    <x:row r="12" ht="26" customHeight="1">
      <x:c r="A12" s="189" t="str">
        <x:v>CUST-013</x:v>
      </x:c>
      <x:c r="B12" s="189" t="str">
        <x:v>Demo Customer 13</x:v>
      </x:c>
      <x:c r="C12" s="189" t="str">
        <x:v>customer13@example.invalid</x:v>
      </x:c>
      <x:c r="D12" s="189" t="str">
        <x:v>+62-811-000-0013</x:v>
      </x:c>
      <x:c r="E12" s="189" t="str">
        <x:v>ID</x:v>
      </x:c>
      <x:c r="F12" s="189" t="str">
        <x:v>Resolved</x:v>
      </x:c>
      <x:c r="G12" s="190" t="n">
        <x:v>46223</x:v>
      </x:c>
      <x:c r="H12" s="189" t="str">
        <x:v>SUP-013</x:v>
      </x:c>
    </x:row>
    <x:row r="13" ht="26" customHeight="1">
      <x:c r="A13" s="191" t="str">
        <x:v>CUST-014</x:v>
      </x:c>
      <x:c r="B13" s="191" t="str">
        <x:v>Demo Customer 14</x:v>
      </x:c>
      <x:c r="C13" s="191" t="str">
        <x:v>customer14@example.invalid</x:v>
      </x:c>
      <x:c r="D13" s="191" t="str">
        <x:v>+62-811-000-0014</x:v>
      </x:c>
      <x:c r="E13" s="191" t="str">
        <x:v>ID</x:v>
      </x:c>
      <x:c r="F13" s="191" t="str">
        <x:v>Waiting</x:v>
      </x:c>
      <x:c r="G13" s="192" t="n">
        <x:v>46224</x:v>
      </x:c>
      <x:c r="H13" s="191" t="str">
        <x:v>SUP-014</x:v>
      </x:c>
    </x:row>
    <x:row r="14" ht="26" customHeight="1">
      <x:c r="A14" s="189" t="str">
        <x:v>CUST-015</x:v>
      </x:c>
      <x:c r="B14" s="189" t="str">
        <x:v>Demo Customer 15</x:v>
      </x:c>
      <x:c r="C14" s="189" t="str">
        <x:v>customer15@example.invalid</x:v>
      </x:c>
      <x:c r="D14" s="189" t="str">
        <x:v>+62-811-000-0015</x:v>
      </x:c>
      <x:c r="E14" s="189" t="str">
        <x:v>SG</x:v>
      </x:c>
      <x:c r="F14" s="189" t="str">
        <x:v>Open</x:v>
      </x:c>
      <x:c r="G14" s="190" t="n">
        <x:v>46225</x:v>
      </x:c>
      <x:c r="H14" s="189" t="str">
        <x:v>SUP-015</x:v>
      </x:c>
    </x:row>
    <x:row r="15" ht="26" customHeight="1">
      <x:c r="A15" s="191" t="str">
        <x:v>CUST-016</x:v>
      </x:c>
      <x:c r="B15" s="191" t="str">
        <x:v>Demo Customer 16</x:v>
      </x:c>
      <x:c r="C15" s="191" t="str">
        <x:v>customer16@example.invalid</x:v>
      </x:c>
      <x:c r="D15" s="191" t="str">
        <x:v>+62-811-000-0016</x:v>
      </x:c>
      <x:c r="E15" s="191" t="str">
        <x:v>ID</x:v>
      </x:c>
      <x:c r="F15" s="191" t="str">
        <x:v>Resolved</x:v>
      </x:c>
      <x:c r="G15" s="192" t="n">
        <x:v>46226</x:v>
      </x:c>
      <x:c r="H15" s="191" t="str">
        <x:v>SUP-016</x:v>
      </x:c>
    </x:row>
    <x:row r="16" ht="26" customHeight="1">
      <x:c r="A16" s="189" t="str">
        <x:v>CUST-017</x:v>
      </x:c>
      <x:c r="B16" s="189" t="str">
        <x:v>Demo Customer 17</x:v>
      </x:c>
      <x:c r="C16" s="189" t="str">
        <x:v>customer17@example.invalid</x:v>
      </x:c>
      <x:c r="D16" s="189" t="str">
        <x:v>+62-811-000-0017</x:v>
      </x:c>
      <x:c r="E16" s="189" t="str">
        <x:v>ID</x:v>
      </x:c>
      <x:c r="F16" s="189" t="str">
        <x:v>Waiting</x:v>
      </x:c>
      <x:c r="G16" s="190" t="n">
        <x:v>46227</x:v>
      </x:c>
      <x:c r="H16" s="189" t="str">
        <x:v>SUP-017</x:v>
      </x:c>
    </x:row>
    <x:row r="17" ht="26" customHeight="1">
      <x:c r="A17" s="191" t="str">
        <x:v>CUST-018</x:v>
      </x:c>
      <x:c r="B17" s="191" t="str">
        <x:v>Demo Customer 18</x:v>
      </x:c>
      <x:c r="C17" s="191" t="str">
        <x:v>support18@example.invalid</x:v>
      </x:c>
      <x:c r="D17" s="191" t="str">
        <x:v>+62-811-000-0018</x:v>
      </x:c>
      <x:c r="E17" s="191" t="str">
        <x:v>ID</x:v>
      </x:c>
      <x:c r="F17" s="191" t="str">
        <x:v>Open</x:v>
      </x:c>
      <x:c r="G17" s="192" t="n">
        <x:v>46228</x:v>
      </x:c>
      <x:c r="H17" s="191" t="str">
        <x:v>SUP-018</x:v>
      </x:c>
    </x:row>
    <x:row r="18" ht="26" customHeight="1">
      <x:c r="A18" s="189" t="str">
        <x:v>CUST-019</x:v>
      </x:c>
      <x:c r="B18" s="189" t="str">
        <x:v>Demo Customer 19</x:v>
      </x:c>
      <x:c r="C18" s="189" t="str">
        <x:v>customer19@example.invalid</x:v>
      </x:c>
      <x:c r="D18" s="189" t="str">
        <x:v>+62-811-000-0019</x:v>
      </x:c>
      <x:c r="E18" s="189" t="str">
        <x:v>ID</x:v>
      </x:c>
      <x:c r="F18" s="189" t="str">
        <x:v>Resolved</x:v>
      </x:c>
      <x:c r="G18" s="190" t="n">
        <x:v>46204</x:v>
      </x:c>
      <x:c r="H18" s="189" t="str">
        <x:v>SUP-019</x:v>
      </x:c>
    </x:row>
    <x:row r="19" ht="26" customHeight="1">
      <x:c r="A19" s="191" t="str">
        <x:v>CUST-020</x:v>
      </x:c>
      <x:c r="B19" s="191" t="str">
        <x:v>Demo Customer 20</x:v>
      </x:c>
      <x:c r="C19" s="191" t="str">
        <x:v>customer20@example.invalid</x:v>
      </x:c>
      <x:c r="D19" s="191" t="str">
        <x:v>+62-811-000-0020</x:v>
      </x:c>
      <x:c r="E19" s="191" t="str">
        <x:v>SG</x:v>
      </x:c>
      <x:c r="F19" s="191" t="str">
        <x:v>Waiting</x:v>
      </x:c>
      <x:c r="G19" s="192" t="n">
        <x:v>46205</x:v>
      </x:c>
      <x:c r="H19" s="191" t="str">
        <x:v>SUP-020</x:v>
      </x:c>
    </x:row>
    <x:row r="20" ht="26" customHeight="1">
      <x:c r="A20" s="189" t="str">
        <x:v>CUST-021</x:v>
      </x:c>
      <x:c r="B20" s="189" t="str">
        <x:v>Demo Customer 21</x:v>
      </x:c>
      <x:c r="C20" s="189" t="str">
        <x:v>customer21@example.invalid</x:v>
      </x:c>
      <x:c r="D20" s="189" t="str">
        <x:v>+62-811-000-0021</x:v>
      </x:c>
      <x:c r="E20" s="189" t="str">
        <x:v>ID</x:v>
      </x:c>
      <x:c r="F20" s="189" t="str">
        <x:v>Open</x:v>
      </x:c>
      <x:c r="G20" s="190" t="n">
        <x:v>46206</x:v>
      </x:c>
      <x:c r="H20" s="189" t="str">
        <x:v>SUP-021</x:v>
      </x:c>
    </x:row>
    <x:row r="21" ht="26" customHeight="1">
      <x:c r="A21" s="191" t="str">
        <x:v>CUST-022</x:v>
      </x:c>
      <x:c r="B21" s="191" t="str">
        <x:v>Demo Customer 22</x:v>
      </x:c>
      <x:c r="C21" s="191" t="str">
        <x:v>customer22@example.invalid</x:v>
      </x:c>
      <x:c r="D21" s="191" t="str">
        <x:v>+62-811-000-0022</x:v>
      </x:c>
      <x:c r="E21" s="191" t="str">
        <x:v>ID</x:v>
      </x:c>
      <x:c r="F21" s="191" t="str">
        <x:v>Resolved</x:v>
      </x:c>
      <x:c r="G21" s="192" t="n">
        <x:v>46207</x:v>
      </x:c>
      <x:c r="H21" s="191" t="str">
        <x:v>SUP-022</x:v>
      </x:c>
    </x:row>
    <x:row r="22" ht="26" customHeight="1">
      <x:c r="A22" s="189" t="str">
        <x:v>CUST-023</x:v>
      </x:c>
      <x:c r="B22" s="189" t="str">
        <x:v>Demo Customer 23</x:v>
      </x:c>
      <x:c r="C22" s="189" t="str">
        <x:v>customer23@example.invalid</x:v>
      </x:c>
      <x:c r="D22" s="189" t="str">
        <x:v>+62-811-000-0023</x:v>
      </x:c>
      <x:c r="E22" s="189" t="str">
        <x:v>ID</x:v>
      </x:c>
      <x:c r="F22" s="189" t="str">
        <x:v>Waiting</x:v>
      </x:c>
      <x:c r="G22" s="190" t="n">
        <x:v>46208</x:v>
      </x:c>
      <x:c r="H22" s="189" t="str">
        <x:v>SUP-023</x:v>
      </x:c>
    </x:row>
    <x:row r="23" ht="26" customHeight="1">
      <x:c r="A23" s="191" t="str">
        <x:v>CUST-024</x:v>
      </x:c>
      <x:c r="B23" s="191" t="str">
        <x:v>Demo Customer 24</x:v>
      </x:c>
      <x:c r="C23" s="191" t="str">
        <x:v>customer24@example.invalid</x:v>
      </x:c>
      <x:c r="D23" s="191" t="str">
        <x:v>+62-811-000-0024</x:v>
      </x:c>
      <x:c r="E23" s="191" t="str">
        <x:v>ID</x:v>
      </x:c>
      <x:c r="F23" s="191" t="str">
        <x:v>Open</x:v>
      </x:c>
      <x:c r="G23" s="192" t="n">
        <x:v>46209</x:v>
      </x:c>
      <x:c r="H23" s="191" t="str">
        <x:v>SUP-024</x:v>
      </x:c>
    </x:row>
    <x:row r="24" ht="26" customHeight="1">
      <x:c r="A24" s="189" t="str">
        <x:v>CUST-025</x:v>
      </x:c>
      <x:c r="B24" s="189" t="str">
        <x:v>Demo Customer 25</x:v>
      </x:c>
      <x:c r="C24" s="189" t="str">
        <x:v>customer25@example.invalid</x:v>
      </x:c>
      <x:c r="D24" s="189" t="str">
        <x:v>+62-811-000-0025</x:v>
      </x:c>
      <x:c r="E24" s="189" t="str">
        <x:v>SG</x:v>
      </x:c>
      <x:c r="F24" s="189" t="str">
        <x:v>Resolved</x:v>
      </x:c>
      <x:c r="G24" s="190" t="n">
        <x:v>46210</x:v>
      </x:c>
      <x:c r="H24" s="189" t="str">
        <x:v>SUP-025</x:v>
      </x:c>
    </x:row>
    <x:row r="25" ht="26" customHeight="1">
      <x:c r="A25" s="191" t="str">
        <x:v>CUST-026</x:v>
      </x:c>
      <x:c r="B25" s="191" t="str">
        <x:v>Demo Customer 26</x:v>
      </x:c>
      <x:c r="C25" s="191" t="str">
        <x:v>customer26@example.invalid</x:v>
      </x:c>
      <x:c r="D25" s="191" t="str">
        <x:v>+62-811-000-0026</x:v>
      </x:c>
      <x:c r="E25" s="191" t="str">
        <x:v>ID</x:v>
      </x:c>
      <x:c r="F25" s="191" t="str">
        <x:v>Waiting</x:v>
      </x:c>
      <x:c r="G25" s="192" t="n">
        <x:v>46211</x:v>
      </x:c>
      <x:c r="H25" s="191" t="str">
        <x:v>SUP-026</x:v>
      </x:c>
    </x:row>
    <x:row r="26" ht="26" customHeight="1">
      <x:c r="A26" s="189" t="str">
        <x:v>CUST-027</x:v>
      </x:c>
      <x:c r="B26" s="189" t="str">
        <x:v>Demo Customer 27</x:v>
      </x:c>
      <x:c r="C26" s="189" t="str">
        <x:v>customer27@example.invalid</x:v>
      </x:c>
      <x:c r="D26" s="189" t="str">
        <x:v>+62-811-000-0027</x:v>
      </x:c>
      <x:c r="E26" s="189" t="str">
        <x:v>ID</x:v>
      </x:c>
      <x:c r="F26" s="189" t="str">
        <x:v>Open</x:v>
      </x:c>
      <x:c r="G26" s="190" t="n">
        <x:v>46212</x:v>
      </x:c>
      <x:c r="H26" s="189" t="str">
        <x:v>SUP-027</x:v>
      </x:c>
    </x:row>
    <x:row r="27" ht="26" customHeight="1">
      <x:c r="A27" s="191" t="str">
        <x:v>CUST-028</x:v>
      </x:c>
      <x:c r="B27" s="191" t="str">
        <x:v>Demo Customer 28</x:v>
      </x:c>
      <x:c r="C27" s="191" t="str">
        <x:v>customer28@example.invalid</x:v>
      </x:c>
      <x:c r="D27" s="191" t="str">
        <x:v>+62-811-000-0028</x:v>
      </x:c>
      <x:c r="E27" s="191" t="str">
        <x:v>ID</x:v>
      </x:c>
      <x:c r="F27" s="191" t="str">
        <x:v>Resolved</x:v>
      </x:c>
      <x:c r="G27" s="192" t="n">
        <x:v>46213</x:v>
      </x:c>
      <x:c r="H27" s="191" t="str">
        <x:v>SUP-028</x:v>
      </x:c>
    </x:row>
    <x:row r="28" ht="26" customHeight="1">
      <x:c r="A28" s="189" t="str">
        <x:v>CUST-029</x:v>
      </x:c>
      <x:c r="B28" s="189" t="str">
        <x:v>Demo Customer 29</x:v>
      </x:c>
      <x:c r="C28" s="189" t="str">
        <x:v>customer29@example.invalid</x:v>
      </x:c>
      <x:c r="D28" s="189" t="str">
        <x:v>+62-814-SUP-29</x:v>
      </x:c>
      <x:c r="E28" s="189" t="str">
        <x:v>ID</x:v>
      </x:c>
      <x:c r="F28" s="189" t="str">
        <x:v>Waiting</x:v>
      </x:c>
      <x:c r="G28" s="190" t="n">
        <x:v>46214</x:v>
      </x:c>
      <x:c r="H28" s="189" t="str">
        <x:v>SUP-029</x:v>
      </x:c>
    </x:row>
    <x:row r="29" ht="26" customHeight="1">
      <x:c r="A29" s="191" t="str">
        <x:v>CUST-030</x:v>
      </x:c>
      <x:c r="B29" s="191" t="str">
        <x:v>Demo Customer 30</x:v>
      </x:c>
      <x:c r="C29" s="191" t="str">
        <x:v>customer30@example.invalid</x:v>
      </x:c>
      <x:c r="D29" s="191" t="str">
        <x:v>+62-811-000-0030</x:v>
      </x:c>
      <x:c r="E29" s="191" t="str">
        <x:v>SG</x:v>
      </x:c>
      <x:c r="F29" s="191" t="str">
        <x:v>Open</x:v>
      </x:c>
      <x:c r="G29" s="192" t="n">
        <x:v>46215</x:v>
      </x:c>
      <x:c r="H29" s="191" t="str">
        <x:v>SUP-030</x:v>
      </x:c>
    </x:row>
    <x:row r="30" ht="26" customHeight="1">
      <x:c r="A30" s="189" t="str">
        <x:v>CUST-031</x:v>
      </x:c>
      <x:c r="B30" s="189" t="str">
        <x:v>Demo Customer 31</x:v>
      </x:c>
      <x:c r="C30" s="189" t="str">
        <x:v>customer31@example.invalid</x:v>
      </x:c>
      <x:c r="D30" s="189" t="str">
        <x:v>+62-811-000-0031</x:v>
      </x:c>
      <x:c r="E30" s="189" t="str">
        <x:v>ID</x:v>
      </x:c>
      <x:c r="F30" s="189" t="str">
        <x:v>Resolved</x:v>
      </x:c>
      <x:c r="G30" s="190" t="n">
        <x:v>46216</x:v>
      </x:c>
      <x:c r="H30" s="189" t="str">
        <x:v>SUP-031</x:v>
      </x:c>
    </x:row>
    <x:row r="31" ht="26" customHeight="1">
      <x:c r="A31" s="191" t="str">
        <x:v>CUST-032</x:v>
      </x:c>
      <x:c r="B31" s="191" t="str">
        <x:v>Demo Customer 32</x:v>
      </x:c>
      <x:c r="C31" s="191" t="str">
        <x:v>support32@example.invalid</x:v>
      </x:c>
      <x:c r="D31" s="191" t="str">
        <x:v>+62-811-000-0032</x:v>
      </x:c>
      <x:c r="E31" s="191" t="str">
        <x:v>ID</x:v>
      </x:c>
      <x:c r="F31" s="191" t="str">
        <x:v>Waiting</x:v>
      </x:c>
      <x:c r="G31" s="192" t="n">
        <x:v>46217</x:v>
      </x:c>
      <x:c r="H31" s="191" t="str">
        <x:v>SUP-032</x:v>
      </x:c>
    </x:row>
    <x:row r="32" ht="26" customHeight="1">
      <x:c r="A32" s="189" t="str">
        <x:v>CUST-033</x:v>
      </x:c>
      <x:c r="B32" s="189" t="str">
        <x:v>Demo Customer 33</x:v>
      </x:c>
      <x:c r="C32" s="189" t="str">
        <x:v>customer33@example.invalid</x:v>
      </x:c>
      <x:c r="D32" s="189" t="str">
        <x:v>+62-811-000-0033</x:v>
      </x:c>
      <x:c r="E32" s="189" t="str">
        <x:v>ID</x:v>
      </x:c>
      <x:c r="F32" s="189" t="str">
        <x:v>Open</x:v>
      </x:c>
      <x:c r="G32" s="190" t="n">
        <x:v>46218</x:v>
      </x:c>
      <x:c r="H32" s="189" t="str">
        <x:v>SUP-033</x:v>
      </x:c>
    </x:row>
    <x:row r="33" ht="26" customHeight="1">
      <x:c r="A33" s="191" t="str">
        <x:v>CUST-034</x:v>
      </x:c>
      <x:c r="B33" s="191" t="str">
        <x:v>Demo Customer 34</x:v>
      </x:c>
      <x:c r="C33" s="191" t="str">
        <x:v>customer34@example.invalid</x:v>
      </x:c>
      <x:c r="D33" s="191" t="str">
        <x:v>+62-811-000-0034</x:v>
      </x:c>
      <x:c r="E33" s="191" t="str">
        <x:v>ID</x:v>
      </x:c>
      <x:c r="F33" s="191" t="str">
        <x:v>Resolved</x:v>
      </x:c>
      <x:c r="G33" s="192" t="n">
        <x:v>46219</x:v>
      </x:c>
      <x:c r="H33" s="191" t="str">
        <x:v>SUP-034</x:v>
      </x:c>
    </x:row>
    <x:row r="34" ht="26" customHeight="1">
      <x:c r="A34" s="193" t="str">
        <x:v>CUST-035</x:v>
      </x:c>
      <x:c r="B34" s="193" t="str">
        <x:v>Demo Customer 35</x:v>
      </x:c>
      <x:c r="C34" s="193" t="str">
        <x:v>customer35@example.invalid</x:v>
      </x:c>
      <x:c r="D34" s="193" t="str">
        <x:v>+62-811-000-0035</x:v>
      </x:c>
      <x:c r="E34" s="193" t="str">
        <x:v>SG</x:v>
      </x:c>
      <x:c r="F34" s="193" t="str">
        <x:v>Waiting</x:v>
      </x:c>
      <x:c r="G34" s="194" t="n">
        <x:v>46220</x:v>
      </x:c>
      <x:c r="H34" s="193" t="str">
        <x:v>SUP-035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5" hidden="0" customWidth="1"/>
    <x:col min="6" max="6" width="24" hidden="0" customWidth="1"/>
    <x:col min="7" max="7" width="42" hidden="0" customWidth="1"/>
    <x:col min="8" max="8" width="30" hidden="0" customWidth="1"/>
  </x:cols>
  <x:sheetData>
    <x:row r="1" ht="36" customHeight="1">
      <x:c r="A1" s="183" t="str">
        <x:v>PROJ-010 | MERGE RULES</x:v>
      </x:c>
      <x:c r="B1" s="183"/>
      <x:c r="C1" s="183"/>
      <x:c r="D1" s="183"/>
      <x:c r="E1" s="183"/>
      <x:c r="F1" s="183"/>
      <x:c r="G1" s="183"/>
      <x:c r="H1" s="183"/>
    </x:row>
    <x:row r="2" ht="25" customHeight="1">
      <x:c r="A2" s="184" t="str">
        <x:v>Visible source priority • field controls • no silent overwrite</x:v>
      </x:c>
      <x:c r="B2" s="184"/>
      <x:c r="C2" s="184"/>
      <x:c r="D2" s="184"/>
      <x:c r="E2" s="184"/>
      <x:c r="F2" s="184"/>
      <x:c r="G2" s="184"/>
      <x:c r="H2" s="184"/>
    </x:row>
    <x:row r="3">
      <x:c r="A3" s="185"/>
      <x:c r="B3" s="185"/>
      <x:c r="C3" s="185"/>
      <x:c r="D3" s="185"/>
      <x:c r="E3" s="185"/>
      <x:c r="F3" s="185"/>
      <x:c r="G3" s="185"/>
      <x:c r="H3" s="185"/>
    </x:row>
    <x:row r="4" ht="34" customHeight="1">
      <x:c r="A4" s="186" t="str">
        <x:v>Field</x:v>
      </x:c>
      <x:c r="B4" s="186" t="str">
        <x:v>Priority 1</x:v>
      </x:c>
      <x:c r="C4" s="186" t="str">
        <x:v>Priority 2</x:v>
      </x:c>
      <x:c r="D4" s="186" t="str">
        <x:v>Priority 3</x:v>
      </x:c>
      <x:c r="E4" s="185"/>
      <x:c r="F4" s="186" t="str">
        <x:v>Control</x:v>
      </x:c>
      <x:c r="G4" s="186" t="str">
        <x:v>Rule</x:v>
      </x:c>
      <x:c r="H4" s="186" t="str">
        <x:v>Action</x:v>
      </x:c>
    </x:row>
    <x:row r="5" ht="26" customHeight="1">
      <x:c r="A5" s="195" t="str">
        <x:v>Customer Name</x:v>
      </x:c>
      <x:c r="B5" s="195" t="str">
        <x:v>CRM</x:v>
      </x:c>
      <x:c r="C5" s="195" t="str">
        <x:v>Web Orders</x:v>
      </x:c>
      <x:c r="D5" s="195" t="str">
        <x:v>Support</x:v>
      </x:c>
      <x:c r="E5" s="185"/>
      <x:c r="F5" s="195" t="str">
        <x:v>Duplicate source key</x:v>
      </x:c>
      <x:c r="G5" s="195" t="str">
        <x:v>Customer ID occurs more than once in one source</x:v>
      </x:c>
      <x:c r="H5" s="195" t="str">
        <x:v>High-priority review</x:v>
      </x:c>
    </x:row>
    <x:row r="6" ht="26" customHeight="1">
      <x:c r="A6" s="196" t="str">
        <x:v>Email</x:v>
      </x:c>
      <x:c r="B6" s="196" t="str">
        <x:v>CRM</x:v>
      </x:c>
      <x:c r="C6" s="196" t="str">
        <x:v>Web Orders</x:v>
      </x:c>
      <x:c r="D6" s="196" t="str">
        <x:v>Support</x:v>
      </x:c>
      <x:c r="E6" s="185"/>
      <x:c r="F6" s="196" t="str">
        <x:v>Email conflict</x:v>
      </x:c>
      <x:c r="G6" s="196" t="str">
        <x:v>Two populated sources disagree</x:v>
      </x:c>
      <x:c r="H6" s="196" t="str">
        <x:v>Do not overwrite silently</x:v>
      </x:c>
    </x:row>
    <x:row r="7" ht="26" customHeight="1">
      <x:c r="A7" s="196" t="str">
        <x:v>Phone</x:v>
      </x:c>
      <x:c r="B7" s="196" t="str">
        <x:v>CRM</x:v>
      </x:c>
      <x:c r="C7" s="196" t="str">
        <x:v>Web Orders</x:v>
      </x:c>
      <x:c r="D7" s="196" t="str">
        <x:v>Support</x:v>
      </x:c>
      <x:c r="E7" s="185"/>
      <x:c r="F7" s="196" t="str">
        <x:v>Phone conflict</x:v>
      </x:c>
      <x:c r="G7" s="196" t="str">
        <x:v>Two populated sources disagree</x:v>
      </x:c>
      <x:c r="H7" s="196" t="str">
        <x:v>Do not overwrite silently</x:v>
      </x:c>
    </x:row>
    <x:row r="8" ht="26" customHeight="1">
      <x:c r="A8" s="196" t="str">
        <x:v>Country Code</x:v>
      </x:c>
      <x:c r="B8" s="196" t="str">
        <x:v>CRM</x:v>
      </x:c>
      <x:c r="C8" s="196" t="str">
        <x:v>Web Orders</x:v>
      </x:c>
      <x:c r="D8" s="196" t="str">
        <x:v>Support</x:v>
      </x:c>
      <x:c r="E8" s="185"/>
      <x:c r="F8" s="196" t="str">
        <x:v>Country validation</x:v>
      </x:c>
      <x:c r="G8" s="196" t="str">
        <x:v>Allowed: ID or SG</x:v>
      </x:c>
      <x:c r="H8" s="196" t="str">
        <x:v>Review invalid code</x:v>
      </x:c>
    </x:row>
    <x:row r="9" ht="26" customHeight="1">
      <x:c r="A9" s="197" t="str">
        <x:v>Updated Date</x:v>
      </x:c>
      <x:c r="B9" s="197" t="str">
        <x:v>Latest valid source</x:v>
      </x:c>
      <x:c r="C9" s="197" t="str">
        <x:v>Latest valid source</x:v>
      </x:c>
      <x:c r="D9" s="197" t="str">
        <x:v>Latest valid source</x:v>
      </x:c>
      <x:c r="E9" s="185"/>
      <x:c r="F9" s="196" t="str">
        <x:v>Missing value</x:v>
      </x:c>
      <x:c r="G9" s="196" t="str">
        <x:v>All sources blank</x:v>
      </x:c>
      <x:c r="H9" s="196" t="str">
        <x:v>Request source evidence</x:v>
      </x:c>
    </x:row>
    <x:row r="10" ht="26" customHeight="1">
      <x:c r="A10" s="185"/>
      <x:c r="B10" s="185"/>
      <x:c r="C10" s="185"/>
      <x:c r="D10" s="185"/>
      <x:c r="E10" s="185"/>
      <x:c r="F10" s="197" t="str">
        <x:v>Resolution</x:v>
      </x:c>
      <x:c r="G10" s="197" t="str">
        <x:v>Proof and verifier required</x:v>
      </x:c>
      <x:c r="H10" s="197" t="str">
        <x:v>Keep Open until verified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8" hidden="0" customWidth="1"/>
    <x:col min="5" max="5" width="24" hidden="0" customWidth="1"/>
    <x:col min="6" max="6" width="31" hidden="0" customWidth="1"/>
    <x:col min="7" max="7" width="22" hidden="0" customWidth="1"/>
    <x:col min="8" max="8" width="15" hidden="0" customWidth="1"/>
    <x:col min="9" max="9" width="15" hidden="0" customWidth="1"/>
    <x:col min="10" max="10" width="18" hidden="0" customWidth="1"/>
  </x:cols>
  <x:sheetData>
    <x:row r="1" ht="36" customHeight="1">
      <x:c r="A1" s="183" t="str">
        <x:v>PROJ-010 | NORMALIZED COMBINED</x:v>
      </x:c>
      <x:c r="B1" s="183"/>
      <x:c r="C1" s="183"/>
      <x:c r="D1" s="183"/>
      <x:c r="E1" s="183"/>
      <x:c r="F1" s="183"/>
      <x:c r="G1" s="183"/>
      <x:c r="H1" s="183"/>
      <x:c r="I1" s="183"/>
      <x:c r="J1" s="183"/>
    </x:row>
    <x:row r="2" ht="25" customHeight="1">
      <x:c r="A2" s="184" t="str">
        <x:v>90 source rows standardized into one auditable structure</x:v>
      </x:c>
      <x:c r="B2" s="184"/>
      <x:c r="C2" s="184"/>
      <x:c r="D2" s="184"/>
      <x:c r="E2" s="184"/>
      <x:c r="F2" s="184"/>
      <x:c r="G2" s="184"/>
      <x:c r="H2" s="184"/>
      <x:c r="I2" s="184"/>
      <x:c r="J2" s="184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</x:row>
    <x:row r="4" ht="34" customHeight="1">
      <x:c r="A4" s="186" t="str">
        <x:v>Combined Row</x:v>
      </x:c>
      <x:c r="B4" s="186" t="str">
        <x:v>Source System</x:v>
      </x:c>
      <x:c r="C4" s="186" t="str">
        <x:v>Source Row</x:v>
      </x:c>
      <x:c r="D4" s="186" t="str">
        <x:v>Customer ID</x:v>
      </x:c>
      <x:c r="E4" s="186" t="str">
        <x:v>Customer Name</x:v>
      </x:c>
      <x:c r="F4" s="186" t="str">
        <x:v>Email</x:v>
      </x:c>
      <x:c r="G4" s="186" t="str">
        <x:v>Phone</x:v>
      </x:c>
      <x:c r="H4" s="186" t="str">
        <x:v>Country Code</x:v>
      </x:c>
      <x:c r="I4" s="186" t="str">
        <x:v>Updated Date</x:v>
      </x:c>
      <x:c r="J4" s="186" t="str">
        <x:v>Source Row ID</x:v>
      </x:c>
    </x:row>
    <x:row r="5" ht="26" customHeight="1">
      <x:c r="A5" s="198" t="n">
        <x:f>ROW()-4</x:f>
        <x:v>1</x:v>
      </x:c>
      <x:c r="B5" s="198" t="str">
        <x:f>"CRM"</x:f>
        <x:v>CRM</x:v>
      </x:c>
      <x:c r="C5" s="198" t="n">
        <x:f>5</x:f>
        <x:v>5</x:v>
      </x:c>
      <x:c r="D5" s="198" t="str">
        <x:f>'CRM Source'!A5</x:f>
        <x:v>CUST-001</x:v>
      </x:c>
      <x:c r="E5" s="198" t="str">
        <x:f>'CRM Source'!B5</x:f>
        <x:v>Demo Customer 01</x:v>
      </x:c>
      <x:c r="F5" s="198" t="str">
        <x:f>'CRM Source'!C5</x:f>
        <x:v>customer01@example.invalid</x:v>
      </x:c>
      <x:c r="G5" s="198" t="str">
        <x:f>'CRM Source'!D5</x:f>
        <x:v>+62-811-000-0001</x:v>
      </x:c>
      <x:c r="H5" s="198" t="str">
        <x:f>'CRM Source'!E5</x:f>
        <x:v>ID</x:v>
      </x:c>
      <x:c r="I5" s="199" t="n">
        <x:f>'CRM Source'!G5</x:f>
        <x:v>46205</x:v>
      </x:c>
      <x:c r="J5" s="198" t="str">
        <x:f>'CRM Source'!H5</x:f>
        <x:v>CRM-001</x:v>
      </x:c>
    </x:row>
    <x:row r="6" ht="26" customHeight="1">
      <x:c r="A6" s="200" t="n">
        <x:f>ROW()-4</x:f>
        <x:v>2</x:v>
      </x:c>
      <x:c r="B6" s="200" t="str">
        <x:f>"CRM"</x:f>
        <x:v>CRM</x:v>
      </x:c>
      <x:c r="C6" s="200" t="n">
        <x:f>6</x:f>
        <x:v>6</x:v>
      </x:c>
      <x:c r="D6" s="200" t="str">
        <x:f>'CRM Source'!A6</x:f>
        <x:v>CUST-002</x:v>
      </x:c>
      <x:c r="E6" s="200" t="str">
        <x:f>'CRM Source'!B6</x:f>
        <x:v>Demo Customer 02</x:v>
      </x:c>
      <x:c r="F6" s="200" t="str">
        <x:f>'CRM Source'!C6</x:f>
        <x:v>customer02@example.invalid</x:v>
      </x:c>
      <x:c r="G6" s="200" t="str">
        <x:f>'CRM Source'!D6</x:f>
        <x:v>+62-811-000-0002</x:v>
      </x:c>
      <x:c r="H6" s="200" t="str">
        <x:f>'CRM Source'!E6</x:f>
        <x:v>ID</x:v>
      </x:c>
      <x:c r="I6" s="201" t="n">
        <x:f>'CRM Source'!G6</x:f>
        <x:v>46206</x:v>
      </x:c>
      <x:c r="J6" s="200" t="str">
        <x:f>'CRM Source'!H6</x:f>
        <x:v>CRM-002</x:v>
      </x:c>
    </x:row>
    <x:row r="7" ht="26" customHeight="1">
      <x:c r="A7" s="202" t="n">
        <x:f>ROW()-4</x:f>
        <x:v>3</x:v>
      </x:c>
      <x:c r="B7" s="202" t="str">
        <x:f>"CRM"</x:f>
        <x:v>CRM</x:v>
      </x:c>
      <x:c r="C7" s="202" t="n">
        <x:f>7</x:f>
        <x:v>7</x:v>
      </x:c>
      <x:c r="D7" s="202" t="str">
        <x:f>'CRM Source'!A7</x:f>
        <x:v>CUST-003</x:v>
      </x:c>
      <x:c r="E7" s="202" t="str">
        <x:f>'CRM Source'!B7</x:f>
        <x:v>Demo Customer 03</x:v>
      </x:c>
      <x:c r="F7" s="202" t="str">
        <x:f>'CRM Source'!C7</x:f>
        <x:v>customer03@example.invalid</x:v>
      </x:c>
      <x:c r="G7" s="202" t="str">
        <x:f>'CRM Source'!D7</x:f>
        <x:v>+62-811-000-0003</x:v>
      </x:c>
      <x:c r="H7" s="202" t="str">
        <x:f>'CRM Source'!E7</x:f>
        <x:v>ID</x:v>
      </x:c>
      <x:c r="I7" s="203" t="n">
        <x:f>'CRM Source'!G7</x:f>
        <x:v>46207</x:v>
      </x:c>
      <x:c r="J7" s="202" t="str">
        <x:f>'CRM Source'!H7</x:f>
        <x:v>CRM-003</x:v>
      </x:c>
    </x:row>
    <x:row r="8" ht="26" customHeight="1">
      <x:c r="A8" s="200" t="n">
        <x:f>ROW()-4</x:f>
        <x:v>4</x:v>
      </x:c>
      <x:c r="B8" s="200" t="str">
        <x:f>"CRM"</x:f>
        <x:v>CRM</x:v>
      </x:c>
      <x:c r="C8" s="200" t="n">
        <x:f>8</x:f>
        <x:v>8</x:v>
      </x:c>
      <x:c r="D8" s="200" t="str">
        <x:f>'CRM Source'!A8</x:f>
        <x:v>CUST-004</x:v>
      </x:c>
      <x:c r="E8" s="200" t="str">
        <x:f>'CRM Source'!B8</x:f>
        <x:v>Demo Customer 04</x:v>
      </x:c>
      <x:c r="F8" s="200" t="str">
        <x:f>'CRM Source'!C8</x:f>
        <x:v>customer04@example.invalid</x:v>
      </x:c>
      <x:c r="G8" s="200" t="str">
        <x:f>'CRM Source'!D8</x:f>
        <x:v>+62-811-000-0004</x:v>
      </x:c>
      <x:c r="H8" s="200" t="str">
        <x:f>'CRM Source'!E8</x:f>
        <x:v>ID</x:v>
      </x:c>
      <x:c r="I8" s="201" t="n">
        <x:f>'CRM Source'!G8</x:f>
        <x:v>46208</x:v>
      </x:c>
      <x:c r="J8" s="200" t="str">
        <x:f>'CRM Source'!H8</x:f>
        <x:v>CRM-004</x:v>
      </x:c>
    </x:row>
    <x:row r="9" ht="26" customHeight="1">
      <x:c r="A9" s="202" t="n">
        <x:f>ROW()-4</x:f>
        <x:v>5</x:v>
      </x:c>
      <x:c r="B9" s="202" t="str">
        <x:f>"CRM"</x:f>
        <x:v>CRM</x:v>
      </x:c>
      <x:c r="C9" s="202" t="n">
        <x:f>9</x:f>
        <x:v>9</x:v>
      </x:c>
      <x:c r="D9" s="202" t="str">
        <x:f>'CRM Source'!A9</x:f>
        <x:v>CUST-005</x:v>
      </x:c>
      <x:c r="E9" s="202" t="str">
        <x:f>'CRM Source'!B9</x:f>
        <x:v>Demo Customer 05</x:v>
      </x:c>
      <x:c r="F9" s="202" t="str">
        <x:f>'CRM Source'!C9</x:f>
        <x:v>customer05@example.invalid</x:v>
      </x:c>
      <x:c r="G9" s="202" t="str">
        <x:f>'CRM Source'!D9</x:f>
        <x:v>+62-811-000-0005</x:v>
      </x:c>
      <x:c r="H9" s="202" t="str">
        <x:f>'CRM Source'!E9</x:f>
        <x:v>SG</x:v>
      </x:c>
      <x:c r="I9" s="203" t="n">
        <x:f>'CRM Source'!G9</x:f>
        <x:v>46209</x:v>
      </x:c>
      <x:c r="J9" s="202" t="str">
        <x:f>'CRM Source'!H9</x:f>
        <x:v>CRM-005</x:v>
      </x:c>
    </x:row>
    <x:row r="10" ht="26" customHeight="1">
      <x:c r="A10" s="200" t="n">
        <x:f>ROW()-4</x:f>
        <x:v>6</x:v>
      </x:c>
      <x:c r="B10" s="200" t="str">
        <x:f>"CRM"</x:f>
        <x:v>CRM</x:v>
      </x:c>
      <x:c r="C10" s="200" t="n">
        <x:f>10</x:f>
        <x:v>10</x:v>
      </x:c>
      <x:c r="D10" s="200" t="str">
        <x:f>'CRM Source'!A10</x:f>
        <x:v>CUST-006</x:v>
      </x:c>
      <x:c r="E10" s="200" t="str">
        <x:f>'CRM Source'!B10</x:f>
        <x:v>Demo Customer 06</x:v>
      </x:c>
      <x:c r="F10" s="200" t="str">
        <x:f>'CRM Source'!C10</x:f>
        <x:v>customer06@example.invalid</x:v>
      </x:c>
      <x:c r="G10" s="200" t="str">
        <x:f>'CRM Source'!D10</x:f>
        <x:v>+62-811-000-0006</x:v>
      </x:c>
      <x:c r="H10" s="200" t="str">
        <x:f>'CRM Source'!E10</x:f>
        <x:v>ID</x:v>
      </x:c>
      <x:c r="I10" s="201" t="n">
        <x:f>'CRM Source'!G10</x:f>
        <x:v>46210</x:v>
      </x:c>
      <x:c r="J10" s="200" t="str">
        <x:f>'CRM Source'!H10</x:f>
        <x:v>CRM-006</x:v>
      </x:c>
    </x:row>
    <x:row r="11" ht="26" customHeight="1">
      <x:c r="A11" s="202" t="n">
        <x:f>ROW()-4</x:f>
        <x:v>7</x:v>
      </x:c>
      <x:c r="B11" s="202" t="str">
        <x:f>"CRM"</x:f>
        <x:v>CRM</x:v>
      </x:c>
      <x:c r="C11" s="202" t="n">
        <x:f>11</x:f>
        <x:v>11</x:v>
      </x:c>
      <x:c r="D11" s="202" t="str">
        <x:f>'CRM Source'!A11</x:f>
        <x:v>CUST-007</x:v>
      </x:c>
      <x:c r="E11" s="202" t="str">
        <x:f>'CRM Source'!B11</x:f>
        <x:v>Demo Customer 07</x:v>
      </x:c>
      <x:c r="F11" s="202" t="str">
        <x:f>'CRM Source'!C11</x:f>
        <x:v>customer07@example.invalid</x:v>
      </x:c>
      <x:c r="G11" s="202" t="str">
        <x:f>'CRM Source'!D11</x:f>
        <x:v>+62-811-000-0007</x:v>
      </x:c>
      <x:c r="H11" s="202" t="str">
        <x:f>'CRM Source'!E11</x:f>
        <x:v>ID</x:v>
      </x:c>
      <x:c r="I11" s="203" t="n">
        <x:f>'CRM Source'!G11</x:f>
        <x:v>46211</x:v>
      </x:c>
      <x:c r="J11" s="202" t="str">
        <x:f>'CRM Source'!H11</x:f>
        <x:v>CRM-007</x:v>
      </x:c>
    </x:row>
    <x:row r="12" ht="26" customHeight="1">
      <x:c r="A12" s="200" t="n">
        <x:f>ROW()-4</x:f>
        <x:v>8</x:v>
      </x:c>
      <x:c r="B12" s="200" t="str">
        <x:f>"CRM"</x:f>
        <x:v>CRM</x:v>
      </x:c>
      <x:c r="C12" s="200" t="n">
        <x:f>12</x:f>
        <x:v>12</x:v>
      </x:c>
      <x:c r="D12" s="200" t="str">
        <x:f>'CRM Source'!A12</x:f>
        <x:v>CUST-008</x:v>
      </x:c>
      <x:c r="E12" s="200" t="str">
        <x:f>'CRM Source'!B12</x:f>
        <x:v>Demo Customer 08</x:v>
      </x:c>
      <x:c r="F12" s="200" t="str">
        <x:f>'CRM Source'!C12</x:f>
        <x:v>customer08@example.invalid</x:v>
      </x:c>
      <x:c r="G12" s="200" t="str">
        <x:f>'CRM Source'!D12</x:f>
        <x:v>+62-811-000-0008</x:v>
      </x:c>
      <x:c r="H12" s="200" t="str">
        <x:f>'CRM Source'!E12</x:f>
        <x:v>ID</x:v>
      </x:c>
      <x:c r="I12" s="201" t="n">
        <x:f>'CRM Source'!G12</x:f>
        <x:v>46212</x:v>
      </x:c>
      <x:c r="J12" s="200" t="str">
        <x:f>'CRM Source'!H12</x:f>
        <x:v>CRM-008</x:v>
      </x:c>
    </x:row>
    <x:row r="13" ht="26" customHeight="1">
      <x:c r="A13" s="202" t="n">
        <x:f>ROW()-4</x:f>
        <x:v>9</x:v>
      </x:c>
      <x:c r="B13" s="202" t="str">
        <x:f>"CRM"</x:f>
        <x:v>CRM</x:v>
      </x:c>
      <x:c r="C13" s="202" t="n">
        <x:f>13</x:f>
        <x:v>13</x:v>
      </x:c>
      <x:c r="D13" s="202" t="str">
        <x:f>'CRM Source'!A13</x:f>
        <x:v>CUST-009</x:v>
      </x:c>
      <x:c r="E13" s="202" t="str">
        <x:f>'CRM Source'!B13</x:f>
        <x:v>Demo Customer 09</x:v>
      </x:c>
      <x:c r="F13" s="202" t="str">
        <x:f>'CRM Source'!C13</x:f>
        <x:v>customer09@example.invalid</x:v>
      </x:c>
      <x:c r="G13" s="202" t="str">
        <x:f>'CRM Source'!D13</x:f>
        <x:v>+62-811-000-0009</x:v>
      </x:c>
      <x:c r="H13" s="202" t="str">
        <x:f>'CRM Source'!E13</x:f>
        <x:v>ID</x:v>
      </x:c>
      <x:c r="I13" s="203" t="n">
        <x:f>'CRM Source'!G13</x:f>
        <x:v>46213</x:v>
      </x:c>
      <x:c r="J13" s="202" t="str">
        <x:f>'CRM Source'!H13</x:f>
        <x:v>CRM-009</x:v>
      </x:c>
    </x:row>
    <x:row r="14" ht="26" customHeight="1">
      <x:c r="A14" s="200" t="n">
        <x:f>ROW()-4</x:f>
        <x:v>10</x:v>
      </x:c>
      <x:c r="B14" s="200" t="str">
        <x:f>"CRM"</x:f>
        <x:v>CRM</x:v>
      </x:c>
      <x:c r="C14" s="200" t="n">
        <x:f>14</x:f>
        <x:v>14</x:v>
      </x:c>
      <x:c r="D14" s="200" t="str">
        <x:f>'CRM Source'!A14</x:f>
        <x:v>CUST-010</x:v>
      </x:c>
      <x:c r="E14" s="200" t="str">
        <x:f>'CRM Source'!B14</x:f>
        <x:v>Demo Customer 10</x:v>
      </x:c>
      <x:c r="F14" s="200" t="str">
        <x:f>'CRM Source'!C14</x:f>
        <x:v>customer10@example.invalid</x:v>
      </x:c>
      <x:c r="G14" s="200" t="str">
        <x:f>'CRM Source'!D14</x:f>
        <x:v>+62-811-000-0010</x:v>
      </x:c>
      <x:c r="H14" s="200" t="str">
        <x:f>'CRM Source'!E14</x:f>
        <x:v>SG</x:v>
      </x:c>
      <x:c r="I14" s="201" t="n">
        <x:f>'CRM Source'!G14</x:f>
        <x:v>46214</x:v>
      </x:c>
      <x:c r="J14" s="200" t="str">
        <x:f>'CRM Source'!H14</x:f>
        <x:v>CRM-010</x:v>
      </x:c>
    </x:row>
    <x:row r="15" ht="26" customHeight="1">
      <x:c r="A15" s="202" t="n">
        <x:f>ROW()-4</x:f>
        <x:v>11</x:v>
      </x:c>
      <x:c r="B15" s="202" t="str">
        <x:f>"CRM"</x:f>
        <x:v>CRM</x:v>
      </x:c>
      <x:c r="C15" s="202" t="n">
        <x:f>15</x:f>
        <x:v>15</x:v>
      </x:c>
      <x:c r="D15" s="202" t="str">
        <x:f>'CRM Source'!A15</x:f>
        <x:v>CUST-011</x:v>
      </x:c>
      <x:c r="E15" s="202" t="str">
        <x:f>'CRM Source'!B15</x:f>
        <x:v>Demo Customer 11</x:v>
      </x:c>
      <x:c r="F15" s="202" t="str">
        <x:f>'CRM Source'!C15</x:f>
        <x:v>customer11@example.invalid</x:v>
      </x:c>
      <x:c r="G15" s="202" t="str">
        <x:f>'CRM Source'!D15</x:f>
        <x:v>+62-811-000-0011</x:v>
      </x:c>
      <x:c r="H15" s="202" t="str">
        <x:f>'CRM Source'!E15</x:f>
        <x:v>ID</x:v>
      </x:c>
      <x:c r="I15" s="203" t="n">
        <x:f>'CRM Source'!G15</x:f>
        <x:v>46215</x:v>
      </x:c>
      <x:c r="J15" s="202" t="str">
        <x:f>'CRM Source'!H15</x:f>
        <x:v>CRM-011</x:v>
      </x:c>
    </x:row>
    <x:row r="16" ht="26" customHeight="1">
      <x:c r="A16" s="200" t="n">
        <x:f>ROW()-4</x:f>
        <x:v>12</x:v>
      </x:c>
      <x:c r="B16" s="200" t="str">
        <x:f>"CRM"</x:f>
        <x:v>CRM</x:v>
      </x:c>
      <x:c r="C16" s="200" t="n">
        <x:f>16</x:f>
        <x:v>16</x:v>
      </x:c>
      <x:c r="D16" s="200" t="str">
        <x:f>'CRM Source'!A16</x:f>
        <x:v>CUST-012</x:v>
      </x:c>
      <x:c r="E16" s="200" t="str">
        <x:f>'CRM Source'!B16</x:f>
        <x:v>Demo Customer 12</x:v>
      </x:c>
      <x:c r="F16" s="200" t="str">
        <x:f>'CRM Source'!C16</x:f>
        <x:v>crm12@example.invalid</x:v>
      </x:c>
      <x:c r="G16" s="200" t="str">
        <x:f>'CRM Source'!D16</x:f>
        <x:v>+62-811-000-0012</x:v>
      </x:c>
      <x:c r="H16" s="200" t="str">
        <x:f>'CRM Source'!E16</x:f>
        <x:v>ID</x:v>
      </x:c>
      <x:c r="I16" s="201" t="n">
        <x:f>'CRM Source'!G16</x:f>
        <x:v>46216</x:v>
      </x:c>
      <x:c r="J16" s="200" t="str">
        <x:f>'CRM Source'!H16</x:f>
        <x:v>CRM-012</x:v>
      </x:c>
    </x:row>
    <x:row r="17" ht="26" customHeight="1">
      <x:c r="A17" s="202" t="n">
        <x:f>ROW()-4</x:f>
        <x:v>13</x:v>
      </x:c>
      <x:c r="B17" s="202" t="str">
        <x:f>"CRM"</x:f>
        <x:v>CRM</x:v>
      </x:c>
      <x:c r="C17" s="202" t="n">
        <x:f>17</x:f>
        <x:v>17</x:v>
      </x:c>
      <x:c r="D17" s="202" t="str">
        <x:f>'CRM Source'!A17</x:f>
        <x:v>CUST-013</x:v>
      </x:c>
      <x:c r="E17" s="202" t="str">
        <x:f>'CRM Source'!B17</x:f>
        <x:v>Demo Customer 13</x:v>
      </x:c>
      <x:c r="F17" s="202" t="str">
        <x:f>'CRM Source'!C17</x:f>
        <x:v>customer13@example.invalid</x:v>
      </x:c>
      <x:c r="G17" s="202" t="str">
        <x:f>'CRM Source'!D17</x:f>
        <x:v>+62-811-000-0013</x:v>
      </x:c>
      <x:c r="H17" s="202" t="str">
        <x:f>'CRM Source'!E17</x:f>
        <x:v>ID</x:v>
      </x:c>
      <x:c r="I17" s="203" t="n">
        <x:f>'CRM Source'!G17</x:f>
        <x:v>46217</x:v>
      </x:c>
      <x:c r="J17" s="202" t="str">
        <x:f>'CRM Source'!H17</x:f>
        <x:v>CRM-013</x:v>
      </x:c>
    </x:row>
    <x:row r="18" ht="26" customHeight="1">
      <x:c r="A18" s="200" t="n">
        <x:f>ROW()-4</x:f>
        <x:v>14</x:v>
      </x:c>
      <x:c r="B18" s="200" t="str">
        <x:f>"CRM"</x:f>
        <x:v>CRM</x:v>
      </x:c>
      <x:c r="C18" s="200" t="n">
        <x:f>18</x:f>
        <x:v>18</x:v>
      </x:c>
      <x:c r="D18" s="200" t="str">
        <x:f>'CRM Source'!A18</x:f>
        <x:v>CUST-014</x:v>
      </x:c>
      <x:c r="E18" s="200" t="str">
        <x:f>'CRM Source'!B18</x:f>
        <x:v>Demo Customer 14</x:v>
      </x:c>
      <x:c r="F18" s="200" t="str">
        <x:f>'CRM Source'!C18</x:f>
        <x:v>customer14@example.invalid</x:v>
      </x:c>
      <x:c r="G18" s="200" t="str">
        <x:f>'CRM Source'!D18</x:f>
        <x:v>+62-811-000-0014</x:v>
      </x:c>
      <x:c r="H18" s="200" t="str">
        <x:f>'CRM Source'!E18</x:f>
        <x:v>ID</x:v>
      </x:c>
      <x:c r="I18" s="201" t="n">
        <x:f>'CRM Source'!G18</x:f>
        <x:v>46218</x:v>
      </x:c>
      <x:c r="J18" s="200" t="str">
        <x:f>'CRM Source'!H18</x:f>
        <x:v>CRM-014</x:v>
      </x:c>
    </x:row>
    <x:row r="19" ht="26" customHeight="1">
      <x:c r="A19" s="202" t="n">
        <x:f>ROW()-4</x:f>
        <x:v>15</x:v>
      </x:c>
      <x:c r="B19" s="202" t="str">
        <x:f>"CRM"</x:f>
        <x:v>CRM</x:v>
      </x:c>
      <x:c r="C19" s="202" t="n">
        <x:f>19</x:f>
        <x:v>19</x:v>
      </x:c>
      <x:c r="D19" s="202" t="str">
        <x:f>'CRM Source'!A19</x:f>
        <x:v>CUST-015</x:v>
      </x:c>
      <x:c r="E19" s="202" t="str">
        <x:f>'CRM Source'!B19</x:f>
        <x:v>Demo Customer 15</x:v>
      </x:c>
      <x:c r="F19" s="202" t="str">
        <x:f>'CRM Source'!C19</x:f>
        <x:v>customer15@example.invalid</x:v>
      </x:c>
      <x:c r="G19" s="202" t="str">
        <x:f>'CRM Source'!D19</x:f>
        <x:v>+62-812-CRM-15</x:v>
      </x:c>
      <x:c r="H19" s="202" t="str">
        <x:f>'CRM Source'!E19</x:f>
        <x:v>SG</x:v>
      </x:c>
      <x:c r="I19" s="203" t="n">
        <x:f>'CRM Source'!G19</x:f>
        <x:v>46219</x:v>
      </x:c>
      <x:c r="J19" s="202" t="str">
        <x:f>'CRM Source'!H19</x:f>
        <x:v>CRM-015</x:v>
      </x:c>
    </x:row>
    <x:row r="20" ht="26" customHeight="1">
      <x:c r="A20" s="200" t="n">
        <x:f>ROW()-4</x:f>
        <x:v>16</x:v>
      </x:c>
      <x:c r="B20" s="200" t="str">
        <x:f>"CRM"</x:f>
        <x:v>CRM</x:v>
      </x:c>
      <x:c r="C20" s="200" t="n">
        <x:f>20</x:f>
        <x:v>20</x:v>
      </x:c>
      <x:c r="D20" s="200" t="str">
        <x:f>'CRM Source'!A20</x:f>
        <x:v>CUST-016</x:v>
      </x:c>
      <x:c r="E20" s="200" t="str">
        <x:f>'CRM Source'!B20</x:f>
        <x:v>Demo Customer 16</x:v>
      </x:c>
      <x:c r="F20" s="200" t="str">
        <x:f>'CRM Source'!C20</x:f>
        <x:v>customer16@example.invalid</x:v>
      </x:c>
      <x:c r="G20" s="200" t="str">
        <x:f>'CRM Source'!D20</x:f>
        <x:v>+62-811-000-0016</x:v>
      </x:c>
      <x:c r="H20" s="200" t="str">
        <x:f>'CRM Source'!E20</x:f>
        <x:v>ID</x:v>
      </x:c>
      <x:c r="I20" s="201" t="n">
        <x:f>'CRM Source'!G20</x:f>
        <x:v>46220</x:v>
      </x:c>
      <x:c r="J20" s="200" t="str">
        <x:f>'CRM Source'!H20</x:f>
        <x:v>CRM-016</x:v>
      </x:c>
    </x:row>
    <x:row r="21" ht="26" customHeight="1">
      <x:c r="A21" s="202" t="n">
        <x:f>ROW()-4</x:f>
        <x:v>17</x:v>
      </x:c>
      <x:c r="B21" s="202" t="str">
        <x:f>"CRM"</x:f>
        <x:v>CRM</x:v>
      </x:c>
      <x:c r="C21" s="202" t="n">
        <x:f>21</x:f>
        <x:v>21</x:v>
      </x:c>
      <x:c r="D21" s="202" t="str">
        <x:f>'CRM Source'!A21</x:f>
        <x:v>CUST-017</x:v>
      </x:c>
      <x:c r="E21" s="202" t="str">
        <x:f>'CRM Source'!B21</x:f>
        <x:v>Demo Customer 17</x:v>
      </x:c>
      <x:c r="F21" s="202" t="str">
        <x:f>'CRM Source'!C21</x:f>
        <x:v>customer17@example.invalid</x:v>
      </x:c>
      <x:c r="G21" s="202" t="str">
        <x:f>'CRM Source'!D21</x:f>
        <x:v>+62-811-000-0017</x:v>
      </x:c>
      <x:c r="H21" s="202" t="str">
        <x:f>'CRM Source'!E21</x:f>
        <x:v>ID</x:v>
      </x:c>
      <x:c r="I21" s="203" t="n">
        <x:f>'CRM Source'!G21</x:f>
        <x:v>46221</x:v>
      </x:c>
      <x:c r="J21" s="202" t="str">
        <x:f>'CRM Source'!H21</x:f>
        <x:v>CRM-017</x:v>
      </x:c>
    </x:row>
    <x:row r="22" ht="26" customHeight="1">
      <x:c r="A22" s="200" t="n">
        <x:f>ROW()-4</x:f>
        <x:v>18</x:v>
      </x:c>
      <x:c r="B22" s="200" t="str">
        <x:f>"CRM"</x:f>
        <x:v>CRM</x:v>
      </x:c>
      <x:c r="C22" s="200" t="n">
        <x:f>22</x:f>
        <x:v>22</x:v>
      </x:c>
      <x:c r="D22" s="200" t="str">
        <x:f>'CRM Source'!A22</x:f>
        <x:v>CUST-018</x:v>
      </x:c>
      <x:c r="E22" s="200" t="str">
        <x:f>'CRM Source'!B22</x:f>
        <x:v>Demo Customer 18</x:v>
      </x:c>
      <x:c r="F22" s="200" t="str">
        <x:f>'CRM Source'!C22</x:f>
        <x:v>crm18@example.invalid</x:v>
      </x:c>
      <x:c r="G22" s="200" t="str">
        <x:f>'CRM Source'!D22</x:f>
        <x:v>+62-811-000-0018</x:v>
      </x:c>
      <x:c r="H22" s="200" t="str">
        <x:f>'CRM Source'!E22</x:f>
        <x:v>ID</x:v>
      </x:c>
      <x:c r="I22" s="201" t="n">
        <x:f>'CRM Source'!G22</x:f>
        <x:v>46222</x:v>
      </x:c>
      <x:c r="J22" s="200" t="str">
        <x:f>'CRM Source'!H22</x:f>
        <x:v>CRM-018</x:v>
      </x:c>
    </x:row>
    <x:row r="23" ht="26" customHeight="1">
      <x:c r="A23" s="202" t="n">
        <x:f>ROW()-4</x:f>
        <x:v>19</x:v>
      </x:c>
      <x:c r="B23" s="202" t="str">
        <x:f>"CRM"</x:f>
        <x:v>CRM</x:v>
      </x:c>
      <x:c r="C23" s="202" t="n">
        <x:f>23</x:f>
        <x:v>23</x:v>
      </x:c>
      <x:c r="D23" s="202" t="str">
        <x:f>'CRM Source'!A23</x:f>
        <x:v>CUST-019</x:v>
      </x:c>
      <x:c r="E23" s="202" t="str">
        <x:f>'CRM Source'!B23</x:f>
        <x:v>Demo Customer 19</x:v>
      </x:c>
      <x:c r="F23" s="202" t="str">
        <x:f>'CRM Source'!C23</x:f>
        <x:v>customer19@example.invalid</x:v>
      </x:c>
      <x:c r="G23" s="202" t="str">
        <x:f>'CRM Source'!D23</x:f>
        <x:v>+62-811-000-0019</x:v>
      </x:c>
      <x:c r="H23" s="202" t="str">
        <x:f>'CRM Source'!E23</x:f>
        <x:v>ID</x:v>
      </x:c>
      <x:c r="I23" s="203" t="n">
        <x:f>'CRM Source'!G23</x:f>
        <x:v>46223</x:v>
      </x:c>
      <x:c r="J23" s="202" t="str">
        <x:f>'CRM Source'!H23</x:f>
        <x:v>CRM-019</x:v>
      </x:c>
    </x:row>
    <x:row r="24" ht="26" customHeight="1">
      <x:c r="A24" s="200" t="n">
        <x:f>ROW()-4</x:f>
        <x:v>20</x:v>
      </x:c>
      <x:c r="B24" s="200" t="str">
        <x:f>"CRM"</x:f>
        <x:v>CRM</x:v>
      </x:c>
      <x:c r="C24" s="200" t="n">
        <x:f>24</x:f>
        <x:v>24</x:v>
      </x:c>
      <x:c r="D24" s="200" t="str">
        <x:f>'CRM Source'!A24</x:f>
        <x:v>CUST-020</x:v>
      </x:c>
      <x:c r="E24" s="200" t="str">
        <x:f>'CRM Source'!B24</x:f>
        <x:v>Demo Customer 20</x:v>
      </x:c>
      <x:c r="F24" s="200" t="str">
        <x:f>'CRM Source'!C24</x:f>
        <x:v>customer20@example.invalid</x:v>
      </x:c>
      <x:c r="G24" s="200" t="str">
        <x:f>'CRM Source'!D24</x:f>
        <x:v>+62-811-000-0020</x:v>
      </x:c>
      <x:c r="H24" s="200" t="str">
        <x:f>'CRM Source'!E24</x:f>
        <x:v>XX</x:v>
      </x:c>
      <x:c r="I24" s="201" t="n">
        <x:f>'CRM Source'!G24</x:f>
        <x:v>46224</x:v>
      </x:c>
      <x:c r="J24" s="200" t="str">
        <x:f>'CRM Source'!H24</x:f>
        <x:v>CRM-020</x:v>
      </x:c>
    </x:row>
    <x:row r="25" ht="26" customHeight="1">
      <x:c r="A25" s="202" t="n">
        <x:f>ROW()-4</x:f>
        <x:v>21</x:v>
      </x:c>
      <x:c r="B25" s="202" t="str">
        <x:f>"CRM"</x:f>
        <x:v>CRM</x:v>
      </x:c>
      <x:c r="C25" s="202" t="n">
        <x:f>25</x:f>
        <x:v>25</x:v>
      </x:c>
      <x:c r="D25" s="202" t="str">
        <x:f>'CRM Source'!A25</x:f>
        <x:v>CUST-021</x:v>
      </x:c>
      <x:c r="E25" s="202" t="str">
        <x:f>'CRM Source'!B25</x:f>
        <x:v>Demo Customer 21</x:v>
      </x:c>
      <x:c r="F25" s="202" t="str">
        <x:f>'CRM Source'!C25</x:f>
        <x:v>customer21@example.invalid</x:v>
      </x:c>
      <x:c r="G25" s="202" t="str">
        <x:f>'CRM Source'!D25</x:f>
        <x:v>+62-811-000-0021</x:v>
      </x:c>
      <x:c r="H25" s="202" t="str">
        <x:f>'CRM Source'!E25</x:f>
        <x:v>ID</x:v>
      </x:c>
      <x:c r="I25" s="203" t="n">
        <x:f>'CRM Source'!G25</x:f>
        <x:v>46225</x:v>
      </x:c>
      <x:c r="J25" s="202" t="str">
        <x:f>'CRM Source'!H25</x:f>
        <x:v>CRM-021</x:v>
      </x:c>
    </x:row>
    <x:row r="26" ht="26" customHeight="1">
      <x:c r="A26" s="200" t="n">
        <x:f>ROW()-4</x:f>
        <x:v>22</x:v>
      </x:c>
      <x:c r="B26" s="200" t="str">
        <x:f>"CRM"</x:f>
        <x:v>CRM</x:v>
      </x:c>
      <x:c r="C26" s="200" t="n">
        <x:f>26</x:f>
        <x:v>26</x:v>
      </x:c>
      <x:c r="D26" s="200" t="str">
        <x:f>'CRM Source'!A26</x:f>
        <x:v>CUST-022</x:v>
      </x:c>
      <x:c r="E26" s="200" t="str">
        <x:f>'CRM Source'!B26</x:f>
        <x:v>Demo Customer 22</x:v>
      </x:c>
      <x:c r="F26" s="200" t="str">
        <x:f>'CRM Source'!C26</x:f>
        <x:v>customer22@example.invalid</x:v>
      </x:c>
      <x:c r="G26" s="200" t="str">
        <x:f>'CRM Source'!D26</x:f>
        <x:v>+62-812-CRM-22</x:v>
      </x:c>
      <x:c r="H26" s="200" t="str">
        <x:f>'CRM Source'!E26</x:f>
        <x:v>ID</x:v>
      </x:c>
      <x:c r="I26" s="201" t="n">
        <x:f>'CRM Source'!G26</x:f>
        <x:v>46226</x:v>
      </x:c>
      <x:c r="J26" s="200" t="str">
        <x:f>'CRM Source'!H26</x:f>
        <x:v>CRM-022</x:v>
      </x:c>
    </x:row>
    <x:row r="27" ht="26" customHeight="1">
      <x:c r="A27" s="202" t="n">
        <x:f>ROW()-4</x:f>
        <x:v>23</x:v>
      </x:c>
      <x:c r="B27" s="202" t="str">
        <x:f>"CRM"</x:f>
        <x:v>CRM</x:v>
      </x:c>
      <x:c r="C27" s="202" t="n">
        <x:f>27</x:f>
        <x:v>27</x:v>
      </x:c>
      <x:c r="D27" s="202" t="str">
        <x:f>'CRM Source'!A27</x:f>
        <x:v>CUST-023</x:v>
      </x:c>
      <x:c r="E27" s="202" t="str">
        <x:f>'CRM Source'!B27</x:f>
        <x:v>Demo Customer 23</x:v>
      </x:c>
      <x:c r="F27" s="202" t="str">
        <x:f>'CRM Source'!C27</x:f>
        <x:v>customer23@example.invalid</x:v>
      </x:c>
      <x:c r="G27" s="202" t="str">
        <x:f>'CRM Source'!D27</x:f>
        <x:v>+62-811-000-0023</x:v>
      </x:c>
      <x:c r="H27" s="202" t="str">
        <x:f>'CRM Source'!E27</x:f>
        <x:v>ID</x:v>
      </x:c>
      <x:c r="I27" s="203" t="n">
        <x:f>'CRM Source'!G27</x:f>
        <x:v>46227</x:v>
      </x:c>
      <x:c r="J27" s="202" t="str">
        <x:f>'CRM Source'!H27</x:f>
        <x:v>CRM-023</x:v>
      </x:c>
    </x:row>
    <x:row r="28" ht="26" customHeight="1">
      <x:c r="A28" s="200" t="n">
        <x:f>ROW()-4</x:f>
        <x:v>24</x:v>
      </x:c>
      <x:c r="B28" s="200" t="str">
        <x:f>"CRM"</x:f>
        <x:v>CRM</x:v>
      </x:c>
      <x:c r="C28" s="200" t="n">
        <x:f>28</x:f>
        <x:v>28</x:v>
      </x:c>
      <x:c r="D28" s="200" t="str">
        <x:f>'CRM Source'!A28</x:f>
        <x:v>CUST-024</x:v>
      </x:c>
      <x:c r="E28" s="200" t="str">
        <x:f>'CRM Source'!B28</x:f>
        <x:v>Demo Customer 24</x:v>
      </x:c>
      <x:c r="F28" s="200" t="str">
        <x:f>'CRM Source'!C28</x:f>
        <x:v>customer24@example.invalid</x:v>
      </x:c>
      <x:c r="G28" s="200" t="str">
        <x:f>'CRM Source'!D28</x:f>
        <x:v>+62-811-000-0024</x:v>
      </x:c>
      <x:c r="H28" s="200" t="str">
        <x:f>'CRM Source'!E28</x:f>
        <x:v>ID</x:v>
      </x:c>
      <x:c r="I28" s="201" t="n">
        <x:f>'CRM Source'!G28</x:f>
        <x:v>46228</x:v>
      </x:c>
      <x:c r="J28" s="200" t="str">
        <x:f>'CRM Source'!H28</x:f>
        <x:v>CRM-024</x:v>
      </x:c>
    </x:row>
    <x:row r="29" ht="26" customHeight="1">
      <x:c r="A29" s="202" t="n">
        <x:f>ROW()-4</x:f>
        <x:v>25</x:v>
      </x:c>
      <x:c r="B29" s="202" t="str">
        <x:f>"CRM"</x:f>
        <x:v>CRM</x:v>
      </x:c>
      <x:c r="C29" s="202" t="n">
        <x:f>29</x:f>
        <x:v>29</x:v>
      </x:c>
      <x:c r="D29" s="202" t="str">
        <x:f>'CRM Source'!A29</x:f>
        <x:v>CUST-025</x:v>
      </x:c>
      <x:c r="E29" s="202" t="str">
        <x:f>'CRM Source'!B29</x:f>
        <x:v>Demo Customer 25</x:v>
      </x:c>
      <x:c r="F29" s="202" t="str">
        <x:f>'CRM Source'!C29</x:f>
        <x:v>crm25@example.invalid</x:v>
      </x:c>
      <x:c r="G29" s="202" t="str">
        <x:f>'CRM Source'!D29</x:f>
        <x:v>+62-811-000-0025</x:v>
      </x:c>
      <x:c r="H29" s="202" t="str">
        <x:f>'CRM Source'!E29</x:f>
        <x:v>SG</x:v>
      </x:c>
      <x:c r="I29" s="203" t="n">
        <x:f>'CRM Source'!G29</x:f>
        <x:v>46204</x:v>
      </x:c>
      <x:c r="J29" s="202" t="str">
        <x:f>'CRM Source'!H29</x:f>
        <x:v>CRM-025</x:v>
      </x:c>
    </x:row>
    <x:row r="30" ht="26" customHeight="1">
      <x:c r="A30" s="200" t="n">
        <x:f>ROW()-4</x:f>
        <x:v>26</x:v>
      </x:c>
      <x:c r="B30" s="200" t="str">
        <x:f>"CRM"</x:f>
        <x:v>CRM</x:v>
      </x:c>
      <x:c r="C30" s="200" t="n">
        <x:f>30</x:f>
        <x:v>30</x:v>
      </x:c>
      <x:c r="D30" s="200" t="str">
        <x:f>'CRM Source'!A30</x:f>
        <x:v>CUST-026</x:v>
      </x:c>
      <x:c r="E30" s="200" t="str">
        <x:f>'CRM Source'!B30</x:f>
        <x:v>Demo Customer 26</x:v>
      </x:c>
      <x:c r="F30" s="200" t="str">
        <x:f>'CRM Source'!C30</x:f>
        <x:v>customer26@example.invalid</x:v>
      </x:c>
      <x:c r="G30" s="200" t="str">
        <x:f>'CRM Source'!D30</x:f>
        <x:v>+62-811-000-0026</x:v>
      </x:c>
      <x:c r="H30" s="200" t="str">
        <x:f>'CRM Source'!E30</x:f>
        <x:v>ID</x:v>
      </x:c>
      <x:c r="I30" s="201" t="n">
        <x:f>'CRM Source'!G30</x:f>
        <x:v>46205</x:v>
      </x:c>
      <x:c r="J30" s="200" t="str">
        <x:f>'CRM Source'!H30</x:f>
        <x:v>CRM-026</x:v>
      </x:c>
    </x:row>
    <x:row r="31" ht="26" customHeight="1">
      <x:c r="A31" s="202" t="n">
        <x:f>ROW()-4</x:f>
        <x:v>27</x:v>
      </x:c>
      <x:c r="B31" s="202" t="str">
        <x:f>"CRM"</x:f>
        <x:v>CRM</x:v>
      </x:c>
      <x:c r="C31" s="202" t="n">
        <x:f>31</x:f>
        <x:v>31</x:v>
      </x:c>
      <x:c r="D31" s="202" t="str">
        <x:f>'CRM Source'!A31</x:f>
        <x:v>CUST-027</x:v>
      </x:c>
      <x:c r="E31" s="202" t="str">
        <x:f>'CRM Source'!B31</x:f>
        <x:v>Demo Customer 27</x:v>
      </x:c>
      <x:c r="F31" s="202" t="str">
        <x:f>'CRM Source'!C31</x:f>
        <x:v>customer27@example.invalid</x:v>
      </x:c>
      <x:c r="G31" s="202" t="str">
        <x:f>'CRM Source'!D31</x:f>
        <x:v>+62-811-000-0027</x:v>
      </x:c>
      <x:c r="H31" s="202" t="str">
        <x:f>'CRM Source'!E31</x:f>
        <x:v>ID</x:v>
      </x:c>
      <x:c r="I31" s="203" t="n">
        <x:f>'CRM Source'!G31</x:f>
        <x:v>46206</x:v>
      </x:c>
      <x:c r="J31" s="202" t="str">
        <x:f>'CRM Source'!H31</x:f>
        <x:v>CRM-027</x:v>
      </x:c>
    </x:row>
    <x:row r="32" ht="26" customHeight="1">
      <x:c r="A32" s="200" t="n">
        <x:f>ROW()-4</x:f>
        <x:v>28</x:v>
      </x:c>
      <x:c r="B32" s="200" t="str">
        <x:f>"CRM"</x:f>
        <x:v>CRM</x:v>
      </x:c>
      <x:c r="C32" s="200" t="n">
        <x:f>32</x:f>
        <x:v>32</x:v>
      </x:c>
      <x:c r="D32" s="200" t="str">
        <x:f>'CRM Source'!A32</x:f>
        <x:v>CUST-028</x:v>
      </x:c>
      <x:c r="E32" s="200" t="str">
        <x:f>'CRM Source'!B32</x:f>
        <x:v>Demo Customer 28</x:v>
      </x:c>
      <x:c r="F32" s="200" t="str">
        <x:f>'CRM Source'!C32</x:f>
        <x:v>customer28@example.invalid</x:v>
      </x:c>
      <x:c r="G32" s="200" t="str">
        <x:f>'CRM Source'!D32</x:f>
        <x:v>+62-811-000-0028</x:v>
      </x:c>
      <x:c r="H32" s="200" t="str">
        <x:f>'CRM Source'!E32</x:f>
        <x:v>ID</x:v>
      </x:c>
      <x:c r="I32" s="201" t="n">
        <x:f>'CRM Source'!G32</x:f>
        <x:v>46207</x:v>
      </x:c>
      <x:c r="J32" s="200" t="str">
        <x:f>'CRM Source'!H32</x:f>
        <x:v>CRM-028</x:v>
      </x:c>
    </x:row>
    <x:row r="33" ht="26" customHeight="1">
      <x:c r="A33" s="202" t="n">
        <x:f>ROW()-4</x:f>
        <x:v>29</x:v>
      </x:c>
      <x:c r="B33" s="202" t="str">
        <x:f>"CRM"</x:f>
        <x:v>CRM</x:v>
      </x:c>
      <x:c r="C33" s="202" t="n">
        <x:f>33</x:f>
        <x:v>33</x:v>
      </x:c>
      <x:c r="D33" s="202" t="str">
        <x:f>'CRM Source'!A33</x:f>
        <x:v>CUST-029</x:v>
      </x:c>
      <x:c r="E33" s="202" t="str">
        <x:f>'CRM Source'!B33</x:f>
        <x:v>Demo Customer 29</x:v>
      </x:c>
      <x:c r="F33" s="202" t="str">
        <x:f>'CRM Source'!C33</x:f>
        <x:v>customer29@example.invalid</x:v>
      </x:c>
      <x:c r="G33" s="202" t="str">
        <x:f>'CRM Source'!D33</x:f>
        <x:v>+62-812-CRM-29</x:v>
      </x:c>
      <x:c r="H33" s="202" t="str">
        <x:f>'CRM Source'!E33</x:f>
        <x:v>ID</x:v>
      </x:c>
      <x:c r="I33" s="203" t="n">
        <x:f>'CRM Source'!G33</x:f>
        <x:v>46208</x:v>
      </x:c>
      <x:c r="J33" s="202" t="str">
        <x:f>'CRM Source'!H33</x:f>
        <x:v>CRM-029</x:v>
      </x:c>
    </x:row>
    <x:row r="34" ht="26" customHeight="1">
      <x:c r="A34" s="200" t="n">
        <x:f>ROW()-4</x:f>
        <x:v>30</x:v>
      </x:c>
      <x:c r="B34" s="200" t="str">
        <x:f>"CRM"</x:f>
        <x:v>CRM</x:v>
      </x:c>
      <x:c r="C34" s="200" t="n">
        <x:f>34</x:f>
        <x:v>34</x:v>
      </x:c>
      <x:c r="D34" s="200" t="str">
        <x:f>'CRM Source'!A34</x:f>
        <x:v>CUST-008</x:v>
      </x:c>
      <x:c r="E34" s="200" t="str">
        <x:f>'CRM Source'!B34</x:f>
        <x:v>Demo Customer 08</x:v>
      </x:c>
      <x:c r="F34" s="200" t="str">
        <x:f>'CRM Source'!C34</x:f>
        <x:v>customer08@example.invalid</x:v>
      </x:c>
      <x:c r="G34" s="200" t="str">
        <x:f>'CRM Source'!D34</x:f>
        <x:v>+62-811-000-0008</x:v>
      </x:c>
      <x:c r="H34" s="200" t="str">
        <x:f>'CRM Source'!E34</x:f>
        <x:v>ID</x:v>
      </x:c>
      <x:c r="I34" s="201" t="n">
        <x:f>'CRM Source'!G34</x:f>
        <x:v>46212</x:v>
      </x:c>
      <x:c r="J34" s="200" t="str">
        <x:f>'CRM Source'!H34</x:f>
        <x:v>CRM-030</x:v>
      </x:c>
    </x:row>
    <x:row r="35" ht="26" customHeight="1">
      <x:c r="A35" s="202" t="n">
        <x:f>ROW()-4</x:f>
        <x:v>31</x:v>
      </x:c>
      <x:c r="B35" s="202" t="str">
        <x:f>"Web Orders"</x:f>
        <x:v>Web Orders</x:v>
      </x:c>
      <x:c r="C35" s="202" t="n">
        <x:f>5</x:f>
        <x:v>5</x:v>
      </x:c>
      <x:c r="D35" s="202" t="str">
        <x:f>'Web Orders Source'!A5</x:f>
        <x:v>CUST-011</x:v>
      </x:c>
      <x:c r="E35" s="202" t="str">
        <x:f>'Web Orders Source'!B5</x:f>
        <x:v>Demo Customer 11</x:v>
      </x:c>
      <x:c r="F35" s="202" t="str">
        <x:f>'Web Orders Source'!C5</x:f>
        <x:v>customer11@example.invalid</x:v>
      </x:c>
      <x:c r="G35" s="202" t="str">
        <x:f>'Web Orders Source'!D5</x:f>
        <x:v>+62-811-000-0011</x:v>
      </x:c>
      <x:c r="H35" s="202" t="str">
        <x:f>'Web Orders Source'!E5</x:f>
        <x:v>ID</x:v>
      </x:c>
      <x:c r="I35" s="203" t="n">
        <x:f>'Web Orders Source'!G5</x:f>
        <x:v>46218</x:v>
      </x:c>
      <x:c r="J35" s="202" t="str">
        <x:f>'Web Orders Source'!H5</x:f>
        <x:v>WEB-011</x:v>
      </x:c>
    </x:row>
    <x:row r="36" ht="26" customHeight="1">
      <x:c r="A36" s="200" t="n">
        <x:f>ROW()-4</x:f>
        <x:v>32</x:v>
      </x:c>
      <x:c r="B36" s="200" t="str">
        <x:f>"Web Orders"</x:f>
        <x:v>Web Orders</x:v>
      </x:c>
      <x:c r="C36" s="200" t="n">
        <x:f>6</x:f>
        <x:v>6</x:v>
      </x:c>
      <x:c r="D36" s="200" t="str">
        <x:f>'Web Orders Source'!A6</x:f>
        <x:v>CUST-012</x:v>
      </x:c>
      <x:c r="E36" s="200" t="str">
        <x:f>'Web Orders Source'!B6</x:f>
        <x:v>Demo Customer 12</x:v>
      </x:c>
      <x:c r="F36" s="200" t="str">
        <x:f>'Web Orders Source'!C6</x:f>
        <x:v>web12@example.invalid</x:v>
      </x:c>
      <x:c r="G36" s="200" t="str">
        <x:f>'Web Orders Source'!D6</x:f>
        <x:v>+62-811-000-0012</x:v>
      </x:c>
      <x:c r="H36" s="200" t="str">
        <x:f>'Web Orders Source'!E6</x:f>
        <x:v>ID</x:v>
      </x:c>
      <x:c r="I36" s="201" t="n">
        <x:f>'Web Orders Source'!G6</x:f>
        <x:v>46219</x:v>
      </x:c>
      <x:c r="J36" s="200" t="str">
        <x:f>'Web Orders Source'!H6</x:f>
        <x:v>WEB-012</x:v>
      </x:c>
    </x:row>
    <x:row r="37" ht="26" customHeight="1">
      <x:c r="A37" s="202" t="n">
        <x:f>ROW()-4</x:f>
        <x:v>33</x:v>
      </x:c>
      <x:c r="B37" s="202" t="str">
        <x:f>"Web Orders"</x:f>
        <x:v>Web Orders</x:v>
      </x:c>
      <x:c r="C37" s="202" t="n">
        <x:f>7</x:f>
        <x:v>7</x:v>
      </x:c>
      <x:c r="D37" s="202" t="str">
        <x:f>'Web Orders Source'!A7</x:f>
        <x:v>CUST-013</x:v>
      </x:c>
      <x:c r="E37" s="202" t="str">
        <x:f>'Web Orders Source'!B7</x:f>
        <x:v>Demo Customer 13</x:v>
      </x:c>
      <x:c r="F37" s="202" t="str">
        <x:f>'Web Orders Source'!C7</x:f>
        <x:v>customer13@example.invalid</x:v>
      </x:c>
      <x:c r="G37" s="202" t="str">
        <x:f>'Web Orders Source'!D7</x:f>
        <x:v>+62-811-000-0013</x:v>
      </x:c>
      <x:c r="H37" s="202" t="str">
        <x:f>'Web Orders Source'!E7</x:f>
        <x:v>ID</x:v>
      </x:c>
      <x:c r="I37" s="203" t="n">
        <x:f>'Web Orders Source'!G7</x:f>
        <x:v>46220</x:v>
      </x:c>
      <x:c r="J37" s="202" t="str">
        <x:f>'Web Orders Source'!H7</x:f>
        <x:v>WEB-013</x:v>
      </x:c>
    </x:row>
    <x:row r="38" ht="26" customHeight="1">
      <x:c r="A38" s="200" t="n">
        <x:f>ROW()-4</x:f>
        <x:v>34</x:v>
      </x:c>
      <x:c r="B38" s="200" t="str">
        <x:f>"Web Orders"</x:f>
        <x:v>Web Orders</x:v>
      </x:c>
      <x:c r="C38" s="200" t="n">
        <x:f>8</x:f>
        <x:v>8</x:v>
      </x:c>
      <x:c r="D38" s="200" t="str">
        <x:f>'Web Orders Source'!A8</x:f>
        <x:v>CUST-014</x:v>
      </x:c>
      <x:c r="E38" s="200" t="str">
        <x:f>'Web Orders Source'!B8</x:f>
        <x:v>Demo Customer 14</x:v>
      </x:c>
      <x:c r="F38" s="200" t="str">
        <x:f>'Web Orders Source'!C8</x:f>
        <x:v>customer14@example.invalid</x:v>
      </x:c>
      <x:c r="G38" s="200" t="str">
        <x:f>'Web Orders Source'!D8</x:f>
        <x:v>+62-811-000-0014</x:v>
      </x:c>
      <x:c r="H38" s="200" t="str">
        <x:f>'Web Orders Source'!E8</x:f>
        <x:v>ID</x:v>
      </x:c>
      <x:c r="I38" s="201" t="n">
        <x:f>'Web Orders Source'!G8</x:f>
        <x:v>46221</x:v>
      </x:c>
      <x:c r="J38" s="200" t="str">
        <x:f>'Web Orders Source'!H8</x:f>
        <x:v>WEB-014</x:v>
      </x:c>
    </x:row>
    <x:row r="39" ht="26" customHeight="1">
      <x:c r="A39" s="202" t="n">
        <x:f>ROW()-4</x:f>
        <x:v>35</x:v>
      </x:c>
      <x:c r="B39" s="202" t="str">
        <x:f>"Web Orders"</x:f>
        <x:v>Web Orders</x:v>
      </x:c>
      <x:c r="C39" s="202" t="n">
        <x:f>9</x:f>
        <x:v>9</x:v>
      </x:c>
      <x:c r="D39" s="202" t="str">
        <x:f>'Web Orders Source'!A9</x:f>
        <x:v>CUST-015</x:v>
      </x:c>
      <x:c r="E39" s="202" t="str">
        <x:f>'Web Orders Source'!B9</x:f>
        <x:v>Demo Customer 15</x:v>
      </x:c>
      <x:c r="F39" s="202" t="str">
        <x:f>'Web Orders Source'!C9</x:f>
        <x:v>customer15@example.invalid</x:v>
      </x:c>
      <x:c r="G39" s="202" t="str">
        <x:f>'Web Orders Source'!D9</x:f>
        <x:v>+62-813-WEB-15</x:v>
      </x:c>
      <x:c r="H39" s="202" t="str">
        <x:f>'Web Orders Source'!E9</x:f>
        <x:v>SG</x:v>
      </x:c>
      <x:c r="I39" s="203" t="n">
        <x:f>'Web Orders Source'!G9</x:f>
        <x:v>46222</x:v>
      </x:c>
      <x:c r="J39" s="202" t="str">
        <x:f>'Web Orders Source'!H9</x:f>
        <x:v>WEB-015</x:v>
      </x:c>
    </x:row>
    <x:row r="40" ht="26" customHeight="1">
      <x:c r="A40" s="200" t="n">
        <x:f>ROW()-4</x:f>
        <x:v>36</x:v>
      </x:c>
      <x:c r="B40" s="200" t="str">
        <x:f>"Web Orders"</x:f>
        <x:v>Web Orders</x:v>
      </x:c>
      <x:c r="C40" s="200" t="n">
        <x:f>10</x:f>
        <x:v>10</x:v>
      </x:c>
      <x:c r="D40" s="200" t="str">
        <x:f>'Web Orders Source'!A10</x:f>
        <x:v>CUST-016</x:v>
      </x:c>
      <x:c r="E40" s="200" t="str">
        <x:f>'Web Orders Source'!B10</x:f>
        <x:v>Demo Customer 16</x:v>
      </x:c>
      <x:c r="F40" s="200" t="str">
        <x:f>'Web Orders Source'!C10</x:f>
        <x:v>customer16@example.invalid</x:v>
      </x:c>
      <x:c r="G40" s="200" t="str">
        <x:f>'Web Orders Source'!D10</x:f>
        <x:v>+62-811-000-0016</x:v>
      </x:c>
      <x:c r="H40" s="200" t="str">
        <x:f>'Web Orders Source'!E10</x:f>
        <x:v>ID</x:v>
      </x:c>
      <x:c r="I40" s="201" t="n">
        <x:f>'Web Orders Source'!G10</x:f>
        <x:v>46223</x:v>
      </x:c>
      <x:c r="J40" s="200" t="str">
        <x:f>'Web Orders Source'!H10</x:f>
        <x:v>WEB-016</x:v>
      </x:c>
    </x:row>
    <x:row r="41" ht="26" customHeight="1">
      <x:c r="A41" s="202" t="n">
        <x:f>ROW()-4</x:f>
        <x:v>37</x:v>
      </x:c>
      <x:c r="B41" s="202" t="str">
        <x:f>"Web Orders"</x:f>
        <x:v>Web Orders</x:v>
      </x:c>
      <x:c r="C41" s="202" t="n">
        <x:f>11</x:f>
        <x:v>11</x:v>
      </x:c>
      <x:c r="D41" s="202" t="str">
        <x:f>'Web Orders Source'!A11</x:f>
        <x:v>CUST-017</x:v>
      </x:c>
      <x:c r="E41" s="202" t="str">
        <x:f>'Web Orders Source'!B11</x:f>
        <x:v>Demo Customer 17</x:v>
      </x:c>
      <x:c r="F41" s="202" t="str">
        <x:f>'Web Orders Source'!C11</x:f>
        <x:v>customer17@example.invalid</x:v>
      </x:c>
      <x:c r="G41" s="202" t="str">
        <x:f>'Web Orders Source'!D11</x:f>
        <x:v>+62-811-000-0017</x:v>
      </x:c>
      <x:c r="H41" s="202" t="str">
        <x:f>'Web Orders Source'!E11</x:f>
        <x:v>ID</x:v>
      </x:c>
      <x:c r="I41" s="203" t="n">
        <x:f>'Web Orders Source'!G11</x:f>
        <x:v>46224</x:v>
      </x:c>
      <x:c r="J41" s="202" t="str">
        <x:f>'Web Orders Source'!H11</x:f>
        <x:v>WEB-017</x:v>
      </x:c>
    </x:row>
    <x:row r="42" ht="26" customHeight="1">
      <x:c r="A42" s="200" t="n">
        <x:f>ROW()-4</x:f>
        <x:v>38</x:v>
      </x:c>
      <x:c r="B42" s="200" t="str">
        <x:f>"Web Orders"</x:f>
        <x:v>Web Orders</x:v>
      </x:c>
      <x:c r="C42" s="200" t="n">
        <x:f>12</x:f>
        <x:v>12</x:v>
      </x:c>
      <x:c r="D42" s="200" t="str">
        <x:f>'Web Orders Source'!A12</x:f>
        <x:v>CUST-018</x:v>
      </x:c>
      <x:c r="E42" s="200" t="str">
        <x:f>'Web Orders Source'!B12</x:f>
        <x:v>Demo Customer 18</x:v>
      </x:c>
      <x:c r="F42" s="200" t="str">
        <x:f>'Web Orders Source'!C12</x:f>
        <x:v>web18@example.invalid</x:v>
      </x:c>
      <x:c r="G42" s="200" t="str">
        <x:f>'Web Orders Source'!D12</x:f>
        <x:v>+62-811-000-0018</x:v>
      </x:c>
      <x:c r="H42" s="200" t="str">
        <x:f>'Web Orders Source'!E12</x:f>
        <x:v>ID</x:v>
      </x:c>
      <x:c r="I42" s="201" t="n">
        <x:f>'Web Orders Source'!G12</x:f>
        <x:v>46225</x:v>
      </x:c>
      <x:c r="J42" s="200" t="str">
        <x:f>'Web Orders Source'!H12</x:f>
        <x:v>WEB-018</x:v>
      </x:c>
    </x:row>
    <x:row r="43" ht="26" customHeight="1">
      <x:c r="A43" s="202" t="n">
        <x:f>ROW()-4</x:f>
        <x:v>39</x:v>
      </x:c>
      <x:c r="B43" s="202" t="str">
        <x:f>"Web Orders"</x:f>
        <x:v>Web Orders</x:v>
      </x:c>
      <x:c r="C43" s="202" t="n">
        <x:f>13</x:f>
        <x:v>13</x:v>
      </x:c>
      <x:c r="D43" s="202" t="str">
        <x:f>'Web Orders Source'!A13</x:f>
        <x:v>CUST-019</x:v>
      </x:c>
      <x:c r="E43" s="202" t="str">
        <x:f>'Web Orders Source'!B13</x:f>
        <x:v>Demo Customer 19</x:v>
      </x:c>
      <x:c r="F43" s="202" t="str">
        <x:f>'Web Orders Source'!C13</x:f>
        <x:v>customer19@example.invalid</x:v>
      </x:c>
      <x:c r="G43" s="202" t="str">
        <x:f>'Web Orders Source'!D13</x:f>
        <x:v>+62-811-000-0019</x:v>
      </x:c>
      <x:c r="H43" s="202" t="str">
        <x:f>'Web Orders Source'!E13</x:f>
        <x:v>ID</x:v>
      </x:c>
      <x:c r="I43" s="203" t="n">
        <x:f>'Web Orders Source'!G13</x:f>
        <x:v>46226</x:v>
      </x:c>
      <x:c r="J43" s="202" t="str">
        <x:f>'Web Orders Source'!H13</x:f>
        <x:v>WEB-019</x:v>
      </x:c>
    </x:row>
    <x:row r="44" ht="26" customHeight="1">
      <x:c r="A44" s="200" t="n">
        <x:f>ROW()-4</x:f>
        <x:v>40</x:v>
      </x:c>
      <x:c r="B44" s="200" t="str">
        <x:f>"Web Orders"</x:f>
        <x:v>Web Orders</x:v>
      </x:c>
      <x:c r="C44" s="200" t="n">
        <x:f>14</x:f>
        <x:v>14</x:v>
      </x:c>
      <x:c r="D44" s="200" t="str">
        <x:f>'Web Orders Source'!A14</x:f>
        <x:v>CUST-020</x:v>
      </x:c>
      <x:c r="E44" s="200" t="str">
        <x:f>'Web Orders Source'!B14</x:f>
        <x:v>Demo Customer 20</x:v>
      </x:c>
      <x:c r="F44" s="200" t="str">
        <x:f>'Web Orders Source'!C14</x:f>
        <x:v>customer20@example.invalid</x:v>
      </x:c>
      <x:c r="G44" s="200" t="str">
        <x:f>'Web Orders Source'!D14</x:f>
        <x:v>+62-811-000-0020</x:v>
      </x:c>
      <x:c r="H44" s="200" t="str">
        <x:f>'Web Orders Source'!E14</x:f>
        <x:v>SG</x:v>
      </x:c>
      <x:c r="I44" s="201" t="n">
        <x:f>'Web Orders Source'!G14</x:f>
        <x:v>46227</x:v>
      </x:c>
      <x:c r="J44" s="200" t="str">
        <x:f>'Web Orders Source'!H14</x:f>
        <x:v>WEB-020</x:v>
      </x:c>
    </x:row>
    <x:row r="45" ht="26" customHeight="1">
      <x:c r="A45" s="202" t="n">
        <x:f>ROW()-4</x:f>
        <x:v>41</x:v>
      </x:c>
      <x:c r="B45" s="202" t="str">
        <x:f>"Web Orders"</x:f>
        <x:v>Web Orders</x:v>
      </x:c>
      <x:c r="C45" s="202" t="n">
        <x:f>15</x:f>
        <x:v>15</x:v>
      </x:c>
      <x:c r="D45" s="202" t="str">
        <x:f>'Web Orders Source'!A15</x:f>
        <x:v>CUST-021</x:v>
      </x:c>
      <x:c r="E45" s="202" t="str">
        <x:f>'Web Orders Source'!B15</x:f>
        <x:v>Demo Customer 21</x:v>
      </x:c>
      <x:c r="F45" s="202" t="str">
        <x:f>'Web Orders Source'!C15</x:f>
        <x:v>customer21@example.invalid</x:v>
      </x:c>
      <x:c r="G45" s="202" t="str">
        <x:f>'Web Orders Source'!D15</x:f>
        <x:v>+62-811-000-0021</x:v>
      </x:c>
      <x:c r="H45" s="202" t="str">
        <x:f>'Web Orders Source'!E15</x:f>
        <x:v>ID</x:v>
      </x:c>
      <x:c r="I45" s="203" t="n">
        <x:f>'Web Orders Source'!G15</x:f>
        <x:v>46228</x:v>
      </x:c>
      <x:c r="J45" s="202" t="str">
        <x:f>'Web Orders Source'!H15</x:f>
        <x:v>WEB-021</x:v>
      </x:c>
    </x:row>
    <x:row r="46" ht="26" customHeight="1">
      <x:c r="A46" s="200" t="n">
        <x:f>ROW()-4</x:f>
        <x:v>42</x:v>
      </x:c>
      <x:c r="B46" s="200" t="str">
        <x:f>"Web Orders"</x:f>
        <x:v>Web Orders</x:v>
      </x:c>
      <x:c r="C46" s="200" t="n">
        <x:f>16</x:f>
        <x:v>16</x:v>
      </x:c>
      <x:c r="D46" s="200" t="str">
        <x:f>'Web Orders Source'!A16</x:f>
        <x:v>CUST-022</x:v>
      </x:c>
      <x:c r="E46" s="200" t="str">
        <x:f>'Web Orders Source'!B16</x:f>
        <x:v>Demo Customer 22</x:v>
      </x:c>
      <x:c r="F46" s="200" t="str">
        <x:f>'Web Orders Source'!C16</x:f>
        <x:v>customer22@example.invalid</x:v>
      </x:c>
      <x:c r="G46" s="200" t="str">
        <x:f>'Web Orders Source'!D16</x:f>
        <x:v>+62-813-WEB-22</x:v>
      </x:c>
      <x:c r="H46" s="200" t="str">
        <x:f>'Web Orders Source'!E16</x:f>
        <x:v>ID</x:v>
      </x:c>
      <x:c r="I46" s="201" t="n">
        <x:f>'Web Orders Source'!G16</x:f>
        <x:v>46204</x:v>
      </x:c>
      <x:c r="J46" s="200" t="str">
        <x:f>'Web Orders Source'!H16</x:f>
        <x:v>WEB-022</x:v>
      </x:c>
    </x:row>
    <x:row r="47" ht="26" customHeight="1">
      <x:c r="A47" s="202" t="n">
        <x:f>ROW()-4</x:f>
        <x:v>43</x:v>
      </x:c>
      <x:c r="B47" s="202" t="str">
        <x:f>"Web Orders"</x:f>
        <x:v>Web Orders</x:v>
      </x:c>
      <x:c r="C47" s="202" t="n">
        <x:f>17</x:f>
        <x:v>17</x:v>
      </x:c>
      <x:c r="D47" s="202" t="str">
        <x:f>'Web Orders Source'!A17</x:f>
        <x:v>CUST-023</x:v>
      </x:c>
      <x:c r="E47" s="202" t="str">
        <x:f>'Web Orders Source'!B17</x:f>
        <x:v>Demo Customer 23</x:v>
      </x:c>
      <x:c r="F47" s="202" t="str">
        <x:f>'Web Orders Source'!C17</x:f>
        <x:v>customer23@example.invalid</x:v>
      </x:c>
      <x:c r="G47" s="202" t="str">
        <x:f>'Web Orders Source'!D17</x:f>
        <x:v>+62-811-000-0023</x:v>
      </x:c>
      <x:c r="H47" s="202" t="str">
        <x:f>'Web Orders Source'!E17</x:f>
        <x:v>ID</x:v>
      </x:c>
      <x:c r="I47" s="203" t="n">
        <x:f>'Web Orders Source'!G17</x:f>
        <x:v>46205</x:v>
      </x:c>
      <x:c r="J47" s="202" t="str">
        <x:f>'Web Orders Source'!H17</x:f>
        <x:v>WEB-023</x:v>
      </x:c>
    </x:row>
    <x:row r="48" ht="26" customHeight="1">
      <x:c r="A48" s="200" t="n">
        <x:f>ROW()-4</x:f>
        <x:v>44</x:v>
      </x:c>
      <x:c r="B48" s="200" t="str">
        <x:f>"Web Orders"</x:f>
        <x:v>Web Orders</x:v>
      </x:c>
      <x:c r="C48" s="200" t="n">
        <x:f>18</x:f>
        <x:v>18</x:v>
      </x:c>
      <x:c r="D48" s="200" t="str">
        <x:f>'Web Orders Source'!A18</x:f>
        <x:v>CUST-024</x:v>
      </x:c>
      <x:c r="E48" s="200" t="str">
        <x:f>'Web Orders Source'!B18</x:f>
        <x:v>Demo Customer 24</x:v>
      </x:c>
      <x:c r="F48" s="200" t="str">
        <x:f>'Web Orders Source'!C18</x:f>
        <x:v>customer24@example.invalid</x:v>
      </x:c>
      <x:c r="G48" s="200" t="str">
        <x:f>'Web Orders Source'!D18</x:f>
        <x:v>+62-811-000-0024</x:v>
      </x:c>
      <x:c r="H48" s="200" t="str">
        <x:f>'Web Orders Source'!E18</x:f>
        <x:v>ID</x:v>
      </x:c>
      <x:c r="I48" s="201" t="n">
        <x:f>'Web Orders Source'!G18</x:f>
        <x:v>46206</x:v>
      </x:c>
      <x:c r="J48" s="200" t="str">
        <x:f>'Web Orders Source'!H18</x:f>
        <x:v>WEB-024</x:v>
      </x:c>
    </x:row>
    <x:row r="49" ht="26" customHeight="1">
      <x:c r="A49" s="202" t="n">
        <x:f>ROW()-4</x:f>
        <x:v>45</x:v>
      </x:c>
      <x:c r="B49" s="202" t="str">
        <x:f>"Web Orders"</x:f>
        <x:v>Web Orders</x:v>
      </x:c>
      <x:c r="C49" s="202" t="n">
        <x:f>19</x:f>
        <x:v>19</x:v>
      </x:c>
      <x:c r="D49" s="202" t="str">
        <x:f>'Web Orders Source'!A19</x:f>
        <x:v>CUST-025</x:v>
      </x:c>
      <x:c r="E49" s="202" t="str">
        <x:f>'Web Orders Source'!B19</x:f>
        <x:v>Demo Customer 25</x:v>
      </x:c>
      <x:c r="F49" s="202" t="str">
        <x:f>'Web Orders Source'!C19</x:f>
        <x:v>web25@example.invalid</x:v>
      </x:c>
      <x:c r="G49" s="202" t="str">
        <x:f>'Web Orders Source'!D19</x:f>
        <x:v>+62-811-000-0025</x:v>
      </x:c>
      <x:c r="H49" s="202" t="str">
        <x:f>'Web Orders Source'!E19</x:f>
        <x:v>SG</x:v>
      </x:c>
      <x:c r="I49" s="203" t="n">
        <x:f>'Web Orders Source'!G19</x:f>
        <x:v>46207</x:v>
      </x:c>
      <x:c r="J49" s="202" t="str">
        <x:f>'Web Orders Source'!H19</x:f>
        <x:v>WEB-025</x:v>
      </x:c>
    </x:row>
    <x:row r="50" ht="26" customHeight="1">
      <x:c r="A50" s="200" t="n">
        <x:f>ROW()-4</x:f>
        <x:v>46</x:v>
      </x:c>
      <x:c r="B50" s="200" t="str">
        <x:f>"Web Orders"</x:f>
        <x:v>Web Orders</x:v>
      </x:c>
      <x:c r="C50" s="200" t="n">
        <x:f>20</x:f>
        <x:v>20</x:v>
      </x:c>
      <x:c r="D50" s="200" t="str">
        <x:f>'Web Orders Source'!A20</x:f>
        <x:v>CUST-026</x:v>
      </x:c>
      <x:c r="E50" s="200" t="str">
        <x:f>'Web Orders Source'!B20</x:f>
        <x:v>Demo Customer 26</x:v>
      </x:c>
      <x:c r="F50" s="200" t="str">
        <x:f>'Web Orders Source'!C20</x:f>
        <x:v>customer26@example.invalid</x:v>
      </x:c>
      <x:c r="G50" s="200" t="str">
        <x:f>'Web Orders Source'!D20</x:f>
        <x:v>+62-811-000-0026</x:v>
      </x:c>
      <x:c r="H50" s="200" t="str">
        <x:f>'Web Orders Source'!E20</x:f>
        <x:v>ID</x:v>
      </x:c>
      <x:c r="I50" s="201" t="n">
        <x:f>'Web Orders Source'!G20</x:f>
        <x:v>46208</x:v>
      </x:c>
      <x:c r="J50" s="200" t="str">
        <x:f>'Web Orders Source'!H20</x:f>
        <x:v>WEB-026</x:v>
      </x:c>
    </x:row>
    <x:row r="51" ht="26" customHeight="1">
      <x:c r="A51" s="202" t="n">
        <x:f>ROW()-4</x:f>
        <x:v>47</x:v>
      </x:c>
      <x:c r="B51" s="202" t="str">
        <x:f>"Web Orders"</x:f>
        <x:v>Web Orders</x:v>
      </x:c>
      <x:c r="C51" s="202" t="n">
        <x:f>21</x:f>
        <x:v>21</x:v>
      </x:c>
      <x:c r="D51" s="202" t="str">
        <x:f>'Web Orders Source'!A21</x:f>
        <x:v>CUST-027</x:v>
      </x:c>
      <x:c r="E51" s="202" t="str">
        <x:f>'Web Orders Source'!B21</x:f>
        <x:v>Demo Customer 27</x:v>
      </x:c>
      <x:c r="F51" s="202" t="str">
        <x:f>'Web Orders Source'!C21</x:f>
        <x:v>customer27@example.invalid</x:v>
      </x:c>
      <x:c r="G51" s="202" t="str">
        <x:f>'Web Orders Source'!D21</x:f>
        <x:v>+62-811-000-0027</x:v>
      </x:c>
      <x:c r="H51" s="202" t="str">
        <x:f>'Web Orders Source'!E21</x:f>
        <x:v>ID</x:v>
      </x:c>
      <x:c r="I51" s="203" t="n">
        <x:f>'Web Orders Source'!G21</x:f>
        <x:v>46209</x:v>
      </x:c>
      <x:c r="J51" s="202" t="str">
        <x:f>'Web Orders Source'!H21</x:f>
        <x:v>WEB-027</x:v>
      </x:c>
    </x:row>
    <x:row r="52" ht="26" customHeight="1">
      <x:c r="A52" s="200" t="n">
        <x:f>ROW()-4</x:f>
        <x:v>48</x:v>
      </x:c>
      <x:c r="B52" s="200" t="str">
        <x:f>"Web Orders"</x:f>
        <x:v>Web Orders</x:v>
      </x:c>
      <x:c r="C52" s="200" t="n">
        <x:f>22</x:f>
        <x:v>22</x:v>
      </x:c>
      <x:c r="D52" s="200" t="str">
        <x:f>'Web Orders Source'!A22</x:f>
        <x:v>CUST-028</x:v>
      </x:c>
      <x:c r="E52" s="200" t="str">
        <x:f>'Web Orders Source'!B22</x:f>
        <x:v>Demo Customer 28</x:v>
      </x:c>
      <x:c r="F52" s="200" t="str">
        <x:f>'Web Orders Source'!C22</x:f>
        <x:v>customer28@example.invalid</x:v>
      </x:c>
      <x:c r="G52" s="200" t="str">
        <x:f>'Web Orders Source'!D22</x:f>
        <x:v>+62-811-000-0028</x:v>
      </x:c>
      <x:c r="H52" s="200" t="str">
        <x:f>'Web Orders Source'!E22</x:f>
        <x:v>ID</x:v>
      </x:c>
      <x:c r="I52" s="201" t="n">
        <x:f>'Web Orders Source'!G22</x:f>
        <x:v>46210</x:v>
      </x:c>
      <x:c r="J52" s="200" t="str">
        <x:f>'Web Orders Source'!H22</x:f>
        <x:v>WEB-028</x:v>
      </x:c>
    </x:row>
    <x:row r="53" ht="26" customHeight="1">
      <x:c r="A53" s="202" t="n">
        <x:f>ROW()-4</x:f>
        <x:v>49</x:v>
      </x:c>
      <x:c r="B53" s="202" t="str">
        <x:f>"Web Orders"</x:f>
        <x:v>Web Orders</x:v>
      </x:c>
      <x:c r="C53" s="202" t="n">
        <x:f>23</x:f>
        <x:v>23</x:v>
      </x:c>
      <x:c r="D53" s="202" t="str">
        <x:f>'Web Orders Source'!A23</x:f>
        <x:v>CUST-029</x:v>
      </x:c>
      <x:c r="E53" s="202" t="str">
        <x:f>'Web Orders Source'!B23</x:f>
        <x:v>Demo Customer 29</x:v>
      </x:c>
      <x:c r="F53" s="202" t="str">
        <x:f>'Web Orders Source'!C23</x:f>
        <x:v>customer29@example.invalid</x:v>
      </x:c>
      <x:c r="G53" s="202" t="str">
        <x:f>'Web Orders Source'!D23</x:f>
        <x:v>+62-813-WEB-29</x:v>
      </x:c>
      <x:c r="H53" s="202" t="str">
        <x:f>'Web Orders Source'!E23</x:f>
        <x:v>ID</x:v>
      </x:c>
      <x:c r="I53" s="203" t="n">
        <x:f>'Web Orders Source'!G23</x:f>
        <x:v>46211</x:v>
      </x:c>
      <x:c r="J53" s="202" t="str">
        <x:f>'Web Orders Source'!H23</x:f>
        <x:v>WEB-029</x:v>
      </x:c>
    </x:row>
    <x:row r="54" ht="26" customHeight="1">
      <x:c r="A54" s="200" t="n">
        <x:f>ROW()-4</x:f>
        <x:v>50</x:v>
      </x:c>
      <x:c r="B54" s="200" t="str">
        <x:f>"Web Orders"</x:f>
        <x:v>Web Orders</x:v>
      </x:c>
      <x:c r="C54" s="200" t="n">
        <x:f>24</x:f>
        <x:v>24</x:v>
      </x:c>
      <x:c r="D54" s="200" t="str">
        <x:f>'Web Orders Source'!A24</x:f>
        <x:v>CUST-030</x:v>
      </x:c>
      <x:c r="E54" s="200" t="str">
        <x:f>'Web Orders Source'!B24</x:f>
        <x:v>Demo Customer 30</x:v>
      </x:c>
      <x:c r="F54" s="200" t="str">
        <x:f>'Web Orders Source'!C24</x:f>
        <x:v>customer30@example.invalid</x:v>
      </x:c>
      <x:c r="G54" s="200" t="str">
        <x:f>'Web Orders Source'!D24</x:f>
        <x:v>+62-811-000-0030</x:v>
      </x:c>
      <x:c r="H54" s="200" t="str">
        <x:f>'Web Orders Source'!E24</x:f>
        <x:v>SG</x:v>
      </x:c>
      <x:c r="I54" s="201" t="n">
        <x:f>'Web Orders Source'!G24</x:f>
        <x:v>46212</x:v>
      </x:c>
      <x:c r="J54" s="200" t="str">
        <x:f>'Web Orders Source'!H24</x:f>
        <x:v>WEB-030</x:v>
      </x:c>
    </x:row>
    <x:row r="55" ht="26" customHeight="1">
      <x:c r="A55" s="202" t="n">
        <x:f>ROW()-4</x:f>
        <x:v>51</x:v>
      </x:c>
      <x:c r="B55" s="202" t="str">
        <x:f>"Web Orders"</x:f>
        <x:v>Web Orders</x:v>
      </x:c>
      <x:c r="C55" s="202" t="n">
        <x:f>25</x:f>
        <x:v>25</x:v>
      </x:c>
      <x:c r="D55" s="202" t="str">
        <x:f>'Web Orders Source'!A25</x:f>
        <x:v>CUST-031</x:v>
      </x:c>
      <x:c r="E55" s="202" t="str">
        <x:f>'Web Orders Source'!B25</x:f>
        <x:v>Demo Customer 31</x:v>
      </x:c>
      <x:c r="F55" s="202" t="str">
        <x:f>'Web Orders Source'!C25</x:f>
        <x:v>customer31@example.invalid</x:v>
      </x:c>
      <x:c r="G55" s="202" t="str">
        <x:f>'Web Orders Source'!D25</x:f>
        <x:v>+62-811-000-0031</x:v>
      </x:c>
      <x:c r="H55" s="202" t="str">
        <x:f>'Web Orders Source'!E25</x:f>
        <x:v>ID</x:v>
      </x:c>
      <x:c r="I55" s="203" t="n">
        <x:f>'Web Orders Source'!G25</x:f>
        <x:v>46213</x:v>
      </x:c>
      <x:c r="J55" s="202" t="str">
        <x:f>'Web Orders Source'!H25</x:f>
        <x:v>WEB-031</x:v>
      </x:c>
    </x:row>
    <x:row r="56" ht="26" customHeight="1">
      <x:c r="A56" s="200" t="n">
        <x:f>ROW()-4</x:f>
        <x:v>52</x:v>
      </x:c>
      <x:c r="B56" s="200" t="str">
        <x:f>"Web Orders"</x:f>
        <x:v>Web Orders</x:v>
      </x:c>
      <x:c r="C56" s="200" t="n">
        <x:f>26</x:f>
        <x:v>26</x:v>
      </x:c>
      <x:c r="D56" s="200" t="str">
        <x:f>'Web Orders Source'!A26</x:f>
        <x:v>CUST-032</x:v>
      </x:c>
      <x:c r="E56" s="200" t="str">
        <x:f>'Web Orders Source'!B26</x:f>
        <x:v>Demo Customer 32</x:v>
      </x:c>
      <x:c r="F56" s="200" t="str">
        <x:f>'Web Orders Source'!C26</x:f>
        <x:v>web32@example.invalid</x:v>
      </x:c>
      <x:c r="G56" s="200" t="str">
        <x:f>'Web Orders Source'!D26</x:f>
        <x:v>+62-811-000-0032</x:v>
      </x:c>
      <x:c r="H56" s="200" t="str">
        <x:f>'Web Orders Source'!E26</x:f>
        <x:v>ID</x:v>
      </x:c>
      <x:c r="I56" s="201" t="n">
        <x:f>'Web Orders Source'!G26</x:f>
        <x:v>46214</x:v>
      </x:c>
      <x:c r="J56" s="200" t="str">
        <x:f>'Web Orders Source'!H26</x:f>
        <x:v>WEB-032</x:v>
      </x:c>
    </x:row>
    <x:row r="57" ht="26" customHeight="1">
      <x:c r="A57" s="202" t="n">
        <x:f>ROW()-4</x:f>
        <x:v>53</x:v>
      </x:c>
      <x:c r="B57" s="202" t="str">
        <x:f>"Web Orders"</x:f>
        <x:v>Web Orders</x:v>
      </x:c>
      <x:c r="C57" s="202" t="n">
        <x:f>27</x:f>
        <x:v>27</x:v>
      </x:c>
      <x:c r="D57" s="202" t="str">
        <x:f>'Web Orders Source'!A27</x:f>
        <x:v>CUST-033</x:v>
      </x:c>
      <x:c r="E57" s="202" t="str">
        <x:f>'Web Orders Source'!B27</x:f>
        <x:v>Demo Customer 33</x:v>
      </x:c>
      <x:c r="F57" s="202" t="str">
        <x:f>'Web Orders Source'!C27</x:f>
        <x:v>customer33@example.invalid</x:v>
      </x:c>
      <x:c r="G57" s="202" t="str">
        <x:f>'Web Orders Source'!D27</x:f>
        <x:v>+62-811-000-0033</x:v>
      </x:c>
      <x:c r="H57" s="202" t="str">
        <x:f>'Web Orders Source'!E27</x:f>
        <x:v>ID</x:v>
      </x:c>
      <x:c r="I57" s="203" t="n">
        <x:f>'Web Orders Source'!G27</x:f>
        <x:v>46215</x:v>
      </x:c>
      <x:c r="J57" s="202" t="str">
        <x:f>'Web Orders Source'!H27</x:f>
        <x:v>WEB-033</x:v>
      </x:c>
    </x:row>
    <x:row r="58" ht="26" customHeight="1">
      <x:c r="A58" s="200" t="n">
        <x:f>ROW()-4</x:f>
        <x:v>54</x:v>
      </x:c>
      <x:c r="B58" s="200" t="str">
        <x:f>"Web Orders"</x:f>
        <x:v>Web Orders</x:v>
      </x:c>
      <x:c r="C58" s="200" t="n">
        <x:f>28</x:f>
        <x:v>28</x:v>
      </x:c>
      <x:c r="D58" s="200" t="str">
        <x:f>'Web Orders Source'!A28</x:f>
        <x:v>CUST-034</x:v>
      </x:c>
      <x:c r="E58" s="200" t="str">
        <x:f>'Web Orders Source'!B28</x:f>
        <x:v>Demo Customer 34</x:v>
      </x:c>
      <x:c r="F58" s="200" t="str">
        <x:f>'Web Orders Source'!C28</x:f>
        <x:v>customer34@example.invalid</x:v>
      </x:c>
      <x:c r="G58" s="200" t="str">
        <x:f>'Web Orders Source'!D28</x:f>
        <x:v>+62-811-000-0034</x:v>
      </x:c>
      <x:c r="H58" s="200" t="str">
        <x:f>'Web Orders Source'!E28</x:f>
        <x:v>ID</x:v>
      </x:c>
      <x:c r="I58" s="201" t="n">
        <x:f>'Web Orders Source'!G28</x:f>
        <x:v>46216</x:v>
      </x:c>
      <x:c r="J58" s="200" t="str">
        <x:f>'Web Orders Source'!H28</x:f>
        <x:v>WEB-034</x:v>
      </x:c>
    </x:row>
    <x:row r="59" ht="26" customHeight="1">
      <x:c r="A59" s="202" t="n">
        <x:f>ROW()-4</x:f>
        <x:v>55</x:v>
      </x:c>
      <x:c r="B59" s="202" t="str">
        <x:f>"Web Orders"</x:f>
        <x:v>Web Orders</x:v>
      </x:c>
      <x:c r="C59" s="202" t="n">
        <x:f>29</x:f>
        <x:v>29</x:v>
      </x:c>
      <x:c r="D59" s="202" t="str">
        <x:f>'Web Orders Source'!A29</x:f>
        <x:v>CUST-035</x:v>
      </x:c>
      <x:c r="E59" s="202" t="str">
        <x:f>'Web Orders Source'!B29</x:f>
        <x:v>Demo Customer 35</x:v>
      </x:c>
      <x:c r="F59" s="202" t="str">
        <x:f>'Web Orders Source'!C29</x:f>
        <x:v>customer35@example.invalid</x:v>
      </x:c>
      <x:c r="G59" s="202" t="str">
        <x:f>'Web Orders Source'!D29</x:f>
        <x:v>+62-811-000-0035</x:v>
      </x:c>
      <x:c r="H59" s="202" t="str">
        <x:f>'Web Orders Source'!E29</x:f>
        <x:v>SG</x:v>
      </x:c>
      <x:c r="I59" s="203" t="n">
        <x:f>'Web Orders Source'!G29</x:f>
        <x:v>46217</x:v>
      </x:c>
      <x:c r="J59" s="202" t="str">
        <x:f>'Web Orders Source'!H29</x:f>
        <x:v>WEB-035</x:v>
      </x:c>
    </x:row>
    <x:row r="60" ht="26" customHeight="1">
      <x:c r="A60" s="200" t="n">
        <x:f>ROW()-4</x:f>
        <x:v>56</x:v>
      </x:c>
      <x:c r="B60" s="200" t="str">
        <x:f>"Web Orders"</x:f>
        <x:v>Web Orders</x:v>
      </x:c>
      <x:c r="C60" s="200" t="n">
        <x:f>30</x:f>
        <x:v>30</x:v>
      </x:c>
      <x:c r="D60" s="200" t="str">
        <x:f>'Web Orders Source'!A30</x:f>
        <x:v>CUST-036</x:v>
      </x:c>
      <x:c r="E60" s="200" t="str">
        <x:f>'Web Orders Source'!B30</x:f>
        <x:v>Demo Customer 36</x:v>
      </x:c>
      <x:c r="F60" s="200" t="str">
        <x:f>'Web Orders Source'!C30</x:f>
        <x:v>customer36@example.invalid</x:v>
      </x:c>
      <x:c r="G60" s="200" t="str">
        <x:f>'Web Orders Source'!D30</x:f>
        <x:v>+62-811-000-0036</x:v>
      </x:c>
      <x:c r="H60" s="200" t="str">
        <x:f>'Web Orders Source'!E30</x:f>
        <x:v>ID</x:v>
      </x:c>
      <x:c r="I60" s="201" t="n">
        <x:f>'Web Orders Source'!G30</x:f>
        <x:v>46218</x:v>
      </x:c>
      <x:c r="J60" s="200" t="str">
        <x:f>'Web Orders Source'!H30</x:f>
        <x:v>WEB-036</x:v>
      </x:c>
    </x:row>
    <x:row r="61" ht="26" customHeight="1">
      <x:c r="A61" s="202" t="n">
        <x:f>ROW()-4</x:f>
        <x:v>57</x:v>
      </x:c>
      <x:c r="B61" s="202" t="str">
        <x:f>"Web Orders"</x:f>
        <x:v>Web Orders</x:v>
      </x:c>
      <x:c r="C61" s="202" t="n">
        <x:f>31</x:f>
        <x:v>31</x:v>
      </x:c>
      <x:c r="D61" s="202" t="str">
        <x:f>'Web Orders Source'!A31</x:f>
        <x:v>CUST-037</x:v>
      </x:c>
      <x:c r="E61" s="202" t="str">
        <x:f>'Web Orders Source'!B31</x:f>
        <x:v>Demo Customer 37</x:v>
      </x:c>
      <x:c r="F61" s="202" t="str">
        <x:f>'Web Orders Source'!C31</x:f>
        <x:v>customer37@example.invalid</x:v>
      </x:c>
      <x:c r="G61" s="202" t="str">
        <x:f>'Web Orders Source'!D31</x:f>
        <x:v>+62-811-000-0037</x:v>
      </x:c>
      <x:c r="H61" s="202" t="str">
        <x:f>'Web Orders Source'!E31</x:f>
        <x:v>ID</x:v>
      </x:c>
      <x:c r="I61" s="203" t="n">
        <x:f>'Web Orders Source'!G31</x:f>
        <x:v>46219</x:v>
      </x:c>
      <x:c r="J61" s="202" t="str">
        <x:f>'Web Orders Source'!H31</x:f>
        <x:v>WEB-037</x:v>
      </x:c>
    </x:row>
    <x:row r="62" ht="26" customHeight="1">
      <x:c r="A62" s="200" t="n">
        <x:f>ROW()-4</x:f>
        <x:v>58</x:v>
      </x:c>
      <x:c r="B62" s="200" t="str">
        <x:f>"Web Orders"</x:f>
        <x:v>Web Orders</x:v>
      </x:c>
      <x:c r="C62" s="200" t="n">
        <x:f>32</x:f>
        <x:v>32</x:v>
      </x:c>
      <x:c r="D62" s="200" t="str">
        <x:f>'Web Orders Source'!A32</x:f>
        <x:v>CUST-038</x:v>
      </x:c>
      <x:c r="E62" s="200" t="str">
        <x:f>'Web Orders Source'!B32</x:f>
        <x:v>Demo Customer 38</x:v>
      </x:c>
      <x:c r="F62" s="200" t="str">
        <x:f>'Web Orders Source'!C32</x:f>
        <x:v>customer38@example.invalid</x:v>
      </x:c>
      <x:c r="G62" s="200" t="str">
        <x:f>'Web Orders Source'!D32</x:f>
        <x:v>+62-811-000-0038</x:v>
      </x:c>
      <x:c r="H62" s="200" t="str">
        <x:f>'Web Orders Source'!E32</x:f>
        <x:v>ZZ</x:v>
      </x:c>
      <x:c r="I62" s="201" t="n">
        <x:f>'Web Orders Source'!G32</x:f>
        <x:v>46220</x:v>
      </x:c>
      <x:c r="J62" s="200" t="str">
        <x:f>'Web Orders Source'!H32</x:f>
        <x:v>WEB-038</x:v>
      </x:c>
    </x:row>
    <x:row r="63" ht="26" customHeight="1">
      <x:c r="A63" s="202" t="n">
        <x:f>ROW()-4</x:f>
        <x:v>59</x:v>
      </x:c>
      <x:c r="B63" s="202" t="str">
        <x:f>"Web Orders"</x:f>
        <x:v>Web Orders</x:v>
      </x:c>
      <x:c r="C63" s="202" t="n">
        <x:f>33</x:f>
        <x:v>33</x:v>
      </x:c>
      <x:c r="D63" s="202" t="str">
        <x:f>'Web Orders Source'!A33</x:f>
        <x:v>CUST-039</x:v>
      </x:c>
      <x:c r="E63" s="202" t="str">
        <x:f>'Web Orders Source'!B33</x:f>
        <x:v>Demo Customer 39</x:v>
      </x:c>
      <x:c r="F63" s="202" t="str">
        <x:f>'Web Orders Source'!C33</x:f>
        <x:v>customer39@example.invalid</x:v>
      </x:c>
      <x:c r="G63" s="202" t="str">
        <x:f>'Web Orders Source'!D33</x:f>
        <x:v>+62-811-000-0039</x:v>
      </x:c>
      <x:c r="H63" s="202" t="str">
        <x:f>'Web Orders Source'!E33</x:f>
        <x:v>ID</x:v>
      </x:c>
      <x:c r="I63" s="203" t="n">
        <x:f>'Web Orders Source'!G33</x:f>
        <x:v>46221</x:v>
      </x:c>
      <x:c r="J63" s="202" t="str">
        <x:f>'Web Orders Source'!H33</x:f>
        <x:v>WEB-039</x:v>
      </x:c>
    </x:row>
    <x:row r="64" ht="26" customHeight="1">
      <x:c r="A64" s="200" t="n">
        <x:f>ROW()-4</x:f>
        <x:v>60</x:v>
      </x:c>
      <x:c r="B64" s="200" t="str">
        <x:f>"Web Orders"</x:f>
        <x:v>Web Orders</x:v>
      </x:c>
      <x:c r="C64" s="200" t="n">
        <x:f>34</x:f>
        <x:v>34</x:v>
      </x:c>
      <x:c r="D64" s="200" t="str">
        <x:f>'Web Orders Source'!A34</x:f>
        <x:v>CUST-040</x:v>
      </x:c>
      <x:c r="E64" s="200" t="str">
        <x:f>'Web Orders Source'!B34</x:f>
        <x:v>Demo Customer 40</x:v>
      </x:c>
      <x:c r="F64" s="200" t="str">
        <x:f>'Web Orders Source'!C34</x:f>
        <x:v>customer40@example.invalid</x:v>
      </x:c>
      <x:c r="G64" s="200" t="str">
        <x:f>'Web Orders Source'!D34</x:f>
        <x:v>+62-811-000-0040</x:v>
      </x:c>
      <x:c r="H64" s="200" t="str">
        <x:f>'Web Orders Source'!E34</x:f>
        <x:v>SG</x:v>
      </x:c>
      <x:c r="I64" s="201" t="n">
        <x:f>'Web Orders Source'!G34</x:f>
        <x:v>46222</x:v>
      </x:c>
      <x:c r="J64" s="200" t="str">
        <x:f>'Web Orders Source'!H34</x:f>
        <x:v>WEB-040</x:v>
      </x:c>
    </x:row>
    <x:row r="65" ht="26" customHeight="1">
      <x:c r="A65" s="202" t="n">
        <x:f>ROW()-4</x:f>
        <x:v>61</x:v>
      </x:c>
      <x:c r="B65" s="202" t="str">
        <x:f>"Support"</x:f>
        <x:v>Support</x:v>
      </x:c>
      <x:c r="C65" s="202" t="n">
        <x:f>5</x:f>
        <x:v>5</x:v>
      </x:c>
      <x:c r="D65" s="202" t="str">
        <x:f>'Support Source'!A5</x:f>
        <x:v>CUST-006</x:v>
      </x:c>
      <x:c r="E65" s="202" t="str">
        <x:f>'Support Source'!B5</x:f>
        <x:v>Demo Customer 06</x:v>
      </x:c>
      <x:c r="F65" s="202" t="str">
        <x:f>'Support Source'!C5</x:f>
        <x:v>customer06@example.invalid</x:v>
      </x:c>
      <x:c r="G65" s="202" t="str">
        <x:f>'Support Source'!D5</x:f>
        <x:v>+62-811-000-0006</x:v>
      </x:c>
      <x:c r="H65" s="202" t="str">
        <x:f>'Support Source'!E5</x:f>
        <x:v>ID</x:v>
      </x:c>
      <x:c r="I65" s="203" t="n">
        <x:f>'Support Source'!G5</x:f>
        <x:v>46216</x:v>
      </x:c>
      <x:c r="J65" s="202" t="str">
        <x:f>'Support Source'!H5</x:f>
        <x:v>SUP-006</x:v>
      </x:c>
    </x:row>
    <x:row r="66" ht="26" customHeight="1">
      <x:c r="A66" s="200" t="n">
        <x:f>ROW()-4</x:f>
        <x:v>62</x:v>
      </x:c>
      <x:c r="B66" s="200" t="str">
        <x:f>"Support"</x:f>
        <x:v>Support</x:v>
      </x:c>
      <x:c r="C66" s="200" t="n">
        <x:f>6</x:f>
        <x:v>6</x:v>
      </x:c>
      <x:c r="D66" s="200" t="str">
        <x:f>'Support Source'!A6</x:f>
        <x:v>CUST-007</x:v>
      </x:c>
      <x:c r="E66" s="200" t="str">
        <x:f>'Support Source'!B6</x:f>
        <x:v>Demo Customer 07</x:v>
      </x:c>
      <x:c r="F66" s="200" t="str">
        <x:f>'Support Source'!C6</x:f>
        <x:v>customer07@example.invalid</x:v>
      </x:c>
      <x:c r="G66" s="200" t="str">
        <x:f>'Support Source'!D6</x:f>
        <x:v>+62-811-000-0007</x:v>
      </x:c>
      <x:c r="H66" s="200" t="str">
        <x:f>'Support Source'!E6</x:f>
        <x:v>ID</x:v>
      </x:c>
      <x:c r="I66" s="201" t="n">
        <x:f>'Support Source'!G6</x:f>
        <x:v>46217</x:v>
      </x:c>
      <x:c r="J66" s="200" t="str">
        <x:f>'Support Source'!H6</x:f>
        <x:v>SUP-007</x:v>
      </x:c>
    </x:row>
    <x:row r="67" ht="26" customHeight="1">
      <x:c r="A67" s="202" t="n">
        <x:f>ROW()-4</x:f>
        <x:v>63</x:v>
      </x:c>
      <x:c r="B67" s="202" t="str">
        <x:f>"Support"</x:f>
        <x:v>Support</x:v>
      </x:c>
      <x:c r="C67" s="202" t="n">
        <x:f>7</x:f>
        <x:v>7</x:v>
      </x:c>
      <x:c r="D67" s="202" t="str">
        <x:f>'Support Source'!A7</x:f>
        <x:v>CUST-008</x:v>
      </x:c>
      <x:c r="E67" s="202" t="str">
        <x:f>'Support Source'!B7</x:f>
        <x:v>Demo Customer 08</x:v>
      </x:c>
      <x:c r="F67" s="202" t="str">
        <x:f>'Support Source'!C7</x:f>
        <x:v>customer08@example.invalid</x:v>
      </x:c>
      <x:c r="G67" s="202" t="str">
        <x:f>'Support Source'!D7</x:f>
        <x:v>+62-811-000-0008</x:v>
      </x:c>
      <x:c r="H67" s="202" t="str">
        <x:f>'Support Source'!E7</x:f>
        <x:v>ID</x:v>
      </x:c>
      <x:c r="I67" s="203" t="n">
        <x:f>'Support Source'!G7</x:f>
        <x:v>46218</x:v>
      </x:c>
      <x:c r="J67" s="202" t="str">
        <x:f>'Support Source'!H7</x:f>
        <x:v>SUP-008</x:v>
      </x:c>
    </x:row>
    <x:row r="68" ht="26" customHeight="1">
      <x:c r="A68" s="200" t="n">
        <x:f>ROW()-4</x:f>
        <x:v>64</x:v>
      </x:c>
      <x:c r="B68" s="200" t="str">
        <x:f>"Support"</x:f>
        <x:v>Support</x:v>
      </x:c>
      <x:c r="C68" s="200" t="n">
        <x:f>8</x:f>
        <x:v>8</x:v>
      </x:c>
      <x:c r="D68" s="200" t="str">
        <x:f>'Support Source'!A8</x:f>
        <x:v>CUST-009</x:v>
      </x:c>
      <x:c r="E68" s="200" t="str">
        <x:f>'Support Source'!B8</x:f>
        <x:v>Demo Customer 09</x:v>
      </x:c>
      <x:c r="F68" s="200" t="str">
        <x:f>'Support Source'!C8</x:f>
        <x:v>customer09@example.invalid</x:v>
      </x:c>
      <x:c r="G68" s="200" t="str">
        <x:f>'Support Source'!D8</x:f>
        <x:v>+62-811-000-0009</x:v>
      </x:c>
      <x:c r="H68" s="200" t="str">
        <x:f>'Support Source'!E8</x:f>
        <x:v>ID</x:v>
      </x:c>
      <x:c r="I68" s="201" t="n">
        <x:f>'Support Source'!G8</x:f>
        <x:v>46219</x:v>
      </x:c>
      <x:c r="J68" s="200" t="str">
        <x:f>'Support Source'!H8</x:f>
        <x:v>SUP-009</x:v>
      </x:c>
    </x:row>
    <x:row r="69" ht="26" customHeight="1">
      <x:c r="A69" s="202" t="n">
        <x:f>ROW()-4</x:f>
        <x:v>65</x:v>
      </x:c>
      <x:c r="B69" s="202" t="str">
        <x:f>"Support"</x:f>
        <x:v>Support</x:v>
      </x:c>
      <x:c r="C69" s="202" t="n">
        <x:f>9</x:f>
        <x:v>9</x:v>
      </x:c>
      <x:c r="D69" s="202" t="str">
        <x:f>'Support Source'!A9</x:f>
        <x:v>CUST-010</x:v>
      </x:c>
      <x:c r="E69" s="202" t="str">
        <x:f>'Support Source'!B9</x:f>
        <x:v>Demo Customer 10</x:v>
      </x:c>
      <x:c r="F69" s="202" t="str">
        <x:f>'Support Source'!C9</x:f>
        <x:v>customer10@example.invalid</x:v>
      </x:c>
      <x:c r="G69" s="202" t="str">
        <x:f>'Support Source'!D9</x:f>
        <x:v>+62-811-000-0010</x:v>
      </x:c>
      <x:c r="H69" s="202" t="str">
        <x:f>'Support Source'!E9</x:f>
        <x:v>SG</x:v>
      </x:c>
      <x:c r="I69" s="203" t="n">
        <x:f>'Support Source'!G9</x:f>
        <x:v>46220</x:v>
      </x:c>
      <x:c r="J69" s="202" t="str">
        <x:f>'Support Source'!H9</x:f>
        <x:v>SUP-010</x:v>
      </x:c>
    </x:row>
    <x:row r="70" ht="26" customHeight="1">
      <x:c r="A70" s="200" t="n">
        <x:f>ROW()-4</x:f>
        <x:v>66</x:v>
      </x:c>
      <x:c r="B70" s="200" t="str">
        <x:f>"Support"</x:f>
        <x:v>Support</x:v>
      </x:c>
      <x:c r="C70" s="200" t="n">
        <x:f>10</x:f>
        <x:v>10</x:v>
      </x:c>
      <x:c r="D70" s="200" t="str">
        <x:f>'Support Source'!A10</x:f>
        <x:v>CUST-011</x:v>
      </x:c>
      <x:c r="E70" s="200" t="str">
        <x:f>'Support Source'!B10</x:f>
        <x:v>Demo Customer 11</x:v>
      </x:c>
      <x:c r="F70" s="200" t="str">
        <x:f>'Support Source'!C10</x:f>
        <x:v>customer11@example.invalid</x:v>
      </x:c>
      <x:c r="G70" s="200" t="str">
        <x:f>'Support Source'!D10</x:f>
        <x:v>+62-811-000-0011</x:v>
      </x:c>
      <x:c r="H70" s="200" t="str">
        <x:f>'Support Source'!E10</x:f>
        <x:v>ID</x:v>
      </x:c>
      <x:c r="I70" s="201" t="n">
        <x:f>'Support Source'!G10</x:f>
        <x:v>46221</x:v>
      </x:c>
      <x:c r="J70" s="200" t="str">
        <x:f>'Support Source'!H10</x:f>
        <x:v>SUP-011</x:v>
      </x:c>
    </x:row>
    <x:row r="71" ht="26" customHeight="1">
      <x:c r="A71" s="202" t="n">
        <x:f>ROW()-4</x:f>
        <x:v>67</x:v>
      </x:c>
      <x:c r="B71" s="202" t="str">
        <x:f>"Support"</x:f>
        <x:v>Support</x:v>
      </x:c>
      <x:c r="C71" s="202" t="n">
        <x:f>11</x:f>
        <x:v>11</x:v>
      </x:c>
      <x:c r="D71" s="202" t="str">
        <x:f>'Support Source'!A11</x:f>
        <x:v>CUST-012</x:v>
      </x:c>
      <x:c r="E71" s="202" t="str">
        <x:f>'Support Source'!B11</x:f>
        <x:v>Demo Customer 12</x:v>
      </x:c>
      <x:c r="F71" s="202" t="str">
        <x:f>'Support Source'!C11</x:f>
        <x:v>customer12@example.invalid</x:v>
      </x:c>
      <x:c r="G71" s="202" t="str">
        <x:f>'Support Source'!D11</x:f>
        <x:v>+62-811-000-0012</x:v>
      </x:c>
      <x:c r="H71" s="202" t="str">
        <x:f>'Support Source'!E11</x:f>
        <x:v>ID</x:v>
      </x:c>
      <x:c r="I71" s="203" t="n">
        <x:f>'Support Source'!G11</x:f>
        <x:v>46222</x:v>
      </x:c>
      <x:c r="J71" s="202" t="str">
        <x:f>'Support Source'!H11</x:f>
        <x:v>SUP-012</x:v>
      </x:c>
    </x:row>
    <x:row r="72" ht="26" customHeight="1">
      <x:c r="A72" s="200" t="n">
        <x:f>ROW()-4</x:f>
        <x:v>68</x:v>
      </x:c>
      <x:c r="B72" s="200" t="str">
        <x:f>"Support"</x:f>
        <x:v>Support</x:v>
      </x:c>
      <x:c r="C72" s="200" t="n">
        <x:f>12</x:f>
        <x:v>12</x:v>
      </x:c>
      <x:c r="D72" s="200" t="str">
        <x:f>'Support Source'!A12</x:f>
        <x:v>CUST-013</x:v>
      </x:c>
      <x:c r="E72" s="200" t="str">
        <x:f>'Support Source'!B12</x:f>
        <x:v>Demo Customer 13</x:v>
      </x:c>
      <x:c r="F72" s="200" t="str">
        <x:f>'Support Source'!C12</x:f>
        <x:v>customer13@example.invalid</x:v>
      </x:c>
      <x:c r="G72" s="200" t="str">
        <x:f>'Support Source'!D12</x:f>
        <x:v>+62-811-000-0013</x:v>
      </x:c>
      <x:c r="H72" s="200" t="str">
        <x:f>'Support Source'!E12</x:f>
        <x:v>ID</x:v>
      </x:c>
      <x:c r="I72" s="201" t="n">
        <x:f>'Support Source'!G12</x:f>
        <x:v>46223</x:v>
      </x:c>
      <x:c r="J72" s="200" t="str">
        <x:f>'Support Source'!H12</x:f>
        <x:v>SUP-013</x:v>
      </x:c>
    </x:row>
    <x:row r="73" ht="26" customHeight="1">
      <x:c r="A73" s="202" t="n">
        <x:f>ROW()-4</x:f>
        <x:v>69</x:v>
      </x:c>
      <x:c r="B73" s="202" t="str">
        <x:f>"Support"</x:f>
        <x:v>Support</x:v>
      </x:c>
      <x:c r="C73" s="202" t="n">
        <x:f>13</x:f>
        <x:v>13</x:v>
      </x:c>
      <x:c r="D73" s="202" t="str">
        <x:f>'Support Source'!A13</x:f>
        <x:v>CUST-014</x:v>
      </x:c>
      <x:c r="E73" s="202" t="str">
        <x:f>'Support Source'!B13</x:f>
        <x:v>Demo Customer 14</x:v>
      </x:c>
      <x:c r="F73" s="202" t="str">
        <x:f>'Support Source'!C13</x:f>
        <x:v>customer14@example.invalid</x:v>
      </x:c>
      <x:c r="G73" s="202" t="str">
        <x:f>'Support Source'!D13</x:f>
        <x:v>+62-811-000-0014</x:v>
      </x:c>
      <x:c r="H73" s="202" t="str">
        <x:f>'Support Source'!E13</x:f>
        <x:v>ID</x:v>
      </x:c>
      <x:c r="I73" s="203" t="n">
        <x:f>'Support Source'!G13</x:f>
        <x:v>46224</x:v>
      </x:c>
      <x:c r="J73" s="202" t="str">
        <x:f>'Support Source'!H13</x:f>
        <x:v>SUP-014</x:v>
      </x:c>
    </x:row>
    <x:row r="74" ht="26" customHeight="1">
      <x:c r="A74" s="200" t="n">
        <x:f>ROW()-4</x:f>
        <x:v>70</x:v>
      </x:c>
      <x:c r="B74" s="200" t="str">
        <x:f>"Support"</x:f>
        <x:v>Support</x:v>
      </x:c>
      <x:c r="C74" s="200" t="n">
        <x:f>14</x:f>
        <x:v>14</x:v>
      </x:c>
      <x:c r="D74" s="200" t="str">
        <x:f>'Support Source'!A14</x:f>
        <x:v>CUST-015</x:v>
      </x:c>
      <x:c r="E74" s="200" t="str">
        <x:f>'Support Source'!B14</x:f>
        <x:v>Demo Customer 15</x:v>
      </x:c>
      <x:c r="F74" s="200" t="str">
        <x:f>'Support Source'!C14</x:f>
        <x:v>customer15@example.invalid</x:v>
      </x:c>
      <x:c r="G74" s="200" t="str">
        <x:f>'Support Source'!D14</x:f>
        <x:v>+62-811-000-0015</x:v>
      </x:c>
      <x:c r="H74" s="200" t="str">
        <x:f>'Support Source'!E14</x:f>
        <x:v>SG</x:v>
      </x:c>
      <x:c r="I74" s="201" t="n">
        <x:f>'Support Source'!G14</x:f>
        <x:v>46225</x:v>
      </x:c>
      <x:c r="J74" s="200" t="str">
        <x:f>'Support Source'!H14</x:f>
        <x:v>SUP-015</x:v>
      </x:c>
    </x:row>
    <x:row r="75" ht="26" customHeight="1">
      <x:c r="A75" s="202" t="n">
        <x:f>ROW()-4</x:f>
        <x:v>71</x:v>
      </x:c>
      <x:c r="B75" s="202" t="str">
        <x:f>"Support"</x:f>
        <x:v>Support</x:v>
      </x:c>
      <x:c r="C75" s="202" t="n">
        <x:f>15</x:f>
        <x:v>15</x:v>
      </x:c>
      <x:c r="D75" s="202" t="str">
        <x:f>'Support Source'!A15</x:f>
        <x:v>CUST-016</x:v>
      </x:c>
      <x:c r="E75" s="202" t="str">
        <x:f>'Support Source'!B15</x:f>
        <x:v>Demo Customer 16</x:v>
      </x:c>
      <x:c r="F75" s="202" t="str">
        <x:f>'Support Source'!C15</x:f>
        <x:v>customer16@example.invalid</x:v>
      </x:c>
      <x:c r="G75" s="202" t="str">
        <x:f>'Support Source'!D15</x:f>
        <x:v>+62-811-000-0016</x:v>
      </x:c>
      <x:c r="H75" s="202" t="str">
        <x:f>'Support Source'!E15</x:f>
        <x:v>ID</x:v>
      </x:c>
      <x:c r="I75" s="203" t="n">
        <x:f>'Support Source'!G15</x:f>
        <x:v>46226</x:v>
      </x:c>
      <x:c r="J75" s="202" t="str">
        <x:f>'Support Source'!H15</x:f>
        <x:v>SUP-016</x:v>
      </x:c>
    </x:row>
    <x:row r="76" ht="26" customHeight="1">
      <x:c r="A76" s="200" t="n">
        <x:f>ROW()-4</x:f>
        <x:v>72</x:v>
      </x:c>
      <x:c r="B76" s="200" t="str">
        <x:f>"Support"</x:f>
        <x:v>Support</x:v>
      </x:c>
      <x:c r="C76" s="200" t="n">
        <x:f>16</x:f>
        <x:v>16</x:v>
      </x:c>
      <x:c r="D76" s="200" t="str">
        <x:f>'Support Source'!A16</x:f>
        <x:v>CUST-017</x:v>
      </x:c>
      <x:c r="E76" s="200" t="str">
        <x:f>'Support Source'!B16</x:f>
        <x:v>Demo Customer 17</x:v>
      </x:c>
      <x:c r="F76" s="200" t="str">
        <x:f>'Support Source'!C16</x:f>
        <x:v>customer17@example.invalid</x:v>
      </x:c>
      <x:c r="G76" s="200" t="str">
        <x:f>'Support Source'!D16</x:f>
        <x:v>+62-811-000-0017</x:v>
      </x:c>
      <x:c r="H76" s="200" t="str">
        <x:f>'Support Source'!E16</x:f>
        <x:v>ID</x:v>
      </x:c>
      <x:c r="I76" s="201" t="n">
        <x:f>'Support Source'!G16</x:f>
        <x:v>46227</x:v>
      </x:c>
      <x:c r="J76" s="200" t="str">
        <x:f>'Support Source'!H16</x:f>
        <x:v>SUP-017</x:v>
      </x:c>
    </x:row>
    <x:row r="77" ht="26" customHeight="1">
      <x:c r="A77" s="202" t="n">
        <x:f>ROW()-4</x:f>
        <x:v>73</x:v>
      </x:c>
      <x:c r="B77" s="202" t="str">
        <x:f>"Support"</x:f>
        <x:v>Support</x:v>
      </x:c>
      <x:c r="C77" s="202" t="n">
        <x:f>17</x:f>
        <x:v>17</x:v>
      </x:c>
      <x:c r="D77" s="202" t="str">
        <x:f>'Support Source'!A17</x:f>
        <x:v>CUST-018</x:v>
      </x:c>
      <x:c r="E77" s="202" t="str">
        <x:f>'Support Source'!B17</x:f>
        <x:v>Demo Customer 18</x:v>
      </x:c>
      <x:c r="F77" s="202" t="str">
        <x:f>'Support Source'!C17</x:f>
        <x:v>support18@example.invalid</x:v>
      </x:c>
      <x:c r="G77" s="202" t="str">
        <x:f>'Support Source'!D17</x:f>
        <x:v>+62-811-000-0018</x:v>
      </x:c>
      <x:c r="H77" s="202" t="str">
        <x:f>'Support Source'!E17</x:f>
        <x:v>ID</x:v>
      </x:c>
      <x:c r="I77" s="203" t="n">
        <x:f>'Support Source'!G17</x:f>
        <x:v>46228</x:v>
      </x:c>
      <x:c r="J77" s="202" t="str">
        <x:f>'Support Source'!H17</x:f>
        <x:v>SUP-018</x:v>
      </x:c>
    </x:row>
    <x:row r="78" ht="26" customHeight="1">
      <x:c r="A78" s="200" t="n">
        <x:f>ROW()-4</x:f>
        <x:v>74</x:v>
      </x:c>
      <x:c r="B78" s="200" t="str">
        <x:f>"Support"</x:f>
        <x:v>Support</x:v>
      </x:c>
      <x:c r="C78" s="200" t="n">
        <x:f>18</x:f>
        <x:v>18</x:v>
      </x:c>
      <x:c r="D78" s="200" t="str">
        <x:f>'Support Source'!A18</x:f>
        <x:v>CUST-019</x:v>
      </x:c>
      <x:c r="E78" s="200" t="str">
        <x:f>'Support Source'!B18</x:f>
        <x:v>Demo Customer 19</x:v>
      </x:c>
      <x:c r="F78" s="200" t="str">
        <x:f>'Support Source'!C18</x:f>
        <x:v>customer19@example.invalid</x:v>
      </x:c>
      <x:c r="G78" s="200" t="str">
        <x:f>'Support Source'!D18</x:f>
        <x:v>+62-811-000-0019</x:v>
      </x:c>
      <x:c r="H78" s="200" t="str">
        <x:f>'Support Source'!E18</x:f>
        <x:v>ID</x:v>
      </x:c>
      <x:c r="I78" s="201" t="n">
        <x:f>'Support Source'!G18</x:f>
        <x:v>46204</x:v>
      </x:c>
      <x:c r="J78" s="200" t="str">
        <x:f>'Support Source'!H18</x:f>
        <x:v>SUP-019</x:v>
      </x:c>
    </x:row>
    <x:row r="79" ht="26" customHeight="1">
      <x:c r="A79" s="202" t="n">
        <x:f>ROW()-4</x:f>
        <x:v>75</x:v>
      </x:c>
      <x:c r="B79" s="202" t="str">
        <x:f>"Support"</x:f>
        <x:v>Support</x:v>
      </x:c>
      <x:c r="C79" s="202" t="n">
        <x:f>19</x:f>
        <x:v>19</x:v>
      </x:c>
      <x:c r="D79" s="202" t="str">
        <x:f>'Support Source'!A19</x:f>
        <x:v>CUST-020</x:v>
      </x:c>
      <x:c r="E79" s="202" t="str">
        <x:f>'Support Source'!B19</x:f>
        <x:v>Demo Customer 20</x:v>
      </x:c>
      <x:c r="F79" s="202" t="str">
        <x:f>'Support Source'!C19</x:f>
        <x:v>customer20@example.invalid</x:v>
      </x:c>
      <x:c r="G79" s="202" t="str">
        <x:f>'Support Source'!D19</x:f>
        <x:v>+62-811-000-0020</x:v>
      </x:c>
      <x:c r="H79" s="202" t="str">
        <x:f>'Support Source'!E19</x:f>
        <x:v>SG</x:v>
      </x:c>
      <x:c r="I79" s="203" t="n">
        <x:f>'Support Source'!G19</x:f>
        <x:v>46205</x:v>
      </x:c>
      <x:c r="J79" s="202" t="str">
        <x:f>'Support Source'!H19</x:f>
        <x:v>SUP-020</x:v>
      </x:c>
    </x:row>
    <x:row r="80" ht="26" customHeight="1">
      <x:c r="A80" s="200" t="n">
        <x:f>ROW()-4</x:f>
        <x:v>76</x:v>
      </x:c>
      <x:c r="B80" s="200" t="str">
        <x:f>"Support"</x:f>
        <x:v>Support</x:v>
      </x:c>
      <x:c r="C80" s="200" t="n">
        <x:f>20</x:f>
        <x:v>20</x:v>
      </x:c>
      <x:c r="D80" s="200" t="str">
        <x:f>'Support Source'!A20</x:f>
        <x:v>CUST-021</x:v>
      </x:c>
      <x:c r="E80" s="200" t="str">
        <x:f>'Support Source'!B20</x:f>
        <x:v>Demo Customer 21</x:v>
      </x:c>
      <x:c r="F80" s="200" t="str">
        <x:f>'Support Source'!C20</x:f>
        <x:v>customer21@example.invalid</x:v>
      </x:c>
      <x:c r="G80" s="200" t="str">
        <x:f>'Support Source'!D20</x:f>
        <x:v>+62-811-000-0021</x:v>
      </x:c>
      <x:c r="H80" s="200" t="str">
        <x:f>'Support Source'!E20</x:f>
        <x:v>ID</x:v>
      </x:c>
      <x:c r="I80" s="201" t="n">
        <x:f>'Support Source'!G20</x:f>
        <x:v>46206</x:v>
      </x:c>
      <x:c r="J80" s="200" t="str">
        <x:f>'Support Source'!H20</x:f>
        <x:v>SUP-021</x:v>
      </x:c>
    </x:row>
    <x:row r="81" ht="26" customHeight="1">
      <x:c r="A81" s="202" t="n">
        <x:f>ROW()-4</x:f>
        <x:v>77</x:v>
      </x:c>
      <x:c r="B81" s="202" t="str">
        <x:f>"Support"</x:f>
        <x:v>Support</x:v>
      </x:c>
      <x:c r="C81" s="202" t="n">
        <x:f>21</x:f>
        <x:v>21</x:v>
      </x:c>
      <x:c r="D81" s="202" t="str">
        <x:f>'Support Source'!A21</x:f>
        <x:v>CUST-022</x:v>
      </x:c>
      <x:c r="E81" s="202" t="str">
        <x:f>'Support Source'!B21</x:f>
        <x:v>Demo Customer 22</x:v>
      </x:c>
      <x:c r="F81" s="202" t="str">
        <x:f>'Support Source'!C21</x:f>
        <x:v>customer22@example.invalid</x:v>
      </x:c>
      <x:c r="G81" s="202" t="str">
        <x:f>'Support Source'!D21</x:f>
        <x:v>+62-811-000-0022</x:v>
      </x:c>
      <x:c r="H81" s="202" t="str">
        <x:f>'Support Source'!E21</x:f>
        <x:v>ID</x:v>
      </x:c>
      <x:c r="I81" s="203" t="n">
        <x:f>'Support Source'!G21</x:f>
        <x:v>46207</x:v>
      </x:c>
      <x:c r="J81" s="202" t="str">
        <x:f>'Support Source'!H21</x:f>
        <x:v>SUP-022</x:v>
      </x:c>
    </x:row>
    <x:row r="82" ht="26" customHeight="1">
      <x:c r="A82" s="200" t="n">
        <x:f>ROW()-4</x:f>
        <x:v>78</x:v>
      </x:c>
      <x:c r="B82" s="200" t="str">
        <x:f>"Support"</x:f>
        <x:v>Support</x:v>
      </x:c>
      <x:c r="C82" s="200" t="n">
        <x:f>22</x:f>
        <x:v>22</x:v>
      </x:c>
      <x:c r="D82" s="200" t="str">
        <x:f>'Support Source'!A22</x:f>
        <x:v>CUST-023</x:v>
      </x:c>
      <x:c r="E82" s="200" t="str">
        <x:f>'Support Source'!B22</x:f>
        <x:v>Demo Customer 23</x:v>
      </x:c>
      <x:c r="F82" s="200" t="str">
        <x:f>'Support Source'!C22</x:f>
        <x:v>customer23@example.invalid</x:v>
      </x:c>
      <x:c r="G82" s="200" t="str">
        <x:f>'Support Source'!D22</x:f>
        <x:v>+62-811-000-0023</x:v>
      </x:c>
      <x:c r="H82" s="200" t="str">
        <x:f>'Support Source'!E22</x:f>
        <x:v>ID</x:v>
      </x:c>
      <x:c r="I82" s="201" t="n">
        <x:f>'Support Source'!G22</x:f>
        <x:v>46208</x:v>
      </x:c>
      <x:c r="J82" s="200" t="str">
        <x:f>'Support Source'!H22</x:f>
        <x:v>SUP-023</x:v>
      </x:c>
    </x:row>
    <x:row r="83" ht="26" customHeight="1">
      <x:c r="A83" s="202" t="n">
        <x:f>ROW()-4</x:f>
        <x:v>79</x:v>
      </x:c>
      <x:c r="B83" s="202" t="str">
        <x:f>"Support"</x:f>
        <x:v>Support</x:v>
      </x:c>
      <x:c r="C83" s="202" t="n">
        <x:f>23</x:f>
        <x:v>23</x:v>
      </x:c>
      <x:c r="D83" s="202" t="str">
        <x:f>'Support Source'!A23</x:f>
        <x:v>CUST-024</x:v>
      </x:c>
      <x:c r="E83" s="202" t="str">
        <x:f>'Support Source'!B23</x:f>
        <x:v>Demo Customer 24</x:v>
      </x:c>
      <x:c r="F83" s="202" t="str">
        <x:f>'Support Source'!C23</x:f>
        <x:v>customer24@example.invalid</x:v>
      </x:c>
      <x:c r="G83" s="202" t="str">
        <x:f>'Support Source'!D23</x:f>
        <x:v>+62-811-000-0024</x:v>
      </x:c>
      <x:c r="H83" s="202" t="str">
        <x:f>'Support Source'!E23</x:f>
        <x:v>ID</x:v>
      </x:c>
      <x:c r="I83" s="203" t="n">
        <x:f>'Support Source'!G23</x:f>
        <x:v>46209</x:v>
      </x:c>
      <x:c r="J83" s="202" t="str">
        <x:f>'Support Source'!H23</x:f>
        <x:v>SUP-024</x:v>
      </x:c>
    </x:row>
    <x:row r="84" ht="26" customHeight="1">
      <x:c r="A84" s="200" t="n">
        <x:f>ROW()-4</x:f>
        <x:v>80</x:v>
      </x:c>
      <x:c r="B84" s="200" t="str">
        <x:f>"Support"</x:f>
        <x:v>Support</x:v>
      </x:c>
      <x:c r="C84" s="200" t="n">
        <x:f>24</x:f>
        <x:v>24</x:v>
      </x:c>
      <x:c r="D84" s="200" t="str">
        <x:f>'Support Source'!A24</x:f>
        <x:v>CUST-025</x:v>
      </x:c>
      <x:c r="E84" s="200" t="str">
        <x:f>'Support Source'!B24</x:f>
        <x:v>Demo Customer 25</x:v>
      </x:c>
      <x:c r="F84" s="200" t="str">
        <x:f>'Support Source'!C24</x:f>
        <x:v>customer25@example.invalid</x:v>
      </x:c>
      <x:c r="G84" s="200" t="str">
        <x:f>'Support Source'!D24</x:f>
        <x:v>+62-811-000-0025</x:v>
      </x:c>
      <x:c r="H84" s="200" t="str">
        <x:f>'Support Source'!E24</x:f>
        <x:v>SG</x:v>
      </x:c>
      <x:c r="I84" s="201" t="n">
        <x:f>'Support Source'!G24</x:f>
        <x:v>46210</x:v>
      </x:c>
      <x:c r="J84" s="200" t="str">
        <x:f>'Support Source'!H24</x:f>
        <x:v>SUP-025</x:v>
      </x:c>
    </x:row>
    <x:row r="85" ht="26" customHeight="1">
      <x:c r="A85" s="202" t="n">
        <x:f>ROW()-4</x:f>
        <x:v>81</x:v>
      </x:c>
      <x:c r="B85" s="202" t="str">
        <x:f>"Support"</x:f>
        <x:v>Support</x:v>
      </x:c>
      <x:c r="C85" s="202" t="n">
        <x:f>25</x:f>
        <x:v>25</x:v>
      </x:c>
      <x:c r="D85" s="202" t="str">
        <x:f>'Support Source'!A25</x:f>
        <x:v>CUST-026</x:v>
      </x:c>
      <x:c r="E85" s="202" t="str">
        <x:f>'Support Source'!B25</x:f>
        <x:v>Demo Customer 26</x:v>
      </x:c>
      <x:c r="F85" s="202" t="str">
        <x:f>'Support Source'!C25</x:f>
        <x:v>customer26@example.invalid</x:v>
      </x:c>
      <x:c r="G85" s="202" t="str">
        <x:f>'Support Source'!D25</x:f>
        <x:v>+62-811-000-0026</x:v>
      </x:c>
      <x:c r="H85" s="202" t="str">
        <x:f>'Support Source'!E25</x:f>
        <x:v>ID</x:v>
      </x:c>
      <x:c r="I85" s="203" t="n">
        <x:f>'Support Source'!G25</x:f>
        <x:v>46211</x:v>
      </x:c>
      <x:c r="J85" s="202" t="str">
        <x:f>'Support Source'!H25</x:f>
        <x:v>SUP-026</x:v>
      </x:c>
    </x:row>
    <x:row r="86" ht="26" customHeight="1">
      <x:c r="A86" s="200" t="n">
        <x:f>ROW()-4</x:f>
        <x:v>82</x:v>
      </x:c>
      <x:c r="B86" s="200" t="str">
        <x:f>"Support"</x:f>
        <x:v>Support</x:v>
      </x:c>
      <x:c r="C86" s="200" t="n">
        <x:f>26</x:f>
        <x:v>26</x:v>
      </x:c>
      <x:c r="D86" s="200" t="str">
        <x:f>'Support Source'!A26</x:f>
        <x:v>CUST-027</x:v>
      </x:c>
      <x:c r="E86" s="200" t="str">
        <x:f>'Support Source'!B26</x:f>
        <x:v>Demo Customer 27</x:v>
      </x:c>
      <x:c r="F86" s="200" t="str">
        <x:f>'Support Source'!C26</x:f>
        <x:v>customer27@example.invalid</x:v>
      </x:c>
      <x:c r="G86" s="200" t="str">
        <x:f>'Support Source'!D26</x:f>
        <x:v>+62-811-000-0027</x:v>
      </x:c>
      <x:c r="H86" s="200" t="str">
        <x:f>'Support Source'!E26</x:f>
        <x:v>ID</x:v>
      </x:c>
      <x:c r="I86" s="201" t="n">
        <x:f>'Support Source'!G26</x:f>
        <x:v>46212</x:v>
      </x:c>
      <x:c r="J86" s="200" t="str">
        <x:f>'Support Source'!H26</x:f>
        <x:v>SUP-027</x:v>
      </x:c>
    </x:row>
    <x:row r="87" ht="26" customHeight="1">
      <x:c r="A87" s="202" t="n">
        <x:f>ROW()-4</x:f>
        <x:v>83</x:v>
      </x:c>
      <x:c r="B87" s="202" t="str">
        <x:f>"Support"</x:f>
        <x:v>Support</x:v>
      </x:c>
      <x:c r="C87" s="202" t="n">
        <x:f>27</x:f>
        <x:v>27</x:v>
      </x:c>
      <x:c r="D87" s="202" t="str">
        <x:f>'Support Source'!A27</x:f>
        <x:v>CUST-028</x:v>
      </x:c>
      <x:c r="E87" s="202" t="str">
        <x:f>'Support Source'!B27</x:f>
        <x:v>Demo Customer 28</x:v>
      </x:c>
      <x:c r="F87" s="202" t="str">
        <x:f>'Support Source'!C27</x:f>
        <x:v>customer28@example.invalid</x:v>
      </x:c>
      <x:c r="G87" s="202" t="str">
        <x:f>'Support Source'!D27</x:f>
        <x:v>+62-811-000-0028</x:v>
      </x:c>
      <x:c r="H87" s="202" t="str">
        <x:f>'Support Source'!E27</x:f>
        <x:v>ID</x:v>
      </x:c>
      <x:c r="I87" s="203" t="n">
        <x:f>'Support Source'!G27</x:f>
        <x:v>46213</x:v>
      </x:c>
      <x:c r="J87" s="202" t="str">
        <x:f>'Support Source'!H27</x:f>
        <x:v>SUP-028</x:v>
      </x:c>
    </x:row>
    <x:row r="88" ht="26" customHeight="1">
      <x:c r="A88" s="200" t="n">
        <x:f>ROW()-4</x:f>
        <x:v>84</x:v>
      </x:c>
      <x:c r="B88" s="200" t="str">
        <x:f>"Support"</x:f>
        <x:v>Support</x:v>
      </x:c>
      <x:c r="C88" s="200" t="n">
        <x:f>28</x:f>
        <x:v>28</x:v>
      </x:c>
      <x:c r="D88" s="200" t="str">
        <x:f>'Support Source'!A28</x:f>
        <x:v>CUST-029</x:v>
      </x:c>
      <x:c r="E88" s="200" t="str">
        <x:f>'Support Source'!B28</x:f>
        <x:v>Demo Customer 29</x:v>
      </x:c>
      <x:c r="F88" s="200" t="str">
        <x:f>'Support Source'!C28</x:f>
        <x:v>customer29@example.invalid</x:v>
      </x:c>
      <x:c r="G88" s="200" t="str">
        <x:f>'Support Source'!D28</x:f>
        <x:v>+62-814-SUP-29</x:v>
      </x:c>
      <x:c r="H88" s="200" t="str">
        <x:f>'Support Source'!E28</x:f>
        <x:v>ID</x:v>
      </x:c>
      <x:c r="I88" s="201" t="n">
        <x:f>'Support Source'!G28</x:f>
        <x:v>46214</x:v>
      </x:c>
      <x:c r="J88" s="200" t="str">
        <x:f>'Support Source'!H28</x:f>
        <x:v>SUP-029</x:v>
      </x:c>
    </x:row>
    <x:row r="89" ht="26" customHeight="1">
      <x:c r="A89" s="202" t="n">
        <x:f>ROW()-4</x:f>
        <x:v>85</x:v>
      </x:c>
      <x:c r="B89" s="202" t="str">
        <x:f>"Support"</x:f>
        <x:v>Support</x:v>
      </x:c>
      <x:c r="C89" s="202" t="n">
        <x:f>29</x:f>
        <x:v>29</x:v>
      </x:c>
      <x:c r="D89" s="202" t="str">
        <x:f>'Support Source'!A29</x:f>
        <x:v>CUST-030</x:v>
      </x:c>
      <x:c r="E89" s="202" t="str">
        <x:f>'Support Source'!B29</x:f>
        <x:v>Demo Customer 30</x:v>
      </x:c>
      <x:c r="F89" s="202" t="str">
        <x:f>'Support Source'!C29</x:f>
        <x:v>customer30@example.invalid</x:v>
      </x:c>
      <x:c r="G89" s="202" t="str">
        <x:f>'Support Source'!D29</x:f>
        <x:v>+62-811-000-0030</x:v>
      </x:c>
      <x:c r="H89" s="202" t="str">
        <x:f>'Support Source'!E29</x:f>
        <x:v>SG</x:v>
      </x:c>
      <x:c r="I89" s="203" t="n">
        <x:f>'Support Source'!G29</x:f>
        <x:v>46215</x:v>
      </x:c>
      <x:c r="J89" s="202" t="str">
        <x:f>'Support Source'!H29</x:f>
        <x:v>SUP-030</x:v>
      </x:c>
    </x:row>
    <x:row r="90" ht="26" customHeight="1">
      <x:c r="A90" s="200" t="n">
        <x:f>ROW()-4</x:f>
        <x:v>86</x:v>
      </x:c>
      <x:c r="B90" s="200" t="str">
        <x:f>"Support"</x:f>
        <x:v>Support</x:v>
      </x:c>
      <x:c r="C90" s="200" t="n">
        <x:f>30</x:f>
        <x:v>30</x:v>
      </x:c>
      <x:c r="D90" s="200" t="str">
        <x:f>'Support Source'!A30</x:f>
        <x:v>CUST-031</x:v>
      </x:c>
      <x:c r="E90" s="200" t="str">
        <x:f>'Support Source'!B30</x:f>
        <x:v>Demo Customer 31</x:v>
      </x:c>
      <x:c r="F90" s="200" t="str">
        <x:f>'Support Source'!C30</x:f>
        <x:v>customer31@example.invalid</x:v>
      </x:c>
      <x:c r="G90" s="200" t="str">
        <x:f>'Support Source'!D30</x:f>
        <x:v>+62-811-000-0031</x:v>
      </x:c>
      <x:c r="H90" s="200" t="str">
        <x:f>'Support Source'!E30</x:f>
        <x:v>ID</x:v>
      </x:c>
      <x:c r="I90" s="201" t="n">
        <x:f>'Support Source'!G30</x:f>
        <x:v>46216</x:v>
      </x:c>
      <x:c r="J90" s="200" t="str">
        <x:f>'Support Source'!H30</x:f>
        <x:v>SUP-031</x:v>
      </x:c>
    </x:row>
    <x:row r="91" ht="26" customHeight="1">
      <x:c r="A91" s="202" t="n">
        <x:f>ROW()-4</x:f>
        <x:v>87</x:v>
      </x:c>
      <x:c r="B91" s="202" t="str">
        <x:f>"Support"</x:f>
        <x:v>Support</x:v>
      </x:c>
      <x:c r="C91" s="202" t="n">
        <x:f>31</x:f>
        <x:v>31</x:v>
      </x:c>
      <x:c r="D91" s="202" t="str">
        <x:f>'Support Source'!A31</x:f>
        <x:v>CUST-032</x:v>
      </x:c>
      <x:c r="E91" s="202" t="str">
        <x:f>'Support Source'!B31</x:f>
        <x:v>Demo Customer 32</x:v>
      </x:c>
      <x:c r="F91" s="202" t="str">
        <x:f>'Support Source'!C31</x:f>
        <x:v>support32@example.invalid</x:v>
      </x:c>
      <x:c r="G91" s="202" t="str">
        <x:f>'Support Source'!D31</x:f>
        <x:v>+62-811-000-0032</x:v>
      </x:c>
      <x:c r="H91" s="202" t="str">
        <x:f>'Support Source'!E31</x:f>
        <x:v>ID</x:v>
      </x:c>
      <x:c r="I91" s="203" t="n">
        <x:f>'Support Source'!G31</x:f>
        <x:v>46217</x:v>
      </x:c>
      <x:c r="J91" s="202" t="str">
        <x:f>'Support Source'!H31</x:f>
        <x:v>SUP-032</x:v>
      </x:c>
    </x:row>
    <x:row r="92" ht="26" customHeight="1">
      <x:c r="A92" s="200" t="n">
        <x:f>ROW()-4</x:f>
        <x:v>88</x:v>
      </x:c>
      <x:c r="B92" s="200" t="str">
        <x:f>"Support"</x:f>
        <x:v>Support</x:v>
      </x:c>
      <x:c r="C92" s="200" t="n">
        <x:f>32</x:f>
        <x:v>32</x:v>
      </x:c>
      <x:c r="D92" s="200" t="str">
        <x:f>'Support Source'!A32</x:f>
        <x:v>CUST-033</x:v>
      </x:c>
      <x:c r="E92" s="200" t="str">
        <x:f>'Support Source'!B32</x:f>
        <x:v>Demo Customer 33</x:v>
      </x:c>
      <x:c r="F92" s="200" t="str">
        <x:f>'Support Source'!C32</x:f>
        <x:v>customer33@example.invalid</x:v>
      </x:c>
      <x:c r="G92" s="200" t="str">
        <x:f>'Support Source'!D32</x:f>
        <x:v>+62-811-000-0033</x:v>
      </x:c>
      <x:c r="H92" s="200" t="str">
        <x:f>'Support Source'!E32</x:f>
        <x:v>ID</x:v>
      </x:c>
      <x:c r="I92" s="201" t="n">
        <x:f>'Support Source'!G32</x:f>
        <x:v>46218</x:v>
      </x:c>
      <x:c r="J92" s="200" t="str">
        <x:f>'Support Source'!H32</x:f>
        <x:v>SUP-033</x:v>
      </x:c>
    </x:row>
    <x:row r="93" ht="26" customHeight="1">
      <x:c r="A93" s="202" t="n">
        <x:f>ROW()-4</x:f>
        <x:v>89</x:v>
      </x:c>
      <x:c r="B93" s="202" t="str">
        <x:f>"Support"</x:f>
        <x:v>Support</x:v>
      </x:c>
      <x:c r="C93" s="202" t="n">
        <x:f>33</x:f>
        <x:v>33</x:v>
      </x:c>
      <x:c r="D93" s="202" t="str">
        <x:f>'Support Source'!A33</x:f>
        <x:v>CUST-034</x:v>
      </x:c>
      <x:c r="E93" s="202" t="str">
        <x:f>'Support Source'!B33</x:f>
        <x:v>Demo Customer 34</x:v>
      </x:c>
      <x:c r="F93" s="202" t="str">
        <x:f>'Support Source'!C33</x:f>
        <x:v>customer34@example.invalid</x:v>
      </x:c>
      <x:c r="G93" s="202" t="str">
        <x:f>'Support Source'!D33</x:f>
        <x:v>+62-811-000-0034</x:v>
      </x:c>
      <x:c r="H93" s="202" t="str">
        <x:f>'Support Source'!E33</x:f>
        <x:v>ID</x:v>
      </x:c>
      <x:c r="I93" s="203" t="n">
        <x:f>'Support Source'!G33</x:f>
        <x:v>46219</x:v>
      </x:c>
      <x:c r="J93" s="202" t="str">
        <x:f>'Support Source'!H33</x:f>
        <x:v>SUP-034</x:v>
      </x:c>
    </x:row>
    <x:row r="94" ht="26" customHeight="1">
      <x:c r="A94" s="204" t="n">
        <x:f>ROW()-4</x:f>
        <x:v>90</x:v>
      </x:c>
      <x:c r="B94" s="204" t="str">
        <x:f>"Support"</x:f>
        <x:v>Support</x:v>
      </x:c>
      <x:c r="C94" s="204" t="n">
        <x:f>34</x:f>
        <x:v>34</x:v>
      </x:c>
      <x:c r="D94" s="204" t="str">
        <x:f>'Support Source'!A34</x:f>
        <x:v>CUST-035</x:v>
      </x:c>
      <x:c r="E94" s="204" t="str">
        <x:f>'Support Source'!B34</x:f>
        <x:v>Demo Customer 35</x:v>
      </x:c>
      <x:c r="F94" s="204" t="str">
        <x:f>'Support Source'!C34</x:f>
        <x:v>customer35@example.invalid</x:v>
      </x:c>
      <x:c r="G94" s="204" t="str">
        <x:f>'Support Source'!D34</x:f>
        <x:v>+62-811-000-0035</x:v>
      </x:c>
      <x:c r="H94" s="204" t="str">
        <x:f>'Support Source'!E34</x:f>
        <x:v>SG</x:v>
      </x:c>
      <x:c r="I94" s="205" t="n">
        <x:f>'Support Source'!G34</x:f>
        <x:v>46220</x:v>
      </x:c>
      <x:c r="J94" s="204" t="str">
        <x:f>'Support Source'!H34</x:f>
        <x:v>SUP-035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22" hidden="0" customWidth="1"/>
    <x:col min="5" max="5" width="16" hidden="0" customWidth="1"/>
    <x:col min="6" max="6" width="12" hidden="0" customWidth="1"/>
    <x:col min="7" max="7" width="12" hidden="0" customWidth="1"/>
    <x:col min="8" max="8" width="14" hidden="0" customWidth="1"/>
    <x:col min="9" max="9" width="30" hidden="0" customWidth="1"/>
    <x:col min="10" max="10" width="30" hidden="0" customWidth="1"/>
    <x:col min="11" max="11" width="30" hidden="0" customWidth="1"/>
    <x:col min="12" max="12" width="19" hidden="0" customWidth="1"/>
    <x:col min="13" max="13" width="19" hidden="0" customWidth="1"/>
    <x:col min="14" max="14" width="19" hidden="0" customWidth="1"/>
    <x:col min="15" max="15" width="22" hidden="0" customWidth="1"/>
    <x:col min="16" max="16" width="22" hidden="0" customWidth="1"/>
    <x:col min="17" max="17" width="44" hidden="0" customWidth="1"/>
  </x:cols>
  <x:sheetData>
    <x:row r="1" ht="36" customHeight="1">
      <x:c r="A1" s="183" t="str">
        <x:v>PROJ-010 | MASTER CUSTOMER DATA</x:v>
      </x:c>
      <x:c r="B1" s="183"/>
      <x:c r="C1" s="183"/>
      <x:c r="D1" s="183"/>
      <x:c r="E1" s="183"/>
      <x:c r="F1" s="183"/>
      <x:c r="G1" s="183"/>
      <x:c r="H1" s="183"/>
      <x:c r="I1" s="183"/>
      <x:c r="J1" s="183"/>
      <x:c r="K1" s="183"/>
      <x:c r="L1" s="183"/>
      <x:c r="M1" s="183"/>
      <x:c r="N1" s="183"/>
      <x:c r="O1" s="183"/>
      <x:c r="P1" s="183"/>
      <x:c r="Q1" s="183"/>
    </x:row>
    <x:row r="2" ht="25" customHeight="1">
      <x:c r="A2" s="184" t="str">
        <x:v>Formula-driven selected values • source counts • conflict flags • merge status</x:v>
      </x:c>
      <x:c r="B2" s="184"/>
      <x:c r="C2" s="184"/>
      <x:c r="D2" s="184"/>
      <x:c r="E2" s="184"/>
      <x:c r="F2" s="184"/>
      <x:c r="G2" s="184"/>
      <x:c r="H2" s="184"/>
      <x:c r="I2" s="184"/>
      <x:c r="J2" s="184"/>
      <x:c r="K2" s="184"/>
      <x:c r="L2" s="184"/>
      <x:c r="M2" s="184"/>
      <x:c r="N2" s="184"/>
      <x:c r="O2" s="184"/>
      <x:c r="P2" s="184"/>
      <x:c r="Q2" s="184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  <x:c r="O3" s="185"/>
      <x:c r="P3" s="185"/>
      <x:c r="Q3" s="185"/>
    </x:row>
    <x:row r="4" ht="34" customHeight="1">
      <x:c r="A4" s="186" t="str">
        <x:v>Customer ID</x:v>
      </x:c>
      <x:c r="B4" s="186" t="str">
        <x:v>Selected Name</x:v>
      </x:c>
      <x:c r="C4" s="186" t="str">
        <x:v>Selected Email</x:v>
      </x:c>
      <x:c r="D4" s="186" t="str">
        <x:v>Selected Phone</x:v>
      </x:c>
      <x:c r="E4" s="186" t="str">
        <x:v>Selected Country</x:v>
      </x:c>
      <x:c r="F4" s="186" t="str">
        <x:v>CRM Count</x:v>
      </x:c>
      <x:c r="G4" s="186" t="str">
        <x:v>Web Count</x:v>
      </x:c>
      <x:c r="H4" s="186" t="str">
        <x:v>Support Count</x:v>
      </x:c>
      <x:c r="I4" s="186" t="str">
        <x:v>CRM Email</x:v>
      </x:c>
      <x:c r="J4" s="186" t="str">
        <x:v>Web Email</x:v>
      </x:c>
      <x:c r="K4" s="186" t="str">
        <x:v>Support Email</x:v>
      </x:c>
      <x:c r="L4" s="186" t="str">
        <x:v>Email Check</x:v>
      </x:c>
      <x:c r="M4" s="186" t="str">
        <x:v>Phone Check</x:v>
      </x:c>
      <x:c r="N4" s="186" t="str">
        <x:v>Country Check</x:v>
      </x:c>
      <x:c r="O4" s="186" t="str">
        <x:v>Source Key Check</x:v>
      </x:c>
      <x:c r="P4" s="186" t="str">
        <x:v>Merge Status</x:v>
      </x:c>
      <x:c r="Q4" s="186" t="str">
        <x:v>Recommended Action</x:v>
      </x:c>
    </x:row>
    <x:row r="5" ht="26" customHeight="1">
      <x:c r="A5" s="198" t="str">
        <x:v>CUST-001</x:v>
      </x:c>
      <x:c r="B5" s="198" t="str">
        <x:f>IF(IFERROR(INDEX('CRM Source'!$B$5:$B$34,MATCH(A5,'CRM Source'!$A$5:$A$34,0)),"")&lt;&gt;"",IFERROR(INDEX('CRM Source'!$B$5:$B$34,MATCH(A5,'CRM Source'!$A$5:$A$34,0)),""),IF(IFERROR(INDEX('Web Orders Source'!$B$5:$B$34,MATCH(A5,'Web Orders Source'!$A$5:$A$34,0)),"")&lt;&gt;"",IFERROR(INDEX('Web Orders Source'!$B$5:$B$34,MATCH(A5,'Web Orders Source'!$A$5:$A$34,0)),""),IFERROR(INDEX('Support Source'!$B$5:$B$34,MATCH(A5,'Support Source'!$A$5:$A$34,0)),"")))</x:f>
        <x:v>Demo Customer 01</x:v>
      </x:c>
      <x:c r="C5" s="198" t="str">
        <x:f>IF(IFERROR(INDEX('CRM Source'!$C$5:$C$34,MATCH(A5,'CRM Source'!$A$5:$A$34,0)),"")&lt;&gt;"",IFERROR(INDEX('CRM Source'!$C$5:$C$34,MATCH(A5,'CRM Source'!$A$5:$A$34,0)),""),IF(IFERROR(INDEX('Web Orders Source'!$C$5:$C$34,MATCH(A5,'Web Orders Source'!$A$5:$A$34,0)),"")&lt;&gt;"",IFERROR(INDEX('Web Orders Source'!$C$5:$C$34,MATCH(A5,'Web Orders Source'!$A$5:$A$34,0)),""),IFERROR(INDEX('Support Source'!$C$5:$C$34,MATCH(A5,'Support Source'!$A$5:$A$34,0)),"")))</x:f>
        <x:v>customer01@example.invalid</x:v>
      </x:c>
      <x:c r="D5" s="198" t="str">
        <x:f>IF(IFERROR(INDEX('CRM Source'!$D$5:$D$34,MATCH(A5,'CRM Source'!$A$5:$A$34,0)),"")&lt;&gt;"",IFERROR(INDEX('CRM Source'!$D$5:$D$34,MATCH(A5,'CRM Source'!$A$5:$A$34,0)),""),IF(IFERROR(INDEX('Web Orders Source'!$D$5:$D$34,MATCH(A5,'Web Orders Source'!$A$5:$A$34,0)),"")&lt;&gt;"",IFERROR(INDEX('Web Orders Source'!$D$5:$D$34,MATCH(A5,'Web Orders Source'!$A$5:$A$34,0)),""),IFERROR(INDEX('Support Source'!$D$5:$D$34,MATCH(A5,'Support Source'!$A$5:$A$34,0)),"")))</x:f>
        <x:v>+62-811-000-0001</x:v>
      </x:c>
      <x:c r="E5" s="198" t="str">
        <x:f>IF(IFERROR(INDEX('CRM Source'!$E$5:$E$34,MATCH(A5,'CRM Source'!$A$5:$A$34,0)),"")&lt;&gt;"",IFERROR(INDEX('CRM Source'!$E$5:$E$34,MATCH(A5,'CRM Source'!$A$5:$A$34,0)),""),IF(IFERROR(INDEX('Web Orders Source'!$E$5:$E$34,MATCH(A5,'Web Orders Source'!$A$5:$A$34,0)),"")&lt;&gt;"",IFERROR(INDEX('Web Orders Source'!$E$5:$E$34,MATCH(A5,'Web Orders Source'!$A$5:$A$34,0)),""),IFERROR(INDEX('Support Source'!$E$5:$E$34,MATCH(A5,'Support Source'!$A$5:$A$34,0)),"")))</x:f>
        <x:v>ID</x:v>
      </x:c>
      <x:c r="F5" s="198" t="n">
        <x:f>COUNTIF('CRM Source'!$A$5:$A$34,A5)</x:f>
        <x:v>1</x:v>
      </x:c>
      <x:c r="G5" s="198" t="n">
        <x:f>COUNTIF('Web Orders Source'!$A$5:$A$34,A5)</x:f>
        <x:v>0</x:v>
      </x:c>
      <x:c r="H5" s="198" t="n">
        <x:f>COUNTIF('Support Source'!$A$5:$A$34,A5)</x:f>
        <x:v>0</x:v>
      </x:c>
      <x:c r="I5" s="198" t="str">
        <x:f>IFERROR(INDEX('CRM Source'!$C$5:$C$34,MATCH(A5,'CRM Source'!$A$5:$A$34,0)),"")</x:f>
        <x:v>customer01@example.invalid</x:v>
      </x:c>
      <x:c r="J5" s="198" t="str">
        <x:f>IFERROR(INDEX('Web Orders Source'!$C$5:$C$34,MATCH(A5,'Web Orders Source'!$A$5:$A$34,0)),"")</x:f>
      </x:c>
      <x:c r="K5" s="198" t="str">
        <x:f>IFERROR(INDEX('Support Source'!$C$5:$C$34,MATCH(A5,'Support Source'!$A$5:$A$34,0)),"")</x:f>
      </x:c>
      <x:c r="L5" s="198" t="str">
        <x:f>IF(OR(AND(I5&lt;&gt;"",J5&lt;&gt;"",I5&lt;&gt;J5),AND(I5&lt;&gt;"",K5&lt;&gt;"",I5&lt;&gt;K5),AND(J5&lt;&gt;"",K5&lt;&gt;"",J5&lt;&gt;K5)),"Email Conflict","OK")</x:f>
        <x:v>OK</x:v>
      </x:c>
      <x:c r="M5" s="198" t="str">
        <x:f>IF(OR(AND(IFERROR(INDEX('CRM Source'!$D$5:$D$34,MATCH(A5,'CRM Source'!$A$5:$A$34,0)),"")&lt;&gt;"",IFERROR(INDEX('Web Orders Source'!$D$5:$D$34,MATCH(A5,'Web Orders Source'!$A$5:$A$34,0)),"")&lt;&gt;"",IFERROR(INDEX('CRM Source'!$D$5:$D$34,MATCH(A5,'CRM Source'!$A$5:$A$34,0)),"")&lt;&gt;IFERROR(INDEX('Web Orders Source'!$D$5:$D$34,MATCH(A5,'Web Orders Source'!$A$5:$A$34,0)),"")),AND(IFERROR(INDEX('CRM Source'!$D$5:$D$34,MATCH(A5,'CRM Source'!$A$5:$A$34,0)),"")&lt;&gt;"",IFERROR(INDEX('Support Source'!$D$5:$D$34,MATCH(A5,'Support Source'!$A$5:$A$34,0)),"")&lt;&gt;"",IFERROR(INDEX('CRM Source'!$D$5:$D$34,MATCH(A5,'CRM Source'!$A$5:$A$34,0)),"")&lt;&gt;IFERROR(INDEX('Support Source'!$D$5:$D$34,MATCH(A5,'Support Source'!$A$5:$A$34,0)),""))),"Phone Conflict","OK")</x:f>
        <x:v>OK</x:v>
      </x:c>
      <x:c r="N5" s="198" t="str">
        <x:f>IF(OR(E5="ID",E5="SG"),"OK","Invalid Country")</x:f>
        <x:v>OK</x:v>
      </x:c>
      <x:c r="O5" s="198" t="str">
        <x:f>IF(MAX(F5:H5)&gt;1,"Duplicate Source Key","OK")</x:f>
        <x:v>OK</x:v>
      </x:c>
      <x:c r="P5" s="198" t="str">
        <x:f>IF(OR(L5&lt;&gt;"OK",M5&lt;&gt;"OK",N5&lt;&gt;"OK",O5&lt;&gt;"OK"),IF(O5&lt;&gt;"OK","High Priority Review","Review"),"Ready")</x:f>
        <x:v>Ready</x:v>
      </x:c>
      <x:c r="Q5" s="198" t="str">
        <x:f>IF(P5="Ready","No action required","Compare source evidence and obtain written approval")</x:f>
        <x:v>No action required</x:v>
      </x:c>
    </x:row>
    <x:row r="6" ht="26" customHeight="1">
      <x:c r="A6" s="200" t="str">
        <x:v>CUST-002</x:v>
      </x:c>
      <x:c r="B6" s="200" t="str">
        <x:f>IF(IFERROR(INDEX('CRM Source'!$B$5:$B$34,MATCH(A6,'CRM Source'!$A$5:$A$34,0)),"")&lt;&gt;"",IFERROR(INDEX('CRM Source'!$B$5:$B$34,MATCH(A6,'CRM Source'!$A$5:$A$34,0)),""),IF(IFERROR(INDEX('Web Orders Source'!$B$5:$B$34,MATCH(A6,'Web Orders Source'!$A$5:$A$34,0)),"")&lt;&gt;"",IFERROR(INDEX('Web Orders Source'!$B$5:$B$34,MATCH(A6,'Web Orders Source'!$A$5:$A$34,0)),""),IFERROR(INDEX('Support Source'!$B$5:$B$34,MATCH(A6,'Support Source'!$A$5:$A$34,0)),"")))</x:f>
        <x:v>Demo Customer 02</x:v>
      </x:c>
      <x:c r="C6" s="200" t="str">
        <x:f>IF(IFERROR(INDEX('CRM Source'!$C$5:$C$34,MATCH(A6,'CRM Source'!$A$5:$A$34,0)),"")&lt;&gt;"",IFERROR(INDEX('CRM Source'!$C$5:$C$34,MATCH(A6,'CRM Source'!$A$5:$A$34,0)),""),IF(IFERROR(INDEX('Web Orders Source'!$C$5:$C$34,MATCH(A6,'Web Orders Source'!$A$5:$A$34,0)),"")&lt;&gt;"",IFERROR(INDEX('Web Orders Source'!$C$5:$C$34,MATCH(A6,'Web Orders Source'!$A$5:$A$34,0)),""),IFERROR(INDEX('Support Source'!$C$5:$C$34,MATCH(A6,'Support Source'!$A$5:$A$34,0)),"")))</x:f>
        <x:v>customer02@example.invalid</x:v>
      </x:c>
      <x:c r="D6" s="200" t="str">
        <x:f>IF(IFERROR(INDEX('CRM Source'!$D$5:$D$34,MATCH(A6,'CRM Source'!$A$5:$A$34,0)),"")&lt;&gt;"",IFERROR(INDEX('CRM Source'!$D$5:$D$34,MATCH(A6,'CRM Source'!$A$5:$A$34,0)),""),IF(IFERROR(INDEX('Web Orders Source'!$D$5:$D$34,MATCH(A6,'Web Orders Source'!$A$5:$A$34,0)),"")&lt;&gt;"",IFERROR(INDEX('Web Orders Source'!$D$5:$D$34,MATCH(A6,'Web Orders Source'!$A$5:$A$34,0)),""),IFERROR(INDEX('Support Source'!$D$5:$D$34,MATCH(A6,'Support Source'!$A$5:$A$34,0)),"")))</x:f>
        <x:v>+62-811-000-0002</x:v>
      </x:c>
      <x:c r="E6" s="200" t="str">
        <x:f>IF(IFERROR(INDEX('CRM Source'!$E$5:$E$34,MATCH(A6,'CRM Source'!$A$5:$A$34,0)),"")&lt;&gt;"",IFERROR(INDEX('CRM Source'!$E$5:$E$34,MATCH(A6,'CRM Source'!$A$5:$A$34,0)),""),IF(IFERROR(INDEX('Web Orders Source'!$E$5:$E$34,MATCH(A6,'Web Orders Source'!$A$5:$A$34,0)),"")&lt;&gt;"",IFERROR(INDEX('Web Orders Source'!$E$5:$E$34,MATCH(A6,'Web Orders Source'!$A$5:$A$34,0)),""),IFERROR(INDEX('Support Source'!$E$5:$E$34,MATCH(A6,'Support Source'!$A$5:$A$34,0)),"")))</x:f>
        <x:v>ID</x:v>
      </x:c>
      <x:c r="F6" s="200" t="n">
        <x:f>COUNTIF('CRM Source'!$A$5:$A$34,A6)</x:f>
        <x:v>1</x:v>
      </x:c>
      <x:c r="G6" s="200" t="n">
        <x:f>COUNTIF('Web Orders Source'!$A$5:$A$34,A6)</x:f>
        <x:v>0</x:v>
      </x:c>
      <x:c r="H6" s="200" t="n">
        <x:f>COUNTIF('Support Source'!$A$5:$A$34,A6)</x:f>
        <x:v>0</x:v>
      </x:c>
      <x:c r="I6" s="200" t="str">
        <x:f>IFERROR(INDEX('CRM Source'!$C$5:$C$34,MATCH(A6,'CRM Source'!$A$5:$A$34,0)),"")</x:f>
        <x:v>customer02@example.invalid</x:v>
      </x:c>
      <x:c r="J6" s="200" t="str">
        <x:f>IFERROR(INDEX('Web Orders Source'!$C$5:$C$34,MATCH(A6,'Web Orders Source'!$A$5:$A$34,0)),"")</x:f>
      </x:c>
      <x:c r="K6" s="200" t="str">
        <x:f>IFERROR(INDEX('Support Source'!$C$5:$C$34,MATCH(A6,'Support Source'!$A$5:$A$34,0)),"")</x:f>
      </x:c>
      <x:c r="L6" s="200" t="str">
        <x:f>IF(OR(AND(I6&lt;&gt;"",J6&lt;&gt;"",I6&lt;&gt;J6),AND(I6&lt;&gt;"",K6&lt;&gt;"",I6&lt;&gt;K6),AND(J6&lt;&gt;"",K6&lt;&gt;"",J6&lt;&gt;K6)),"Email Conflict","OK")</x:f>
        <x:v>OK</x:v>
      </x:c>
      <x:c r="M6" s="200" t="str">
        <x:f>IF(OR(AND(IFERROR(INDEX('CRM Source'!$D$5:$D$34,MATCH(A6,'CRM Source'!$A$5:$A$34,0)),"")&lt;&gt;"",IFERROR(INDEX('Web Orders Source'!$D$5:$D$34,MATCH(A6,'Web Orders Source'!$A$5:$A$34,0)),"")&lt;&gt;"",IFERROR(INDEX('CRM Source'!$D$5:$D$34,MATCH(A6,'CRM Source'!$A$5:$A$34,0)),"")&lt;&gt;IFERROR(INDEX('Web Orders Source'!$D$5:$D$34,MATCH(A6,'Web Orders Source'!$A$5:$A$34,0)),"")),AND(IFERROR(INDEX('CRM Source'!$D$5:$D$34,MATCH(A6,'CRM Source'!$A$5:$A$34,0)),"")&lt;&gt;"",IFERROR(INDEX('Support Source'!$D$5:$D$34,MATCH(A6,'Support Source'!$A$5:$A$34,0)),"")&lt;&gt;"",IFERROR(INDEX('CRM Source'!$D$5:$D$34,MATCH(A6,'CRM Source'!$A$5:$A$34,0)),"")&lt;&gt;IFERROR(INDEX('Support Source'!$D$5:$D$34,MATCH(A6,'Support Source'!$A$5:$A$34,0)),""))),"Phone Conflict","OK")</x:f>
        <x:v>OK</x:v>
      </x:c>
      <x:c r="N6" s="200" t="str">
        <x:f>IF(OR(E6="ID",E6="SG"),"OK","Invalid Country")</x:f>
        <x:v>OK</x:v>
      </x:c>
      <x:c r="O6" s="200" t="str">
        <x:f>IF(MAX(F6:H6)&gt;1,"Duplicate Source Key","OK")</x:f>
        <x:v>OK</x:v>
      </x:c>
      <x:c r="P6" s="200" t="str">
        <x:f>IF(OR(L6&lt;&gt;"OK",M6&lt;&gt;"OK",N6&lt;&gt;"OK",O6&lt;&gt;"OK"),IF(O6&lt;&gt;"OK","High Priority Review","Review"),"Ready")</x:f>
        <x:v>Ready</x:v>
      </x:c>
      <x:c r="Q6" s="200" t="str">
        <x:f>IF(P6="Ready","No action required","Compare source evidence and obtain written approval")</x:f>
        <x:v>No action required</x:v>
      </x:c>
    </x:row>
    <x:row r="7" ht="26" customHeight="1">
      <x:c r="A7" s="202" t="str">
        <x:v>CUST-003</x:v>
      </x:c>
      <x:c r="B7" s="202" t="str">
        <x:f>IF(IFERROR(INDEX('CRM Source'!$B$5:$B$34,MATCH(A7,'CRM Source'!$A$5:$A$34,0)),"")&lt;&gt;"",IFERROR(INDEX('CRM Source'!$B$5:$B$34,MATCH(A7,'CRM Source'!$A$5:$A$34,0)),""),IF(IFERROR(INDEX('Web Orders Source'!$B$5:$B$34,MATCH(A7,'Web Orders Source'!$A$5:$A$34,0)),"")&lt;&gt;"",IFERROR(INDEX('Web Orders Source'!$B$5:$B$34,MATCH(A7,'Web Orders Source'!$A$5:$A$34,0)),""),IFERROR(INDEX('Support Source'!$B$5:$B$34,MATCH(A7,'Support Source'!$A$5:$A$34,0)),"")))</x:f>
        <x:v>Demo Customer 03</x:v>
      </x:c>
      <x:c r="C7" s="202" t="str">
        <x:f>IF(IFERROR(INDEX('CRM Source'!$C$5:$C$34,MATCH(A7,'CRM Source'!$A$5:$A$34,0)),"")&lt;&gt;"",IFERROR(INDEX('CRM Source'!$C$5:$C$34,MATCH(A7,'CRM Source'!$A$5:$A$34,0)),""),IF(IFERROR(INDEX('Web Orders Source'!$C$5:$C$34,MATCH(A7,'Web Orders Source'!$A$5:$A$34,0)),"")&lt;&gt;"",IFERROR(INDEX('Web Orders Source'!$C$5:$C$34,MATCH(A7,'Web Orders Source'!$A$5:$A$34,0)),""),IFERROR(INDEX('Support Source'!$C$5:$C$34,MATCH(A7,'Support Source'!$A$5:$A$34,0)),"")))</x:f>
        <x:v>customer03@example.invalid</x:v>
      </x:c>
      <x:c r="D7" s="202" t="str">
        <x:f>IF(IFERROR(INDEX('CRM Source'!$D$5:$D$34,MATCH(A7,'CRM Source'!$A$5:$A$34,0)),"")&lt;&gt;"",IFERROR(INDEX('CRM Source'!$D$5:$D$34,MATCH(A7,'CRM Source'!$A$5:$A$34,0)),""),IF(IFERROR(INDEX('Web Orders Source'!$D$5:$D$34,MATCH(A7,'Web Orders Source'!$A$5:$A$34,0)),"")&lt;&gt;"",IFERROR(INDEX('Web Orders Source'!$D$5:$D$34,MATCH(A7,'Web Orders Source'!$A$5:$A$34,0)),""),IFERROR(INDEX('Support Source'!$D$5:$D$34,MATCH(A7,'Support Source'!$A$5:$A$34,0)),"")))</x:f>
        <x:v>+62-811-000-0003</x:v>
      </x:c>
      <x:c r="E7" s="202" t="str">
        <x:f>IF(IFERROR(INDEX('CRM Source'!$E$5:$E$34,MATCH(A7,'CRM Source'!$A$5:$A$34,0)),"")&lt;&gt;"",IFERROR(INDEX('CRM Source'!$E$5:$E$34,MATCH(A7,'CRM Source'!$A$5:$A$34,0)),""),IF(IFERROR(INDEX('Web Orders Source'!$E$5:$E$34,MATCH(A7,'Web Orders Source'!$A$5:$A$34,0)),"")&lt;&gt;"",IFERROR(INDEX('Web Orders Source'!$E$5:$E$34,MATCH(A7,'Web Orders Source'!$A$5:$A$34,0)),""),IFERROR(INDEX('Support Source'!$E$5:$E$34,MATCH(A7,'Support Source'!$A$5:$A$34,0)),"")))</x:f>
        <x:v>ID</x:v>
      </x:c>
      <x:c r="F7" s="202" t="n">
        <x:f>COUNTIF('CRM Source'!$A$5:$A$34,A7)</x:f>
        <x:v>1</x:v>
      </x:c>
      <x:c r="G7" s="202" t="n">
        <x:f>COUNTIF('Web Orders Source'!$A$5:$A$34,A7)</x:f>
        <x:v>0</x:v>
      </x:c>
      <x:c r="H7" s="202" t="n">
        <x:f>COUNTIF('Support Source'!$A$5:$A$34,A7)</x:f>
        <x:v>0</x:v>
      </x:c>
      <x:c r="I7" s="202" t="str">
        <x:f>IFERROR(INDEX('CRM Source'!$C$5:$C$34,MATCH(A7,'CRM Source'!$A$5:$A$34,0)),"")</x:f>
        <x:v>customer03@example.invalid</x:v>
      </x:c>
      <x:c r="J7" s="202" t="str">
        <x:f>IFERROR(INDEX('Web Orders Source'!$C$5:$C$34,MATCH(A7,'Web Orders Source'!$A$5:$A$34,0)),"")</x:f>
      </x:c>
      <x:c r="K7" s="202" t="str">
        <x:f>IFERROR(INDEX('Support Source'!$C$5:$C$34,MATCH(A7,'Support Source'!$A$5:$A$34,0)),"")</x:f>
      </x:c>
      <x:c r="L7" s="202" t="str">
        <x:f>IF(OR(AND(I7&lt;&gt;"",J7&lt;&gt;"",I7&lt;&gt;J7),AND(I7&lt;&gt;"",K7&lt;&gt;"",I7&lt;&gt;K7),AND(J7&lt;&gt;"",K7&lt;&gt;"",J7&lt;&gt;K7)),"Email Conflict","OK")</x:f>
        <x:v>OK</x:v>
      </x:c>
      <x:c r="M7" s="202" t="str">
        <x:f>IF(OR(AND(IFERROR(INDEX('CRM Source'!$D$5:$D$34,MATCH(A7,'CRM Source'!$A$5:$A$34,0)),"")&lt;&gt;"",IFERROR(INDEX('Web Orders Source'!$D$5:$D$34,MATCH(A7,'Web Orders Source'!$A$5:$A$34,0)),"")&lt;&gt;"",IFERROR(INDEX('CRM Source'!$D$5:$D$34,MATCH(A7,'CRM Source'!$A$5:$A$34,0)),"")&lt;&gt;IFERROR(INDEX('Web Orders Source'!$D$5:$D$34,MATCH(A7,'Web Orders Source'!$A$5:$A$34,0)),"")),AND(IFERROR(INDEX('CRM Source'!$D$5:$D$34,MATCH(A7,'CRM Source'!$A$5:$A$34,0)),"")&lt;&gt;"",IFERROR(INDEX('Support Source'!$D$5:$D$34,MATCH(A7,'Support Source'!$A$5:$A$34,0)),"")&lt;&gt;"",IFERROR(INDEX('CRM Source'!$D$5:$D$34,MATCH(A7,'CRM Source'!$A$5:$A$34,0)),"")&lt;&gt;IFERROR(INDEX('Support Source'!$D$5:$D$34,MATCH(A7,'Support Source'!$A$5:$A$34,0)),""))),"Phone Conflict","OK")</x:f>
        <x:v>OK</x:v>
      </x:c>
      <x:c r="N7" s="202" t="str">
        <x:f>IF(OR(E7="ID",E7="SG"),"OK","Invalid Country")</x:f>
        <x:v>OK</x:v>
      </x:c>
      <x:c r="O7" s="202" t="str">
        <x:f>IF(MAX(F7:H7)&gt;1,"Duplicate Source Key","OK")</x:f>
        <x:v>OK</x:v>
      </x:c>
      <x:c r="P7" s="202" t="str">
        <x:f>IF(OR(L7&lt;&gt;"OK",M7&lt;&gt;"OK",N7&lt;&gt;"OK",O7&lt;&gt;"OK"),IF(O7&lt;&gt;"OK","High Priority Review","Review"),"Ready")</x:f>
        <x:v>Ready</x:v>
      </x:c>
      <x:c r="Q7" s="202" t="str">
        <x:f>IF(P7="Ready","No action required","Compare source evidence and obtain written approval")</x:f>
        <x:v>No action required</x:v>
      </x:c>
    </x:row>
    <x:row r="8" ht="26" customHeight="1">
      <x:c r="A8" s="200" t="str">
        <x:v>CUST-004</x:v>
      </x:c>
      <x:c r="B8" s="200" t="str">
        <x:f>IF(IFERROR(INDEX('CRM Source'!$B$5:$B$34,MATCH(A8,'CRM Source'!$A$5:$A$34,0)),"")&lt;&gt;"",IFERROR(INDEX('CRM Source'!$B$5:$B$34,MATCH(A8,'CRM Source'!$A$5:$A$34,0)),""),IF(IFERROR(INDEX('Web Orders Source'!$B$5:$B$34,MATCH(A8,'Web Orders Source'!$A$5:$A$34,0)),"")&lt;&gt;"",IFERROR(INDEX('Web Orders Source'!$B$5:$B$34,MATCH(A8,'Web Orders Source'!$A$5:$A$34,0)),""),IFERROR(INDEX('Support Source'!$B$5:$B$34,MATCH(A8,'Support Source'!$A$5:$A$34,0)),"")))</x:f>
        <x:v>Demo Customer 04</x:v>
      </x:c>
      <x:c r="C8" s="200" t="str">
        <x:f>IF(IFERROR(INDEX('CRM Source'!$C$5:$C$34,MATCH(A8,'CRM Source'!$A$5:$A$34,0)),"")&lt;&gt;"",IFERROR(INDEX('CRM Source'!$C$5:$C$34,MATCH(A8,'CRM Source'!$A$5:$A$34,0)),""),IF(IFERROR(INDEX('Web Orders Source'!$C$5:$C$34,MATCH(A8,'Web Orders Source'!$A$5:$A$34,0)),"")&lt;&gt;"",IFERROR(INDEX('Web Orders Source'!$C$5:$C$34,MATCH(A8,'Web Orders Source'!$A$5:$A$34,0)),""),IFERROR(INDEX('Support Source'!$C$5:$C$34,MATCH(A8,'Support Source'!$A$5:$A$34,0)),"")))</x:f>
        <x:v>customer04@example.invalid</x:v>
      </x:c>
      <x:c r="D8" s="200" t="str">
        <x:f>IF(IFERROR(INDEX('CRM Source'!$D$5:$D$34,MATCH(A8,'CRM Source'!$A$5:$A$34,0)),"")&lt;&gt;"",IFERROR(INDEX('CRM Source'!$D$5:$D$34,MATCH(A8,'CRM Source'!$A$5:$A$34,0)),""),IF(IFERROR(INDEX('Web Orders Source'!$D$5:$D$34,MATCH(A8,'Web Orders Source'!$A$5:$A$34,0)),"")&lt;&gt;"",IFERROR(INDEX('Web Orders Source'!$D$5:$D$34,MATCH(A8,'Web Orders Source'!$A$5:$A$34,0)),""),IFERROR(INDEX('Support Source'!$D$5:$D$34,MATCH(A8,'Support Source'!$A$5:$A$34,0)),"")))</x:f>
        <x:v>+62-811-000-0004</x:v>
      </x:c>
      <x:c r="E8" s="200" t="str">
        <x:f>IF(IFERROR(INDEX('CRM Source'!$E$5:$E$34,MATCH(A8,'CRM Source'!$A$5:$A$34,0)),"")&lt;&gt;"",IFERROR(INDEX('CRM Source'!$E$5:$E$34,MATCH(A8,'CRM Source'!$A$5:$A$34,0)),""),IF(IFERROR(INDEX('Web Orders Source'!$E$5:$E$34,MATCH(A8,'Web Orders Source'!$A$5:$A$34,0)),"")&lt;&gt;"",IFERROR(INDEX('Web Orders Source'!$E$5:$E$34,MATCH(A8,'Web Orders Source'!$A$5:$A$34,0)),""),IFERROR(INDEX('Support Source'!$E$5:$E$34,MATCH(A8,'Support Source'!$A$5:$A$34,0)),"")))</x:f>
        <x:v>ID</x:v>
      </x:c>
      <x:c r="F8" s="200" t="n">
        <x:f>COUNTIF('CRM Source'!$A$5:$A$34,A8)</x:f>
        <x:v>1</x:v>
      </x:c>
      <x:c r="G8" s="200" t="n">
        <x:f>COUNTIF('Web Orders Source'!$A$5:$A$34,A8)</x:f>
        <x:v>0</x:v>
      </x:c>
      <x:c r="H8" s="200" t="n">
        <x:f>COUNTIF('Support Source'!$A$5:$A$34,A8)</x:f>
        <x:v>0</x:v>
      </x:c>
      <x:c r="I8" s="200" t="str">
        <x:f>IFERROR(INDEX('CRM Source'!$C$5:$C$34,MATCH(A8,'CRM Source'!$A$5:$A$34,0)),"")</x:f>
        <x:v>customer04@example.invalid</x:v>
      </x:c>
      <x:c r="J8" s="200" t="str">
        <x:f>IFERROR(INDEX('Web Orders Source'!$C$5:$C$34,MATCH(A8,'Web Orders Source'!$A$5:$A$34,0)),"")</x:f>
      </x:c>
      <x:c r="K8" s="200" t="str">
        <x:f>IFERROR(INDEX('Support Source'!$C$5:$C$34,MATCH(A8,'Support Source'!$A$5:$A$34,0)),"")</x:f>
      </x:c>
      <x:c r="L8" s="200" t="str">
        <x:f>IF(OR(AND(I8&lt;&gt;"",J8&lt;&gt;"",I8&lt;&gt;J8),AND(I8&lt;&gt;"",K8&lt;&gt;"",I8&lt;&gt;K8),AND(J8&lt;&gt;"",K8&lt;&gt;"",J8&lt;&gt;K8)),"Email Conflict","OK")</x:f>
        <x:v>OK</x:v>
      </x:c>
      <x:c r="M8" s="200" t="str">
        <x:f>IF(OR(AND(IFERROR(INDEX('CRM Source'!$D$5:$D$34,MATCH(A8,'CRM Source'!$A$5:$A$34,0)),"")&lt;&gt;"",IFERROR(INDEX('Web Orders Source'!$D$5:$D$34,MATCH(A8,'Web Orders Source'!$A$5:$A$34,0)),"")&lt;&gt;"",IFERROR(INDEX('CRM Source'!$D$5:$D$34,MATCH(A8,'CRM Source'!$A$5:$A$34,0)),"")&lt;&gt;IFERROR(INDEX('Web Orders Source'!$D$5:$D$34,MATCH(A8,'Web Orders Source'!$A$5:$A$34,0)),"")),AND(IFERROR(INDEX('CRM Source'!$D$5:$D$34,MATCH(A8,'CRM Source'!$A$5:$A$34,0)),"")&lt;&gt;"",IFERROR(INDEX('Support Source'!$D$5:$D$34,MATCH(A8,'Support Source'!$A$5:$A$34,0)),"")&lt;&gt;"",IFERROR(INDEX('CRM Source'!$D$5:$D$34,MATCH(A8,'CRM Source'!$A$5:$A$34,0)),"")&lt;&gt;IFERROR(INDEX('Support Source'!$D$5:$D$34,MATCH(A8,'Support Source'!$A$5:$A$34,0)),""))),"Phone Conflict","OK")</x:f>
        <x:v>OK</x:v>
      </x:c>
      <x:c r="N8" s="200" t="str">
        <x:f>IF(OR(E8="ID",E8="SG"),"OK","Invalid Country")</x:f>
        <x:v>OK</x:v>
      </x:c>
      <x:c r="O8" s="200" t="str">
        <x:f>IF(MAX(F8:H8)&gt;1,"Duplicate Source Key","OK")</x:f>
        <x:v>OK</x:v>
      </x:c>
      <x:c r="P8" s="200" t="str">
        <x:f>IF(OR(L8&lt;&gt;"OK",M8&lt;&gt;"OK",N8&lt;&gt;"OK",O8&lt;&gt;"OK"),IF(O8&lt;&gt;"OK","High Priority Review","Review"),"Ready")</x:f>
        <x:v>Ready</x:v>
      </x:c>
      <x:c r="Q8" s="200" t="str">
        <x:f>IF(P8="Ready","No action required","Compare source evidence and obtain written approval")</x:f>
        <x:v>No action required</x:v>
      </x:c>
    </x:row>
    <x:row r="9" ht="26" customHeight="1">
      <x:c r="A9" s="202" t="str">
        <x:v>CUST-005</x:v>
      </x:c>
      <x:c r="B9" s="202" t="str">
        <x:f>IF(IFERROR(INDEX('CRM Source'!$B$5:$B$34,MATCH(A9,'CRM Source'!$A$5:$A$34,0)),"")&lt;&gt;"",IFERROR(INDEX('CRM Source'!$B$5:$B$34,MATCH(A9,'CRM Source'!$A$5:$A$34,0)),""),IF(IFERROR(INDEX('Web Orders Source'!$B$5:$B$34,MATCH(A9,'Web Orders Source'!$A$5:$A$34,0)),"")&lt;&gt;"",IFERROR(INDEX('Web Orders Source'!$B$5:$B$34,MATCH(A9,'Web Orders Source'!$A$5:$A$34,0)),""),IFERROR(INDEX('Support Source'!$B$5:$B$34,MATCH(A9,'Support Source'!$A$5:$A$34,0)),"")))</x:f>
        <x:v>Demo Customer 05</x:v>
      </x:c>
      <x:c r="C9" s="202" t="str">
        <x:f>IF(IFERROR(INDEX('CRM Source'!$C$5:$C$34,MATCH(A9,'CRM Source'!$A$5:$A$34,0)),"")&lt;&gt;"",IFERROR(INDEX('CRM Source'!$C$5:$C$34,MATCH(A9,'CRM Source'!$A$5:$A$34,0)),""),IF(IFERROR(INDEX('Web Orders Source'!$C$5:$C$34,MATCH(A9,'Web Orders Source'!$A$5:$A$34,0)),"")&lt;&gt;"",IFERROR(INDEX('Web Orders Source'!$C$5:$C$34,MATCH(A9,'Web Orders Source'!$A$5:$A$34,0)),""),IFERROR(INDEX('Support Source'!$C$5:$C$34,MATCH(A9,'Support Source'!$A$5:$A$34,0)),"")))</x:f>
        <x:v>customer05@example.invalid</x:v>
      </x:c>
      <x:c r="D9" s="202" t="str">
        <x:f>IF(IFERROR(INDEX('CRM Source'!$D$5:$D$34,MATCH(A9,'CRM Source'!$A$5:$A$34,0)),"")&lt;&gt;"",IFERROR(INDEX('CRM Source'!$D$5:$D$34,MATCH(A9,'CRM Source'!$A$5:$A$34,0)),""),IF(IFERROR(INDEX('Web Orders Source'!$D$5:$D$34,MATCH(A9,'Web Orders Source'!$A$5:$A$34,0)),"")&lt;&gt;"",IFERROR(INDEX('Web Orders Source'!$D$5:$D$34,MATCH(A9,'Web Orders Source'!$A$5:$A$34,0)),""),IFERROR(INDEX('Support Source'!$D$5:$D$34,MATCH(A9,'Support Source'!$A$5:$A$34,0)),"")))</x:f>
        <x:v>+62-811-000-0005</x:v>
      </x:c>
      <x:c r="E9" s="202" t="str">
        <x:f>IF(IFERROR(INDEX('CRM Source'!$E$5:$E$34,MATCH(A9,'CRM Source'!$A$5:$A$34,0)),"")&lt;&gt;"",IFERROR(INDEX('CRM Source'!$E$5:$E$34,MATCH(A9,'CRM Source'!$A$5:$A$34,0)),""),IF(IFERROR(INDEX('Web Orders Source'!$E$5:$E$34,MATCH(A9,'Web Orders Source'!$A$5:$A$34,0)),"")&lt;&gt;"",IFERROR(INDEX('Web Orders Source'!$E$5:$E$34,MATCH(A9,'Web Orders Source'!$A$5:$A$34,0)),""),IFERROR(INDEX('Support Source'!$E$5:$E$34,MATCH(A9,'Support Source'!$A$5:$A$34,0)),"")))</x:f>
        <x:v>SG</x:v>
      </x:c>
      <x:c r="F9" s="202" t="n">
        <x:f>COUNTIF('CRM Source'!$A$5:$A$34,A9)</x:f>
        <x:v>1</x:v>
      </x:c>
      <x:c r="G9" s="202" t="n">
        <x:f>COUNTIF('Web Orders Source'!$A$5:$A$34,A9)</x:f>
        <x:v>0</x:v>
      </x:c>
      <x:c r="H9" s="202" t="n">
        <x:f>COUNTIF('Support Source'!$A$5:$A$34,A9)</x:f>
        <x:v>0</x:v>
      </x:c>
      <x:c r="I9" s="202" t="str">
        <x:f>IFERROR(INDEX('CRM Source'!$C$5:$C$34,MATCH(A9,'CRM Source'!$A$5:$A$34,0)),"")</x:f>
        <x:v>customer05@example.invalid</x:v>
      </x:c>
      <x:c r="J9" s="202" t="str">
        <x:f>IFERROR(INDEX('Web Orders Source'!$C$5:$C$34,MATCH(A9,'Web Orders Source'!$A$5:$A$34,0)),"")</x:f>
      </x:c>
      <x:c r="K9" s="202" t="str">
        <x:f>IFERROR(INDEX('Support Source'!$C$5:$C$34,MATCH(A9,'Support Source'!$A$5:$A$34,0)),"")</x:f>
      </x:c>
      <x:c r="L9" s="202" t="str">
        <x:f>IF(OR(AND(I9&lt;&gt;"",J9&lt;&gt;"",I9&lt;&gt;J9),AND(I9&lt;&gt;"",K9&lt;&gt;"",I9&lt;&gt;K9),AND(J9&lt;&gt;"",K9&lt;&gt;"",J9&lt;&gt;K9)),"Email Conflict","OK")</x:f>
        <x:v>OK</x:v>
      </x:c>
      <x:c r="M9" s="202" t="str">
        <x:f>IF(OR(AND(IFERROR(INDEX('CRM Source'!$D$5:$D$34,MATCH(A9,'CRM Source'!$A$5:$A$34,0)),"")&lt;&gt;"",IFERROR(INDEX('Web Orders Source'!$D$5:$D$34,MATCH(A9,'Web Orders Source'!$A$5:$A$34,0)),"")&lt;&gt;"",IFERROR(INDEX('CRM Source'!$D$5:$D$34,MATCH(A9,'CRM Source'!$A$5:$A$34,0)),"")&lt;&gt;IFERROR(INDEX('Web Orders Source'!$D$5:$D$34,MATCH(A9,'Web Orders Source'!$A$5:$A$34,0)),"")),AND(IFERROR(INDEX('CRM Source'!$D$5:$D$34,MATCH(A9,'CRM Source'!$A$5:$A$34,0)),"")&lt;&gt;"",IFERROR(INDEX('Support Source'!$D$5:$D$34,MATCH(A9,'Support Source'!$A$5:$A$34,0)),"")&lt;&gt;"",IFERROR(INDEX('CRM Source'!$D$5:$D$34,MATCH(A9,'CRM Source'!$A$5:$A$34,0)),"")&lt;&gt;IFERROR(INDEX('Support Source'!$D$5:$D$34,MATCH(A9,'Support Source'!$A$5:$A$34,0)),""))),"Phone Conflict","OK")</x:f>
        <x:v>OK</x:v>
      </x:c>
      <x:c r="N9" s="202" t="str">
        <x:f>IF(OR(E9="ID",E9="SG"),"OK","Invalid Country")</x:f>
        <x:v>OK</x:v>
      </x:c>
      <x:c r="O9" s="202" t="str">
        <x:f>IF(MAX(F9:H9)&gt;1,"Duplicate Source Key","OK")</x:f>
        <x:v>OK</x:v>
      </x:c>
      <x:c r="P9" s="202" t="str">
        <x:f>IF(OR(L9&lt;&gt;"OK",M9&lt;&gt;"OK",N9&lt;&gt;"OK",O9&lt;&gt;"OK"),IF(O9&lt;&gt;"OK","High Priority Review","Review"),"Ready")</x:f>
        <x:v>Ready</x:v>
      </x:c>
      <x:c r="Q9" s="202" t="str">
        <x:f>IF(P9="Ready","No action required","Compare source evidence and obtain written approval")</x:f>
        <x:v>No action required</x:v>
      </x:c>
    </x:row>
    <x:row r="10" ht="26" customHeight="1">
      <x:c r="A10" s="200" t="str">
        <x:v>CUST-006</x:v>
      </x:c>
      <x:c r="B10" s="200" t="str">
        <x:f>IF(IFERROR(INDEX('CRM Source'!$B$5:$B$34,MATCH(A10,'CRM Source'!$A$5:$A$34,0)),"")&lt;&gt;"",IFERROR(INDEX('CRM Source'!$B$5:$B$34,MATCH(A10,'CRM Source'!$A$5:$A$34,0)),""),IF(IFERROR(INDEX('Web Orders Source'!$B$5:$B$34,MATCH(A10,'Web Orders Source'!$A$5:$A$34,0)),"")&lt;&gt;"",IFERROR(INDEX('Web Orders Source'!$B$5:$B$34,MATCH(A10,'Web Orders Source'!$A$5:$A$34,0)),""),IFERROR(INDEX('Support Source'!$B$5:$B$34,MATCH(A10,'Support Source'!$A$5:$A$34,0)),"")))</x:f>
        <x:v>Demo Customer 06</x:v>
      </x:c>
      <x:c r="C10" s="200" t="str">
        <x:f>IF(IFERROR(INDEX('CRM Source'!$C$5:$C$34,MATCH(A10,'CRM Source'!$A$5:$A$34,0)),"")&lt;&gt;"",IFERROR(INDEX('CRM Source'!$C$5:$C$34,MATCH(A10,'CRM Source'!$A$5:$A$34,0)),""),IF(IFERROR(INDEX('Web Orders Source'!$C$5:$C$34,MATCH(A10,'Web Orders Source'!$A$5:$A$34,0)),"")&lt;&gt;"",IFERROR(INDEX('Web Orders Source'!$C$5:$C$34,MATCH(A10,'Web Orders Source'!$A$5:$A$34,0)),""),IFERROR(INDEX('Support Source'!$C$5:$C$34,MATCH(A10,'Support Source'!$A$5:$A$34,0)),"")))</x:f>
        <x:v>customer06@example.invalid</x:v>
      </x:c>
      <x:c r="D10" s="200" t="str">
        <x:f>IF(IFERROR(INDEX('CRM Source'!$D$5:$D$34,MATCH(A10,'CRM Source'!$A$5:$A$34,0)),"")&lt;&gt;"",IFERROR(INDEX('CRM Source'!$D$5:$D$34,MATCH(A10,'CRM Source'!$A$5:$A$34,0)),""),IF(IFERROR(INDEX('Web Orders Source'!$D$5:$D$34,MATCH(A10,'Web Orders Source'!$A$5:$A$34,0)),"")&lt;&gt;"",IFERROR(INDEX('Web Orders Source'!$D$5:$D$34,MATCH(A10,'Web Orders Source'!$A$5:$A$34,0)),""),IFERROR(INDEX('Support Source'!$D$5:$D$34,MATCH(A10,'Support Source'!$A$5:$A$34,0)),"")))</x:f>
        <x:v>+62-811-000-0006</x:v>
      </x:c>
      <x:c r="E10" s="200" t="str">
        <x:f>IF(IFERROR(INDEX('CRM Source'!$E$5:$E$34,MATCH(A10,'CRM Source'!$A$5:$A$34,0)),"")&lt;&gt;"",IFERROR(INDEX('CRM Source'!$E$5:$E$34,MATCH(A10,'CRM Source'!$A$5:$A$34,0)),""),IF(IFERROR(INDEX('Web Orders Source'!$E$5:$E$34,MATCH(A10,'Web Orders Source'!$A$5:$A$34,0)),"")&lt;&gt;"",IFERROR(INDEX('Web Orders Source'!$E$5:$E$34,MATCH(A10,'Web Orders Source'!$A$5:$A$34,0)),""),IFERROR(INDEX('Support Source'!$E$5:$E$34,MATCH(A10,'Support Source'!$A$5:$A$34,0)),"")))</x:f>
        <x:v>ID</x:v>
      </x:c>
      <x:c r="F10" s="200" t="n">
        <x:f>COUNTIF('CRM Source'!$A$5:$A$34,A10)</x:f>
        <x:v>1</x:v>
      </x:c>
      <x:c r="G10" s="200" t="n">
        <x:f>COUNTIF('Web Orders Source'!$A$5:$A$34,A10)</x:f>
        <x:v>0</x:v>
      </x:c>
      <x:c r="H10" s="200" t="n">
        <x:f>COUNTIF('Support Source'!$A$5:$A$34,A10)</x:f>
        <x:v>1</x:v>
      </x:c>
      <x:c r="I10" s="200" t="str">
        <x:f>IFERROR(INDEX('CRM Source'!$C$5:$C$34,MATCH(A10,'CRM Source'!$A$5:$A$34,0)),"")</x:f>
        <x:v>customer06@example.invalid</x:v>
      </x:c>
      <x:c r="J10" s="200" t="str">
        <x:f>IFERROR(INDEX('Web Orders Source'!$C$5:$C$34,MATCH(A10,'Web Orders Source'!$A$5:$A$34,0)),"")</x:f>
      </x:c>
      <x:c r="K10" s="200" t="str">
        <x:f>IFERROR(INDEX('Support Source'!$C$5:$C$34,MATCH(A10,'Support Source'!$A$5:$A$34,0)),"")</x:f>
        <x:v>customer06@example.invalid</x:v>
      </x:c>
      <x:c r="L10" s="200" t="str">
        <x:f>IF(OR(AND(I10&lt;&gt;"",J10&lt;&gt;"",I10&lt;&gt;J10),AND(I10&lt;&gt;"",K10&lt;&gt;"",I10&lt;&gt;K10),AND(J10&lt;&gt;"",K10&lt;&gt;"",J10&lt;&gt;K10)),"Email Conflict","OK")</x:f>
        <x:v>OK</x:v>
      </x:c>
      <x:c r="M10" s="200" t="str">
        <x:f>IF(OR(AND(IFERROR(INDEX('CRM Source'!$D$5:$D$34,MATCH(A10,'CRM Source'!$A$5:$A$34,0)),"")&lt;&gt;"",IFERROR(INDEX('Web Orders Source'!$D$5:$D$34,MATCH(A10,'Web Orders Source'!$A$5:$A$34,0)),"")&lt;&gt;"",IFERROR(INDEX('CRM Source'!$D$5:$D$34,MATCH(A10,'CRM Source'!$A$5:$A$34,0)),"")&lt;&gt;IFERROR(INDEX('Web Orders Source'!$D$5:$D$34,MATCH(A10,'Web Orders Source'!$A$5:$A$34,0)),"")),AND(IFERROR(INDEX('CRM Source'!$D$5:$D$34,MATCH(A10,'CRM Source'!$A$5:$A$34,0)),"")&lt;&gt;"",IFERROR(INDEX('Support Source'!$D$5:$D$34,MATCH(A10,'Support Source'!$A$5:$A$34,0)),"")&lt;&gt;"",IFERROR(INDEX('CRM Source'!$D$5:$D$34,MATCH(A10,'CRM Source'!$A$5:$A$34,0)),"")&lt;&gt;IFERROR(INDEX('Support Source'!$D$5:$D$34,MATCH(A10,'Support Source'!$A$5:$A$34,0)),""))),"Phone Conflict","OK")</x:f>
        <x:v>OK</x:v>
      </x:c>
      <x:c r="N10" s="200" t="str">
        <x:f>IF(OR(E10="ID",E10="SG"),"OK","Invalid Country")</x:f>
        <x:v>OK</x:v>
      </x:c>
      <x:c r="O10" s="200" t="str">
        <x:f>IF(MAX(F10:H10)&gt;1,"Duplicate Source Key","OK")</x:f>
        <x:v>OK</x:v>
      </x:c>
      <x:c r="P10" s="200" t="str">
        <x:f>IF(OR(L10&lt;&gt;"OK",M10&lt;&gt;"OK",N10&lt;&gt;"OK",O10&lt;&gt;"OK"),IF(O10&lt;&gt;"OK","High Priority Review","Review"),"Ready")</x:f>
        <x:v>Ready</x:v>
      </x:c>
      <x:c r="Q10" s="200" t="str">
        <x:f>IF(P10="Ready","No action required","Compare source evidence and obtain written approval")</x:f>
        <x:v>No action required</x:v>
      </x:c>
    </x:row>
    <x:row r="11" ht="26" customHeight="1">
      <x:c r="A11" s="202" t="str">
        <x:v>CUST-007</x:v>
      </x:c>
      <x:c r="B11" s="202" t="str">
        <x:f>IF(IFERROR(INDEX('CRM Source'!$B$5:$B$34,MATCH(A11,'CRM Source'!$A$5:$A$34,0)),"")&lt;&gt;"",IFERROR(INDEX('CRM Source'!$B$5:$B$34,MATCH(A11,'CRM Source'!$A$5:$A$34,0)),""),IF(IFERROR(INDEX('Web Orders Source'!$B$5:$B$34,MATCH(A11,'Web Orders Source'!$A$5:$A$34,0)),"")&lt;&gt;"",IFERROR(INDEX('Web Orders Source'!$B$5:$B$34,MATCH(A11,'Web Orders Source'!$A$5:$A$34,0)),""),IFERROR(INDEX('Support Source'!$B$5:$B$34,MATCH(A11,'Support Source'!$A$5:$A$34,0)),"")))</x:f>
        <x:v>Demo Customer 07</x:v>
      </x:c>
      <x:c r="C11" s="202" t="str">
        <x:f>IF(IFERROR(INDEX('CRM Source'!$C$5:$C$34,MATCH(A11,'CRM Source'!$A$5:$A$34,0)),"")&lt;&gt;"",IFERROR(INDEX('CRM Source'!$C$5:$C$34,MATCH(A11,'CRM Source'!$A$5:$A$34,0)),""),IF(IFERROR(INDEX('Web Orders Source'!$C$5:$C$34,MATCH(A11,'Web Orders Source'!$A$5:$A$34,0)),"")&lt;&gt;"",IFERROR(INDEX('Web Orders Source'!$C$5:$C$34,MATCH(A11,'Web Orders Source'!$A$5:$A$34,0)),""),IFERROR(INDEX('Support Source'!$C$5:$C$34,MATCH(A11,'Support Source'!$A$5:$A$34,0)),"")))</x:f>
        <x:v>customer07@example.invalid</x:v>
      </x:c>
      <x:c r="D11" s="202" t="str">
        <x:f>IF(IFERROR(INDEX('CRM Source'!$D$5:$D$34,MATCH(A11,'CRM Source'!$A$5:$A$34,0)),"")&lt;&gt;"",IFERROR(INDEX('CRM Source'!$D$5:$D$34,MATCH(A11,'CRM Source'!$A$5:$A$34,0)),""),IF(IFERROR(INDEX('Web Orders Source'!$D$5:$D$34,MATCH(A11,'Web Orders Source'!$A$5:$A$34,0)),"")&lt;&gt;"",IFERROR(INDEX('Web Orders Source'!$D$5:$D$34,MATCH(A11,'Web Orders Source'!$A$5:$A$34,0)),""),IFERROR(INDEX('Support Source'!$D$5:$D$34,MATCH(A11,'Support Source'!$A$5:$A$34,0)),"")))</x:f>
        <x:v>+62-811-000-0007</x:v>
      </x:c>
      <x:c r="E11" s="202" t="str">
        <x:f>IF(IFERROR(INDEX('CRM Source'!$E$5:$E$34,MATCH(A11,'CRM Source'!$A$5:$A$34,0)),"")&lt;&gt;"",IFERROR(INDEX('CRM Source'!$E$5:$E$34,MATCH(A11,'CRM Source'!$A$5:$A$34,0)),""),IF(IFERROR(INDEX('Web Orders Source'!$E$5:$E$34,MATCH(A11,'Web Orders Source'!$A$5:$A$34,0)),"")&lt;&gt;"",IFERROR(INDEX('Web Orders Source'!$E$5:$E$34,MATCH(A11,'Web Orders Source'!$A$5:$A$34,0)),""),IFERROR(INDEX('Support Source'!$E$5:$E$34,MATCH(A11,'Support Source'!$A$5:$A$34,0)),"")))</x:f>
        <x:v>ID</x:v>
      </x:c>
      <x:c r="F11" s="202" t="n">
        <x:f>COUNTIF('CRM Source'!$A$5:$A$34,A11)</x:f>
        <x:v>1</x:v>
      </x:c>
      <x:c r="G11" s="202" t="n">
        <x:f>COUNTIF('Web Orders Source'!$A$5:$A$34,A11)</x:f>
        <x:v>0</x:v>
      </x:c>
      <x:c r="H11" s="202" t="n">
        <x:f>COUNTIF('Support Source'!$A$5:$A$34,A11)</x:f>
        <x:v>1</x:v>
      </x:c>
      <x:c r="I11" s="202" t="str">
        <x:f>IFERROR(INDEX('CRM Source'!$C$5:$C$34,MATCH(A11,'CRM Source'!$A$5:$A$34,0)),"")</x:f>
        <x:v>customer07@example.invalid</x:v>
      </x:c>
      <x:c r="J11" s="202" t="str">
        <x:f>IFERROR(INDEX('Web Orders Source'!$C$5:$C$34,MATCH(A11,'Web Orders Source'!$A$5:$A$34,0)),"")</x:f>
      </x:c>
      <x:c r="K11" s="202" t="str">
        <x:f>IFERROR(INDEX('Support Source'!$C$5:$C$34,MATCH(A11,'Support Source'!$A$5:$A$34,0)),"")</x:f>
        <x:v>customer07@example.invalid</x:v>
      </x:c>
      <x:c r="L11" s="202" t="str">
        <x:f>IF(OR(AND(I11&lt;&gt;"",J11&lt;&gt;"",I11&lt;&gt;J11),AND(I11&lt;&gt;"",K11&lt;&gt;"",I11&lt;&gt;K11),AND(J11&lt;&gt;"",K11&lt;&gt;"",J11&lt;&gt;K11)),"Email Conflict","OK")</x:f>
        <x:v>OK</x:v>
      </x:c>
      <x:c r="M11" s="202" t="str">
        <x:f>IF(OR(AND(IFERROR(INDEX('CRM Source'!$D$5:$D$34,MATCH(A11,'CRM Source'!$A$5:$A$34,0)),"")&lt;&gt;"",IFERROR(INDEX('Web Orders Source'!$D$5:$D$34,MATCH(A11,'Web Orders Source'!$A$5:$A$34,0)),"")&lt;&gt;"",IFERROR(INDEX('CRM Source'!$D$5:$D$34,MATCH(A11,'CRM Source'!$A$5:$A$34,0)),"")&lt;&gt;IFERROR(INDEX('Web Orders Source'!$D$5:$D$34,MATCH(A11,'Web Orders Source'!$A$5:$A$34,0)),"")),AND(IFERROR(INDEX('CRM Source'!$D$5:$D$34,MATCH(A11,'CRM Source'!$A$5:$A$34,0)),"")&lt;&gt;"",IFERROR(INDEX('Support Source'!$D$5:$D$34,MATCH(A11,'Support Source'!$A$5:$A$34,0)),"")&lt;&gt;"",IFERROR(INDEX('CRM Source'!$D$5:$D$34,MATCH(A11,'CRM Source'!$A$5:$A$34,0)),"")&lt;&gt;IFERROR(INDEX('Support Source'!$D$5:$D$34,MATCH(A11,'Support Source'!$A$5:$A$34,0)),""))),"Phone Conflict","OK")</x:f>
        <x:v>OK</x:v>
      </x:c>
      <x:c r="N11" s="202" t="str">
        <x:f>IF(OR(E11="ID",E11="SG"),"OK","Invalid Country")</x:f>
        <x:v>OK</x:v>
      </x:c>
      <x:c r="O11" s="202" t="str">
        <x:f>IF(MAX(F11:H11)&gt;1,"Duplicate Source Key","OK")</x:f>
        <x:v>OK</x:v>
      </x:c>
      <x:c r="P11" s="202" t="str">
        <x:f>IF(OR(L11&lt;&gt;"OK",M11&lt;&gt;"OK",N11&lt;&gt;"OK",O11&lt;&gt;"OK"),IF(O11&lt;&gt;"OK","High Priority Review","Review"),"Ready")</x:f>
        <x:v>Ready</x:v>
      </x:c>
      <x:c r="Q11" s="202" t="str">
        <x:f>IF(P11="Ready","No action required","Compare source evidence and obtain written approval")</x:f>
        <x:v>No action required</x:v>
      </x:c>
    </x:row>
    <x:row r="12" ht="26" customHeight="1">
      <x:c r="A12" s="200" t="str">
        <x:v>CUST-008</x:v>
      </x:c>
      <x:c r="B12" s="200" t="str">
        <x:f>IF(IFERROR(INDEX('CRM Source'!$B$5:$B$34,MATCH(A12,'CRM Source'!$A$5:$A$34,0)),"")&lt;&gt;"",IFERROR(INDEX('CRM Source'!$B$5:$B$34,MATCH(A12,'CRM Source'!$A$5:$A$34,0)),""),IF(IFERROR(INDEX('Web Orders Source'!$B$5:$B$34,MATCH(A12,'Web Orders Source'!$A$5:$A$34,0)),"")&lt;&gt;"",IFERROR(INDEX('Web Orders Source'!$B$5:$B$34,MATCH(A12,'Web Orders Source'!$A$5:$A$34,0)),""),IFERROR(INDEX('Support Source'!$B$5:$B$34,MATCH(A12,'Support Source'!$A$5:$A$34,0)),"")))</x:f>
        <x:v>Demo Customer 08</x:v>
      </x:c>
      <x:c r="C12" s="200" t="str">
        <x:f>IF(IFERROR(INDEX('CRM Source'!$C$5:$C$34,MATCH(A12,'CRM Source'!$A$5:$A$34,0)),"")&lt;&gt;"",IFERROR(INDEX('CRM Source'!$C$5:$C$34,MATCH(A12,'CRM Source'!$A$5:$A$34,0)),""),IF(IFERROR(INDEX('Web Orders Source'!$C$5:$C$34,MATCH(A12,'Web Orders Source'!$A$5:$A$34,0)),"")&lt;&gt;"",IFERROR(INDEX('Web Orders Source'!$C$5:$C$34,MATCH(A12,'Web Orders Source'!$A$5:$A$34,0)),""),IFERROR(INDEX('Support Source'!$C$5:$C$34,MATCH(A12,'Support Source'!$A$5:$A$34,0)),"")))</x:f>
        <x:v>customer08@example.invalid</x:v>
      </x:c>
      <x:c r="D12" s="200" t="str">
        <x:f>IF(IFERROR(INDEX('CRM Source'!$D$5:$D$34,MATCH(A12,'CRM Source'!$A$5:$A$34,0)),"")&lt;&gt;"",IFERROR(INDEX('CRM Source'!$D$5:$D$34,MATCH(A12,'CRM Source'!$A$5:$A$34,0)),""),IF(IFERROR(INDEX('Web Orders Source'!$D$5:$D$34,MATCH(A12,'Web Orders Source'!$A$5:$A$34,0)),"")&lt;&gt;"",IFERROR(INDEX('Web Orders Source'!$D$5:$D$34,MATCH(A12,'Web Orders Source'!$A$5:$A$34,0)),""),IFERROR(INDEX('Support Source'!$D$5:$D$34,MATCH(A12,'Support Source'!$A$5:$A$34,0)),"")))</x:f>
        <x:v>+62-811-000-0008</x:v>
      </x:c>
      <x:c r="E12" s="200" t="str">
        <x:f>IF(IFERROR(INDEX('CRM Source'!$E$5:$E$34,MATCH(A12,'CRM Source'!$A$5:$A$34,0)),"")&lt;&gt;"",IFERROR(INDEX('CRM Source'!$E$5:$E$34,MATCH(A12,'CRM Source'!$A$5:$A$34,0)),""),IF(IFERROR(INDEX('Web Orders Source'!$E$5:$E$34,MATCH(A12,'Web Orders Source'!$A$5:$A$34,0)),"")&lt;&gt;"",IFERROR(INDEX('Web Orders Source'!$E$5:$E$34,MATCH(A12,'Web Orders Source'!$A$5:$A$34,0)),""),IFERROR(INDEX('Support Source'!$E$5:$E$34,MATCH(A12,'Support Source'!$A$5:$A$34,0)),"")))</x:f>
        <x:v>ID</x:v>
      </x:c>
      <x:c r="F12" s="200" t="n">
        <x:f>COUNTIF('CRM Source'!$A$5:$A$34,A12)</x:f>
        <x:v>2</x:v>
      </x:c>
      <x:c r="G12" s="200" t="n">
        <x:f>COUNTIF('Web Orders Source'!$A$5:$A$34,A12)</x:f>
        <x:v>0</x:v>
      </x:c>
      <x:c r="H12" s="200" t="n">
        <x:f>COUNTIF('Support Source'!$A$5:$A$34,A12)</x:f>
        <x:v>1</x:v>
      </x:c>
      <x:c r="I12" s="200" t="str">
        <x:f>IFERROR(INDEX('CRM Source'!$C$5:$C$34,MATCH(A12,'CRM Source'!$A$5:$A$34,0)),"")</x:f>
        <x:v>customer08@example.invalid</x:v>
      </x:c>
      <x:c r="J12" s="200" t="str">
        <x:f>IFERROR(INDEX('Web Orders Source'!$C$5:$C$34,MATCH(A12,'Web Orders Source'!$A$5:$A$34,0)),"")</x:f>
      </x:c>
      <x:c r="K12" s="200" t="str">
        <x:f>IFERROR(INDEX('Support Source'!$C$5:$C$34,MATCH(A12,'Support Source'!$A$5:$A$34,0)),"")</x:f>
        <x:v>customer08@example.invalid</x:v>
      </x:c>
      <x:c r="L12" s="200" t="str">
        <x:f>IF(OR(AND(I12&lt;&gt;"",J12&lt;&gt;"",I12&lt;&gt;J12),AND(I12&lt;&gt;"",K12&lt;&gt;"",I12&lt;&gt;K12),AND(J12&lt;&gt;"",K12&lt;&gt;"",J12&lt;&gt;K12)),"Email Conflict","OK")</x:f>
        <x:v>OK</x:v>
      </x:c>
      <x:c r="M12" s="200" t="str">
        <x:f>IF(OR(AND(IFERROR(INDEX('CRM Source'!$D$5:$D$34,MATCH(A12,'CRM Source'!$A$5:$A$34,0)),"")&lt;&gt;"",IFERROR(INDEX('Web Orders Source'!$D$5:$D$34,MATCH(A12,'Web Orders Source'!$A$5:$A$34,0)),"")&lt;&gt;"",IFERROR(INDEX('CRM Source'!$D$5:$D$34,MATCH(A12,'CRM Source'!$A$5:$A$34,0)),"")&lt;&gt;IFERROR(INDEX('Web Orders Source'!$D$5:$D$34,MATCH(A12,'Web Orders Source'!$A$5:$A$34,0)),"")),AND(IFERROR(INDEX('CRM Source'!$D$5:$D$34,MATCH(A12,'CRM Source'!$A$5:$A$34,0)),"")&lt;&gt;"",IFERROR(INDEX('Support Source'!$D$5:$D$34,MATCH(A12,'Support Source'!$A$5:$A$34,0)),"")&lt;&gt;"",IFERROR(INDEX('CRM Source'!$D$5:$D$34,MATCH(A12,'CRM Source'!$A$5:$A$34,0)),"")&lt;&gt;IFERROR(INDEX('Support Source'!$D$5:$D$34,MATCH(A12,'Support Source'!$A$5:$A$34,0)),""))),"Phone Conflict","OK")</x:f>
        <x:v>OK</x:v>
      </x:c>
      <x:c r="N12" s="200" t="str">
        <x:f>IF(OR(E12="ID",E12="SG"),"OK","Invalid Country")</x:f>
        <x:v>OK</x:v>
      </x:c>
      <x:c r="O12" s="200" t="str">
        <x:f>IF(MAX(F12:H12)&gt;1,"Duplicate Source Key","OK")</x:f>
        <x:v>Duplicate Source Key</x:v>
      </x:c>
      <x:c r="P12" s="200" t="str">
        <x:f>IF(OR(L12&lt;&gt;"OK",M12&lt;&gt;"OK",N12&lt;&gt;"OK",O12&lt;&gt;"OK"),IF(O12&lt;&gt;"OK","High Priority Review","Review"),"Ready")</x:f>
        <x:v>High Priority Review</x:v>
      </x:c>
      <x:c r="Q12" s="200" t="str">
        <x:f>IF(P12="Ready","No action required","Compare source evidence and obtain written approval")</x:f>
        <x:v>Compare source evidence and obtain written approval</x:v>
      </x:c>
    </x:row>
    <x:row r="13" ht="26" customHeight="1">
      <x:c r="A13" s="202" t="str">
        <x:v>CUST-009</x:v>
      </x:c>
      <x:c r="B13" s="202" t="str">
        <x:f>IF(IFERROR(INDEX('CRM Source'!$B$5:$B$34,MATCH(A13,'CRM Source'!$A$5:$A$34,0)),"")&lt;&gt;"",IFERROR(INDEX('CRM Source'!$B$5:$B$34,MATCH(A13,'CRM Source'!$A$5:$A$34,0)),""),IF(IFERROR(INDEX('Web Orders Source'!$B$5:$B$34,MATCH(A13,'Web Orders Source'!$A$5:$A$34,0)),"")&lt;&gt;"",IFERROR(INDEX('Web Orders Source'!$B$5:$B$34,MATCH(A13,'Web Orders Source'!$A$5:$A$34,0)),""),IFERROR(INDEX('Support Source'!$B$5:$B$34,MATCH(A13,'Support Source'!$A$5:$A$34,0)),"")))</x:f>
        <x:v>Demo Customer 09</x:v>
      </x:c>
      <x:c r="C13" s="202" t="str">
        <x:f>IF(IFERROR(INDEX('CRM Source'!$C$5:$C$34,MATCH(A13,'CRM Source'!$A$5:$A$34,0)),"")&lt;&gt;"",IFERROR(INDEX('CRM Source'!$C$5:$C$34,MATCH(A13,'CRM Source'!$A$5:$A$34,0)),""),IF(IFERROR(INDEX('Web Orders Source'!$C$5:$C$34,MATCH(A13,'Web Orders Source'!$A$5:$A$34,0)),"")&lt;&gt;"",IFERROR(INDEX('Web Orders Source'!$C$5:$C$34,MATCH(A13,'Web Orders Source'!$A$5:$A$34,0)),""),IFERROR(INDEX('Support Source'!$C$5:$C$34,MATCH(A13,'Support Source'!$A$5:$A$34,0)),"")))</x:f>
        <x:v>customer09@example.invalid</x:v>
      </x:c>
      <x:c r="D13" s="202" t="str">
        <x:f>IF(IFERROR(INDEX('CRM Source'!$D$5:$D$34,MATCH(A13,'CRM Source'!$A$5:$A$34,0)),"")&lt;&gt;"",IFERROR(INDEX('CRM Source'!$D$5:$D$34,MATCH(A13,'CRM Source'!$A$5:$A$34,0)),""),IF(IFERROR(INDEX('Web Orders Source'!$D$5:$D$34,MATCH(A13,'Web Orders Source'!$A$5:$A$34,0)),"")&lt;&gt;"",IFERROR(INDEX('Web Orders Source'!$D$5:$D$34,MATCH(A13,'Web Orders Source'!$A$5:$A$34,0)),""),IFERROR(INDEX('Support Source'!$D$5:$D$34,MATCH(A13,'Support Source'!$A$5:$A$34,0)),"")))</x:f>
        <x:v>+62-811-000-0009</x:v>
      </x:c>
      <x:c r="E13" s="202" t="str">
        <x:f>IF(IFERROR(INDEX('CRM Source'!$E$5:$E$34,MATCH(A13,'CRM Source'!$A$5:$A$34,0)),"")&lt;&gt;"",IFERROR(INDEX('CRM Source'!$E$5:$E$34,MATCH(A13,'CRM Source'!$A$5:$A$34,0)),""),IF(IFERROR(INDEX('Web Orders Source'!$E$5:$E$34,MATCH(A13,'Web Orders Source'!$A$5:$A$34,0)),"")&lt;&gt;"",IFERROR(INDEX('Web Orders Source'!$E$5:$E$34,MATCH(A13,'Web Orders Source'!$A$5:$A$34,0)),""),IFERROR(INDEX('Support Source'!$E$5:$E$34,MATCH(A13,'Support Source'!$A$5:$A$34,0)),"")))</x:f>
        <x:v>ID</x:v>
      </x:c>
      <x:c r="F13" s="202" t="n">
        <x:f>COUNTIF('CRM Source'!$A$5:$A$34,A13)</x:f>
        <x:v>1</x:v>
      </x:c>
      <x:c r="G13" s="202" t="n">
        <x:f>COUNTIF('Web Orders Source'!$A$5:$A$34,A13)</x:f>
        <x:v>0</x:v>
      </x:c>
      <x:c r="H13" s="202" t="n">
        <x:f>COUNTIF('Support Source'!$A$5:$A$34,A13)</x:f>
        <x:v>1</x:v>
      </x:c>
      <x:c r="I13" s="202" t="str">
        <x:f>IFERROR(INDEX('CRM Source'!$C$5:$C$34,MATCH(A13,'CRM Source'!$A$5:$A$34,0)),"")</x:f>
        <x:v>customer09@example.invalid</x:v>
      </x:c>
      <x:c r="J13" s="202" t="str">
        <x:f>IFERROR(INDEX('Web Orders Source'!$C$5:$C$34,MATCH(A13,'Web Orders Source'!$A$5:$A$34,0)),"")</x:f>
      </x:c>
      <x:c r="K13" s="202" t="str">
        <x:f>IFERROR(INDEX('Support Source'!$C$5:$C$34,MATCH(A13,'Support Source'!$A$5:$A$34,0)),"")</x:f>
        <x:v>customer09@example.invalid</x:v>
      </x:c>
      <x:c r="L13" s="202" t="str">
        <x:f>IF(OR(AND(I13&lt;&gt;"",J13&lt;&gt;"",I13&lt;&gt;J13),AND(I13&lt;&gt;"",K13&lt;&gt;"",I13&lt;&gt;K13),AND(J13&lt;&gt;"",K13&lt;&gt;"",J13&lt;&gt;K13)),"Email Conflict","OK")</x:f>
        <x:v>OK</x:v>
      </x:c>
      <x:c r="M13" s="202" t="str">
        <x:f>IF(OR(AND(IFERROR(INDEX('CRM Source'!$D$5:$D$34,MATCH(A13,'CRM Source'!$A$5:$A$34,0)),"")&lt;&gt;"",IFERROR(INDEX('Web Orders Source'!$D$5:$D$34,MATCH(A13,'Web Orders Source'!$A$5:$A$34,0)),"")&lt;&gt;"",IFERROR(INDEX('CRM Source'!$D$5:$D$34,MATCH(A13,'CRM Source'!$A$5:$A$34,0)),"")&lt;&gt;IFERROR(INDEX('Web Orders Source'!$D$5:$D$34,MATCH(A13,'Web Orders Source'!$A$5:$A$34,0)),"")),AND(IFERROR(INDEX('CRM Source'!$D$5:$D$34,MATCH(A13,'CRM Source'!$A$5:$A$34,0)),"")&lt;&gt;"",IFERROR(INDEX('Support Source'!$D$5:$D$34,MATCH(A13,'Support Source'!$A$5:$A$34,0)),"")&lt;&gt;"",IFERROR(INDEX('CRM Source'!$D$5:$D$34,MATCH(A13,'CRM Source'!$A$5:$A$34,0)),"")&lt;&gt;IFERROR(INDEX('Support Source'!$D$5:$D$34,MATCH(A13,'Support Source'!$A$5:$A$34,0)),""))),"Phone Conflict","OK")</x:f>
        <x:v>OK</x:v>
      </x:c>
      <x:c r="N13" s="202" t="str">
        <x:f>IF(OR(E13="ID",E13="SG"),"OK","Invalid Country")</x:f>
        <x:v>OK</x:v>
      </x:c>
      <x:c r="O13" s="202" t="str">
        <x:f>IF(MAX(F13:H13)&gt;1,"Duplicate Source Key","OK")</x:f>
        <x:v>OK</x:v>
      </x:c>
      <x:c r="P13" s="202" t="str">
        <x:f>IF(OR(L13&lt;&gt;"OK",M13&lt;&gt;"OK",N13&lt;&gt;"OK",O13&lt;&gt;"OK"),IF(O13&lt;&gt;"OK","High Priority Review","Review"),"Ready")</x:f>
        <x:v>Ready</x:v>
      </x:c>
      <x:c r="Q13" s="202" t="str">
        <x:f>IF(P13="Ready","No action required","Compare source evidence and obtain written approval")</x:f>
        <x:v>No action required</x:v>
      </x:c>
    </x:row>
    <x:row r="14" ht="26" customHeight="1">
      <x:c r="A14" s="200" t="str">
        <x:v>CUST-010</x:v>
      </x:c>
      <x:c r="B14" s="200" t="str">
        <x:f>IF(IFERROR(INDEX('CRM Source'!$B$5:$B$34,MATCH(A14,'CRM Source'!$A$5:$A$34,0)),"")&lt;&gt;"",IFERROR(INDEX('CRM Source'!$B$5:$B$34,MATCH(A14,'CRM Source'!$A$5:$A$34,0)),""),IF(IFERROR(INDEX('Web Orders Source'!$B$5:$B$34,MATCH(A14,'Web Orders Source'!$A$5:$A$34,0)),"")&lt;&gt;"",IFERROR(INDEX('Web Orders Source'!$B$5:$B$34,MATCH(A14,'Web Orders Source'!$A$5:$A$34,0)),""),IFERROR(INDEX('Support Source'!$B$5:$B$34,MATCH(A14,'Support Source'!$A$5:$A$34,0)),"")))</x:f>
        <x:v>Demo Customer 10</x:v>
      </x:c>
      <x:c r="C14" s="200" t="str">
        <x:f>IF(IFERROR(INDEX('CRM Source'!$C$5:$C$34,MATCH(A14,'CRM Source'!$A$5:$A$34,0)),"")&lt;&gt;"",IFERROR(INDEX('CRM Source'!$C$5:$C$34,MATCH(A14,'CRM Source'!$A$5:$A$34,0)),""),IF(IFERROR(INDEX('Web Orders Source'!$C$5:$C$34,MATCH(A14,'Web Orders Source'!$A$5:$A$34,0)),"")&lt;&gt;"",IFERROR(INDEX('Web Orders Source'!$C$5:$C$34,MATCH(A14,'Web Orders Source'!$A$5:$A$34,0)),""),IFERROR(INDEX('Support Source'!$C$5:$C$34,MATCH(A14,'Support Source'!$A$5:$A$34,0)),"")))</x:f>
        <x:v>customer10@example.invalid</x:v>
      </x:c>
      <x:c r="D14" s="200" t="str">
        <x:f>IF(IFERROR(INDEX('CRM Source'!$D$5:$D$34,MATCH(A14,'CRM Source'!$A$5:$A$34,0)),"")&lt;&gt;"",IFERROR(INDEX('CRM Source'!$D$5:$D$34,MATCH(A14,'CRM Source'!$A$5:$A$34,0)),""),IF(IFERROR(INDEX('Web Orders Source'!$D$5:$D$34,MATCH(A14,'Web Orders Source'!$A$5:$A$34,0)),"")&lt;&gt;"",IFERROR(INDEX('Web Orders Source'!$D$5:$D$34,MATCH(A14,'Web Orders Source'!$A$5:$A$34,0)),""),IFERROR(INDEX('Support Source'!$D$5:$D$34,MATCH(A14,'Support Source'!$A$5:$A$34,0)),"")))</x:f>
        <x:v>+62-811-000-0010</x:v>
      </x:c>
      <x:c r="E14" s="200" t="str">
        <x:f>IF(IFERROR(INDEX('CRM Source'!$E$5:$E$34,MATCH(A14,'CRM Source'!$A$5:$A$34,0)),"")&lt;&gt;"",IFERROR(INDEX('CRM Source'!$E$5:$E$34,MATCH(A14,'CRM Source'!$A$5:$A$34,0)),""),IF(IFERROR(INDEX('Web Orders Source'!$E$5:$E$34,MATCH(A14,'Web Orders Source'!$A$5:$A$34,0)),"")&lt;&gt;"",IFERROR(INDEX('Web Orders Source'!$E$5:$E$34,MATCH(A14,'Web Orders Source'!$A$5:$A$34,0)),""),IFERROR(INDEX('Support Source'!$E$5:$E$34,MATCH(A14,'Support Source'!$A$5:$A$34,0)),"")))</x:f>
        <x:v>SG</x:v>
      </x:c>
      <x:c r="F14" s="200" t="n">
        <x:f>COUNTIF('CRM Source'!$A$5:$A$34,A14)</x:f>
        <x:v>1</x:v>
      </x:c>
      <x:c r="G14" s="200" t="n">
        <x:f>COUNTIF('Web Orders Source'!$A$5:$A$34,A14)</x:f>
        <x:v>0</x:v>
      </x:c>
      <x:c r="H14" s="200" t="n">
        <x:f>COUNTIF('Support Source'!$A$5:$A$34,A14)</x:f>
        <x:v>1</x:v>
      </x:c>
      <x:c r="I14" s="200" t="str">
        <x:f>IFERROR(INDEX('CRM Source'!$C$5:$C$34,MATCH(A14,'CRM Source'!$A$5:$A$34,0)),"")</x:f>
        <x:v>customer10@example.invalid</x:v>
      </x:c>
      <x:c r="J14" s="200" t="str">
        <x:f>IFERROR(INDEX('Web Orders Source'!$C$5:$C$34,MATCH(A14,'Web Orders Source'!$A$5:$A$34,0)),"")</x:f>
      </x:c>
      <x:c r="K14" s="200" t="str">
        <x:f>IFERROR(INDEX('Support Source'!$C$5:$C$34,MATCH(A14,'Support Source'!$A$5:$A$34,0)),"")</x:f>
        <x:v>customer10@example.invalid</x:v>
      </x:c>
      <x:c r="L14" s="200" t="str">
        <x:f>IF(OR(AND(I14&lt;&gt;"",J14&lt;&gt;"",I14&lt;&gt;J14),AND(I14&lt;&gt;"",K14&lt;&gt;"",I14&lt;&gt;K14),AND(J14&lt;&gt;"",K14&lt;&gt;"",J14&lt;&gt;K14)),"Email Conflict","OK")</x:f>
        <x:v>OK</x:v>
      </x:c>
      <x:c r="M14" s="200" t="str">
        <x:f>IF(OR(AND(IFERROR(INDEX('CRM Source'!$D$5:$D$34,MATCH(A14,'CRM Source'!$A$5:$A$34,0)),"")&lt;&gt;"",IFERROR(INDEX('Web Orders Source'!$D$5:$D$34,MATCH(A14,'Web Orders Source'!$A$5:$A$34,0)),"")&lt;&gt;"",IFERROR(INDEX('CRM Source'!$D$5:$D$34,MATCH(A14,'CRM Source'!$A$5:$A$34,0)),"")&lt;&gt;IFERROR(INDEX('Web Orders Source'!$D$5:$D$34,MATCH(A14,'Web Orders Source'!$A$5:$A$34,0)),"")),AND(IFERROR(INDEX('CRM Source'!$D$5:$D$34,MATCH(A14,'CRM Source'!$A$5:$A$34,0)),"")&lt;&gt;"",IFERROR(INDEX('Support Source'!$D$5:$D$34,MATCH(A14,'Support Source'!$A$5:$A$34,0)),"")&lt;&gt;"",IFERROR(INDEX('CRM Source'!$D$5:$D$34,MATCH(A14,'CRM Source'!$A$5:$A$34,0)),"")&lt;&gt;IFERROR(INDEX('Support Source'!$D$5:$D$34,MATCH(A14,'Support Source'!$A$5:$A$34,0)),""))),"Phone Conflict","OK")</x:f>
        <x:v>OK</x:v>
      </x:c>
      <x:c r="N14" s="200" t="str">
        <x:f>IF(OR(E14="ID",E14="SG"),"OK","Invalid Country")</x:f>
        <x:v>OK</x:v>
      </x:c>
      <x:c r="O14" s="200" t="str">
        <x:f>IF(MAX(F14:H14)&gt;1,"Duplicate Source Key","OK")</x:f>
        <x:v>OK</x:v>
      </x:c>
      <x:c r="P14" s="200" t="str">
        <x:f>IF(OR(L14&lt;&gt;"OK",M14&lt;&gt;"OK",N14&lt;&gt;"OK",O14&lt;&gt;"OK"),IF(O14&lt;&gt;"OK","High Priority Review","Review"),"Ready")</x:f>
        <x:v>Ready</x:v>
      </x:c>
      <x:c r="Q14" s="200" t="str">
        <x:f>IF(P14="Ready","No action required","Compare source evidence and obtain written approval")</x:f>
        <x:v>No action required</x:v>
      </x:c>
    </x:row>
    <x:row r="15" ht="26" customHeight="1">
      <x:c r="A15" s="202" t="str">
        <x:v>CUST-011</x:v>
      </x:c>
      <x:c r="B15" s="202" t="str">
        <x:f>IF(IFERROR(INDEX('CRM Source'!$B$5:$B$34,MATCH(A15,'CRM Source'!$A$5:$A$34,0)),"")&lt;&gt;"",IFERROR(INDEX('CRM Source'!$B$5:$B$34,MATCH(A15,'CRM Source'!$A$5:$A$34,0)),""),IF(IFERROR(INDEX('Web Orders Source'!$B$5:$B$34,MATCH(A15,'Web Orders Source'!$A$5:$A$34,0)),"")&lt;&gt;"",IFERROR(INDEX('Web Orders Source'!$B$5:$B$34,MATCH(A15,'Web Orders Source'!$A$5:$A$34,0)),""),IFERROR(INDEX('Support Source'!$B$5:$B$34,MATCH(A15,'Support Source'!$A$5:$A$34,0)),"")))</x:f>
        <x:v>Demo Customer 11</x:v>
      </x:c>
      <x:c r="C15" s="202" t="str">
        <x:f>IF(IFERROR(INDEX('CRM Source'!$C$5:$C$34,MATCH(A15,'CRM Source'!$A$5:$A$34,0)),"")&lt;&gt;"",IFERROR(INDEX('CRM Source'!$C$5:$C$34,MATCH(A15,'CRM Source'!$A$5:$A$34,0)),""),IF(IFERROR(INDEX('Web Orders Source'!$C$5:$C$34,MATCH(A15,'Web Orders Source'!$A$5:$A$34,0)),"")&lt;&gt;"",IFERROR(INDEX('Web Orders Source'!$C$5:$C$34,MATCH(A15,'Web Orders Source'!$A$5:$A$34,0)),""),IFERROR(INDEX('Support Source'!$C$5:$C$34,MATCH(A15,'Support Source'!$A$5:$A$34,0)),"")))</x:f>
        <x:v>customer11@example.invalid</x:v>
      </x:c>
      <x:c r="D15" s="202" t="str">
        <x:f>IF(IFERROR(INDEX('CRM Source'!$D$5:$D$34,MATCH(A15,'CRM Source'!$A$5:$A$34,0)),"")&lt;&gt;"",IFERROR(INDEX('CRM Source'!$D$5:$D$34,MATCH(A15,'CRM Source'!$A$5:$A$34,0)),""),IF(IFERROR(INDEX('Web Orders Source'!$D$5:$D$34,MATCH(A15,'Web Orders Source'!$A$5:$A$34,0)),"")&lt;&gt;"",IFERROR(INDEX('Web Orders Source'!$D$5:$D$34,MATCH(A15,'Web Orders Source'!$A$5:$A$34,0)),""),IFERROR(INDEX('Support Source'!$D$5:$D$34,MATCH(A15,'Support Source'!$A$5:$A$34,0)),"")))</x:f>
        <x:v>+62-811-000-0011</x:v>
      </x:c>
      <x:c r="E15" s="202" t="str">
        <x:f>IF(IFERROR(INDEX('CRM Source'!$E$5:$E$34,MATCH(A15,'CRM Source'!$A$5:$A$34,0)),"")&lt;&gt;"",IFERROR(INDEX('CRM Source'!$E$5:$E$34,MATCH(A15,'CRM Source'!$A$5:$A$34,0)),""),IF(IFERROR(INDEX('Web Orders Source'!$E$5:$E$34,MATCH(A15,'Web Orders Source'!$A$5:$A$34,0)),"")&lt;&gt;"",IFERROR(INDEX('Web Orders Source'!$E$5:$E$34,MATCH(A15,'Web Orders Source'!$A$5:$A$34,0)),""),IFERROR(INDEX('Support Source'!$E$5:$E$34,MATCH(A15,'Support Source'!$A$5:$A$34,0)),"")))</x:f>
        <x:v>ID</x:v>
      </x:c>
      <x:c r="F15" s="202" t="n">
        <x:f>COUNTIF('CRM Source'!$A$5:$A$34,A15)</x:f>
        <x:v>1</x:v>
      </x:c>
      <x:c r="G15" s="202" t="n">
        <x:f>COUNTIF('Web Orders Source'!$A$5:$A$34,A15)</x:f>
        <x:v>1</x:v>
      </x:c>
      <x:c r="H15" s="202" t="n">
        <x:f>COUNTIF('Support Source'!$A$5:$A$34,A15)</x:f>
        <x:v>1</x:v>
      </x:c>
      <x:c r="I15" s="202" t="str">
        <x:f>IFERROR(INDEX('CRM Source'!$C$5:$C$34,MATCH(A15,'CRM Source'!$A$5:$A$34,0)),"")</x:f>
        <x:v>customer11@example.invalid</x:v>
      </x:c>
      <x:c r="J15" s="202" t="str">
        <x:f>IFERROR(INDEX('Web Orders Source'!$C$5:$C$34,MATCH(A15,'Web Orders Source'!$A$5:$A$34,0)),"")</x:f>
        <x:v>customer11@example.invalid</x:v>
      </x:c>
      <x:c r="K15" s="202" t="str">
        <x:f>IFERROR(INDEX('Support Source'!$C$5:$C$34,MATCH(A15,'Support Source'!$A$5:$A$34,0)),"")</x:f>
        <x:v>customer11@example.invalid</x:v>
      </x:c>
      <x:c r="L15" s="202" t="str">
        <x:f>IF(OR(AND(I15&lt;&gt;"",J15&lt;&gt;"",I15&lt;&gt;J15),AND(I15&lt;&gt;"",K15&lt;&gt;"",I15&lt;&gt;K15),AND(J15&lt;&gt;"",K15&lt;&gt;"",J15&lt;&gt;K15)),"Email Conflict","OK")</x:f>
        <x:v>OK</x:v>
      </x:c>
      <x:c r="M15" s="202" t="str">
        <x:f>IF(OR(AND(IFERROR(INDEX('CRM Source'!$D$5:$D$34,MATCH(A15,'CRM Source'!$A$5:$A$34,0)),"")&lt;&gt;"",IFERROR(INDEX('Web Orders Source'!$D$5:$D$34,MATCH(A15,'Web Orders Source'!$A$5:$A$34,0)),"")&lt;&gt;"",IFERROR(INDEX('CRM Source'!$D$5:$D$34,MATCH(A15,'CRM Source'!$A$5:$A$34,0)),"")&lt;&gt;IFERROR(INDEX('Web Orders Source'!$D$5:$D$34,MATCH(A15,'Web Orders Source'!$A$5:$A$34,0)),"")),AND(IFERROR(INDEX('CRM Source'!$D$5:$D$34,MATCH(A15,'CRM Source'!$A$5:$A$34,0)),"")&lt;&gt;"",IFERROR(INDEX('Support Source'!$D$5:$D$34,MATCH(A15,'Support Source'!$A$5:$A$34,0)),"")&lt;&gt;"",IFERROR(INDEX('CRM Source'!$D$5:$D$34,MATCH(A15,'CRM Source'!$A$5:$A$34,0)),"")&lt;&gt;IFERROR(INDEX('Support Source'!$D$5:$D$34,MATCH(A15,'Support Source'!$A$5:$A$34,0)),""))),"Phone Conflict","OK")</x:f>
        <x:v>OK</x:v>
      </x:c>
      <x:c r="N15" s="202" t="str">
        <x:f>IF(OR(E15="ID",E15="SG"),"OK","Invalid Country")</x:f>
        <x:v>OK</x:v>
      </x:c>
      <x:c r="O15" s="202" t="str">
        <x:f>IF(MAX(F15:H15)&gt;1,"Duplicate Source Key","OK")</x:f>
        <x:v>OK</x:v>
      </x:c>
      <x:c r="P15" s="202" t="str">
        <x:f>IF(OR(L15&lt;&gt;"OK",M15&lt;&gt;"OK",N15&lt;&gt;"OK",O15&lt;&gt;"OK"),IF(O15&lt;&gt;"OK","High Priority Review","Review"),"Ready")</x:f>
        <x:v>Ready</x:v>
      </x:c>
      <x:c r="Q15" s="202" t="str">
        <x:f>IF(P15="Ready","No action required","Compare source evidence and obtain written approval")</x:f>
        <x:v>No action required</x:v>
      </x:c>
    </x:row>
    <x:row r="16" ht="26" customHeight="1">
      <x:c r="A16" s="200" t="str">
        <x:v>CUST-012</x:v>
      </x:c>
      <x:c r="B16" s="200" t="str">
        <x:f>IF(IFERROR(INDEX('CRM Source'!$B$5:$B$34,MATCH(A16,'CRM Source'!$A$5:$A$34,0)),"")&lt;&gt;"",IFERROR(INDEX('CRM Source'!$B$5:$B$34,MATCH(A16,'CRM Source'!$A$5:$A$34,0)),""),IF(IFERROR(INDEX('Web Orders Source'!$B$5:$B$34,MATCH(A16,'Web Orders Source'!$A$5:$A$34,0)),"")&lt;&gt;"",IFERROR(INDEX('Web Orders Source'!$B$5:$B$34,MATCH(A16,'Web Orders Source'!$A$5:$A$34,0)),""),IFERROR(INDEX('Support Source'!$B$5:$B$34,MATCH(A16,'Support Source'!$A$5:$A$34,0)),"")))</x:f>
        <x:v>Demo Customer 12</x:v>
      </x:c>
      <x:c r="C16" s="200" t="str">
        <x:f>IF(IFERROR(INDEX('CRM Source'!$C$5:$C$34,MATCH(A16,'CRM Source'!$A$5:$A$34,0)),"")&lt;&gt;"",IFERROR(INDEX('CRM Source'!$C$5:$C$34,MATCH(A16,'CRM Source'!$A$5:$A$34,0)),""),IF(IFERROR(INDEX('Web Orders Source'!$C$5:$C$34,MATCH(A16,'Web Orders Source'!$A$5:$A$34,0)),"")&lt;&gt;"",IFERROR(INDEX('Web Orders Source'!$C$5:$C$34,MATCH(A16,'Web Orders Source'!$A$5:$A$34,0)),""),IFERROR(INDEX('Support Source'!$C$5:$C$34,MATCH(A16,'Support Source'!$A$5:$A$34,0)),"")))</x:f>
        <x:v>crm12@example.invalid</x:v>
      </x:c>
      <x:c r="D16" s="200" t="str">
        <x:f>IF(IFERROR(INDEX('CRM Source'!$D$5:$D$34,MATCH(A16,'CRM Source'!$A$5:$A$34,0)),"")&lt;&gt;"",IFERROR(INDEX('CRM Source'!$D$5:$D$34,MATCH(A16,'CRM Source'!$A$5:$A$34,0)),""),IF(IFERROR(INDEX('Web Orders Source'!$D$5:$D$34,MATCH(A16,'Web Orders Source'!$A$5:$A$34,0)),"")&lt;&gt;"",IFERROR(INDEX('Web Orders Source'!$D$5:$D$34,MATCH(A16,'Web Orders Source'!$A$5:$A$34,0)),""),IFERROR(INDEX('Support Source'!$D$5:$D$34,MATCH(A16,'Support Source'!$A$5:$A$34,0)),"")))</x:f>
        <x:v>+62-811-000-0012</x:v>
      </x:c>
      <x:c r="E16" s="200" t="str">
        <x:f>IF(IFERROR(INDEX('CRM Source'!$E$5:$E$34,MATCH(A16,'CRM Source'!$A$5:$A$34,0)),"")&lt;&gt;"",IFERROR(INDEX('CRM Source'!$E$5:$E$34,MATCH(A16,'CRM Source'!$A$5:$A$34,0)),""),IF(IFERROR(INDEX('Web Orders Source'!$E$5:$E$34,MATCH(A16,'Web Orders Source'!$A$5:$A$34,0)),"")&lt;&gt;"",IFERROR(INDEX('Web Orders Source'!$E$5:$E$34,MATCH(A16,'Web Orders Source'!$A$5:$A$34,0)),""),IFERROR(INDEX('Support Source'!$E$5:$E$34,MATCH(A16,'Support Source'!$A$5:$A$34,0)),"")))</x:f>
        <x:v>ID</x:v>
      </x:c>
      <x:c r="F16" s="200" t="n">
        <x:f>COUNTIF('CRM Source'!$A$5:$A$34,A16)</x:f>
        <x:v>1</x:v>
      </x:c>
      <x:c r="G16" s="200" t="n">
        <x:f>COUNTIF('Web Orders Source'!$A$5:$A$34,A16)</x:f>
        <x:v>1</x:v>
      </x:c>
      <x:c r="H16" s="200" t="n">
        <x:f>COUNTIF('Support Source'!$A$5:$A$34,A16)</x:f>
        <x:v>1</x:v>
      </x:c>
      <x:c r="I16" s="200" t="str">
        <x:f>IFERROR(INDEX('CRM Source'!$C$5:$C$34,MATCH(A16,'CRM Source'!$A$5:$A$34,0)),"")</x:f>
        <x:v>crm12@example.invalid</x:v>
      </x:c>
      <x:c r="J16" s="200" t="str">
        <x:f>IFERROR(INDEX('Web Orders Source'!$C$5:$C$34,MATCH(A16,'Web Orders Source'!$A$5:$A$34,0)),"")</x:f>
        <x:v>web12@example.invalid</x:v>
      </x:c>
      <x:c r="K16" s="200" t="str">
        <x:f>IFERROR(INDEX('Support Source'!$C$5:$C$34,MATCH(A16,'Support Source'!$A$5:$A$34,0)),"")</x:f>
        <x:v>customer12@example.invalid</x:v>
      </x:c>
      <x:c r="L16" s="200" t="str">
        <x:f>IF(OR(AND(I16&lt;&gt;"",J16&lt;&gt;"",I16&lt;&gt;J16),AND(I16&lt;&gt;"",K16&lt;&gt;"",I16&lt;&gt;K16),AND(J16&lt;&gt;"",K16&lt;&gt;"",J16&lt;&gt;K16)),"Email Conflict","OK")</x:f>
        <x:v>Email Conflict</x:v>
      </x:c>
      <x:c r="M16" s="200" t="str">
        <x:f>IF(OR(AND(IFERROR(INDEX('CRM Source'!$D$5:$D$34,MATCH(A16,'CRM Source'!$A$5:$A$34,0)),"")&lt;&gt;"",IFERROR(INDEX('Web Orders Source'!$D$5:$D$34,MATCH(A16,'Web Orders Source'!$A$5:$A$34,0)),"")&lt;&gt;"",IFERROR(INDEX('CRM Source'!$D$5:$D$34,MATCH(A16,'CRM Source'!$A$5:$A$34,0)),"")&lt;&gt;IFERROR(INDEX('Web Orders Source'!$D$5:$D$34,MATCH(A16,'Web Orders Source'!$A$5:$A$34,0)),"")),AND(IFERROR(INDEX('CRM Source'!$D$5:$D$34,MATCH(A16,'CRM Source'!$A$5:$A$34,0)),"")&lt;&gt;"",IFERROR(INDEX('Support Source'!$D$5:$D$34,MATCH(A16,'Support Source'!$A$5:$A$34,0)),"")&lt;&gt;"",IFERROR(INDEX('CRM Source'!$D$5:$D$34,MATCH(A16,'CRM Source'!$A$5:$A$34,0)),"")&lt;&gt;IFERROR(INDEX('Support Source'!$D$5:$D$34,MATCH(A16,'Support Source'!$A$5:$A$34,0)),""))),"Phone Conflict","OK")</x:f>
        <x:v>OK</x:v>
      </x:c>
      <x:c r="N16" s="200" t="str">
        <x:f>IF(OR(E16="ID",E16="SG"),"OK","Invalid Country")</x:f>
        <x:v>OK</x:v>
      </x:c>
      <x:c r="O16" s="200" t="str">
        <x:f>IF(MAX(F16:H16)&gt;1,"Duplicate Source Key","OK")</x:f>
        <x:v>OK</x:v>
      </x:c>
      <x:c r="P16" s="200" t="str">
        <x:f>IF(OR(L16&lt;&gt;"OK",M16&lt;&gt;"OK",N16&lt;&gt;"OK",O16&lt;&gt;"OK"),IF(O16&lt;&gt;"OK","High Priority Review","Review"),"Ready")</x:f>
        <x:v>Review</x:v>
      </x:c>
      <x:c r="Q16" s="200" t="str">
        <x:f>IF(P16="Ready","No action required","Compare source evidence and obtain written approval")</x:f>
        <x:v>Compare source evidence and obtain written approval</x:v>
      </x:c>
    </x:row>
    <x:row r="17" ht="26" customHeight="1">
      <x:c r="A17" s="202" t="str">
        <x:v>CUST-013</x:v>
      </x:c>
      <x:c r="B17" s="202" t="str">
        <x:f>IF(IFERROR(INDEX('CRM Source'!$B$5:$B$34,MATCH(A17,'CRM Source'!$A$5:$A$34,0)),"")&lt;&gt;"",IFERROR(INDEX('CRM Source'!$B$5:$B$34,MATCH(A17,'CRM Source'!$A$5:$A$34,0)),""),IF(IFERROR(INDEX('Web Orders Source'!$B$5:$B$34,MATCH(A17,'Web Orders Source'!$A$5:$A$34,0)),"")&lt;&gt;"",IFERROR(INDEX('Web Orders Source'!$B$5:$B$34,MATCH(A17,'Web Orders Source'!$A$5:$A$34,0)),""),IFERROR(INDEX('Support Source'!$B$5:$B$34,MATCH(A17,'Support Source'!$A$5:$A$34,0)),"")))</x:f>
        <x:v>Demo Customer 13</x:v>
      </x:c>
      <x:c r="C17" s="202" t="str">
        <x:f>IF(IFERROR(INDEX('CRM Source'!$C$5:$C$34,MATCH(A17,'CRM Source'!$A$5:$A$34,0)),"")&lt;&gt;"",IFERROR(INDEX('CRM Source'!$C$5:$C$34,MATCH(A17,'CRM Source'!$A$5:$A$34,0)),""),IF(IFERROR(INDEX('Web Orders Source'!$C$5:$C$34,MATCH(A17,'Web Orders Source'!$A$5:$A$34,0)),"")&lt;&gt;"",IFERROR(INDEX('Web Orders Source'!$C$5:$C$34,MATCH(A17,'Web Orders Source'!$A$5:$A$34,0)),""),IFERROR(INDEX('Support Source'!$C$5:$C$34,MATCH(A17,'Support Source'!$A$5:$A$34,0)),"")))</x:f>
        <x:v>customer13@example.invalid</x:v>
      </x:c>
      <x:c r="D17" s="202" t="str">
        <x:f>IF(IFERROR(INDEX('CRM Source'!$D$5:$D$34,MATCH(A17,'CRM Source'!$A$5:$A$34,0)),"")&lt;&gt;"",IFERROR(INDEX('CRM Source'!$D$5:$D$34,MATCH(A17,'CRM Source'!$A$5:$A$34,0)),""),IF(IFERROR(INDEX('Web Orders Source'!$D$5:$D$34,MATCH(A17,'Web Orders Source'!$A$5:$A$34,0)),"")&lt;&gt;"",IFERROR(INDEX('Web Orders Source'!$D$5:$D$34,MATCH(A17,'Web Orders Source'!$A$5:$A$34,0)),""),IFERROR(INDEX('Support Source'!$D$5:$D$34,MATCH(A17,'Support Source'!$A$5:$A$34,0)),"")))</x:f>
        <x:v>+62-811-000-0013</x:v>
      </x:c>
      <x:c r="E17" s="202" t="str">
        <x:f>IF(IFERROR(INDEX('CRM Source'!$E$5:$E$34,MATCH(A17,'CRM Source'!$A$5:$A$34,0)),"")&lt;&gt;"",IFERROR(INDEX('CRM Source'!$E$5:$E$34,MATCH(A17,'CRM Source'!$A$5:$A$34,0)),""),IF(IFERROR(INDEX('Web Orders Source'!$E$5:$E$34,MATCH(A17,'Web Orders Source'!$A$5:$A$34,0)),"")&lt;&gt;"",IFERROR(INDEX('Web Orders Source'!$E$5:$E$34,MATCH(A17,'Web Orders Source'!$A$5:$A$34,0)),""),IFERROR(INDEX('Support Source'!$E$5:$E$34,MATCH(A17,'Support Source'!$A$5:$A$34,0)),"")))</x:f>
        <x:v>ID</x:v>
      </x:c>
      <x:c r="F17" s="202" t="n">
        <x:f>COUNTIF('CRM Source'!$A$5:$A$34,A17)</x:f>
        <x:v>1</x:v>
      </x:c>
      <x:c r="G17" s="202" t="n">
        <x:f>COUNTIF('Web Orders Source'!$A$5:$A$34,A17)</x:f>
        <x:v>1</x:v>
      </x:c>
      <x:c r="H17" s="202" t="n">
        <x:f>COUNTIF('Support Source'!$A$5:$A$34,A17)</x:f>
        <x:v>1</x:v>
      </x:c>
      <x:c r="I17" s="202" t="str">
        <x:f>IFERROR(INDEX('CRM Source'!$C$5:$C$34,MATCH(A17,'CRM Source'!$A$5:$A$34,0)),"")</x:f>
        <x:v>customer13@example.invalid</x:v>
      </x:c>
      <x:c r="J17" s="202" t="str">
        <x:f>IFERROR(INDEX('Web Orders Source'!$C$5:$C$34,MATCH(A17,'Web Orders Source'!$A$5:$A$34,0)),"")</x:f>
        <x:v>customer13@example.invalid</x:v>
      </x:c>
      <x:c r="K17" s="202" t="str">
        <x:f>IFERROR(INDEX('Support Source'!$C$5:$C$34,MATCH(A17,'Support Source'!$A$5:$A$34,0)),"")</x:f>
        <x:v>customer13@example.invalid</x:v>
      </x:c>
      <x:c r="L17" s="202" t="str">
        <x:f>IF(OR(AND(I17&lt;&gt;"",J17&lt;&gt;"",I17&lt;&gt;J17),AND(I17&lt;&gt;"",K17&lt;&gt;"",I17&lt;&gt;K17),AND(J17&lt;&gt;"",K17&lt;&gt;"",J17&lt;&gt;K17)),"Email Conflict","OK")</x:f>
        <x:v>OK</x:v>
      </x:c>
      <x:c r="M17" s="202" t="str">
        <x:f>IF(OR(AND(IFERROR(INDEX('CRM Source'!$D$5:$D$34,MATCH(A17,'CRM Source'!$A$5:$A$34,0)),"")&lt;&gt;"",IFERROR(INDEX('Web Orders Source'!$D$5:$D$34,MATCH(A17,'Web Orders Source'!$A$5:$A$34,0)),"")&lt;&gt;"",IFERROR(INDEX('CRM Source'!$D$5:$D$34,MATCH(A17,'CRM Source'!$A$5:$A$34,0)),"")&lt;&gt;IFERROR(INDEX('Web Orders Source'!$D$5:$D$34,MATCH(A17,'Web Orders Source'!$A$5:$A$34,0)),"")),AND(IFERROR(INDEX('CRM Source'!$D$5:$D$34,MATCH(A17,'CRM Source'!$A$5:$A$34,0)),"")&lt;&gt;"",IFERROR(INDEX('Support Source'!$D$5:$D$34,MATCH(A17,'Support Source'!$A$5:$A$34,0)),"")&lt;&gt;"",IFERROR(INDEX('CRM Source'!$D$5:$D$34,MATCH(A17,'CRM Source'!$A$5:$A$34,0)),"")&lt;&gt;IFERROR(INDEX('Support Source'!$D$5:$D$34,MATCH(A17,'Support Source'!$A$5:$A$34,0)),""))),"Phone Conflict","OK")</x:f>
        <x:v>OK</x:v>
      </x:c>
      <x:c r="N17" s="202" t="str">
        <x:f>IF(OR(E17="ID",E17="SG"),"OK","Invalid Country")</x:f>
        <x:v>OK</x:v>
      </x:c>
      <x:c r="O17" s="202" t="str">
        <x:f>IF(MAX(F17:H17)&gt;1,"Duplicate Source Key","OK")</x:f>
        <x:v>OK</x:v>
      </x:c>
      <x:c r="P17" s="202" t="str">
        <x:f>IF(OR(L17&lt;&gt;"OK",M17&lt;&gt;"OK",N17&lt;&gt;"OK",O17&lt;&gt;"OK"),IF(O17&lt;&gt;"OK","High Priority Review","Review"),"Ready")</x:f>
        <x:v>Ready</x:v>
      </x:c>
      <x:c r="Q17" s="202" t="str">
        <x:f>IF(P17="Ready","No action required","Compare source evidence and obtain written approval")</x:f>
        <x:v>No action required</x:v>
      </x:c>
    </x:row>
    <x:row r="18" ht="26" customHeight="1">
      <x:c r="A18" s="200" t="str">
        <x:v>CUST-014</x:v>
      </x:c>
      <x:c r="B18" s="200" t="str">
        <x:f>IF(IFERROR(INDEX('CRM Source'!$B$5:$B$34,MATCH(A18,'CRM Source'!$A$5:$A$34,0)),"")&lt;&gt;"",IFERROR(INDEX('CRM Source'!$B$5:$B$34,MATCH(A18,'CRM Source'!$A$5:$A$34,0)),""),IF(IFERROR(INDEX('Web Orders Source'!$B$5:$B$34,MATCH(A18,'Web Orders Source'!$A$5:$A$34,0)),"")&lt;&gt;"",IFERROR(INDEX('Web Orders Source'!$B$5:$B$34,MATCH(A18,'Web Orders Source'!$A$5:$A$34,0)),""),IFERROR(INDEX('Support Source'!$B$5:$B$34,MATCH(A18,'Support Source'!$A$5:$A$34,0)),"")))</x:f>
        <x:v>Demo Customer 14</x:v>
      </x:c>
      <x:c r="C18" s="200" t="str">
        <x:f>IF(IFERROR(INDEX('CRM Source'!$C$5:$C$34,MATCH(A18,'CRM Source'!$A$5:$A$34,0)),"")&lt;&gt;"",IFERROR(INDEX('CRM Source'!$C$5:$C$34,MATCH(A18,'CRM Source'!$A$5:$A$34,0)),""),IF(IFERROR(INDEX('Web Orders Source'!$C$5:$C$34,MATCH(A18,'Web Orders Source'!$A$5:$A$34,0)),"")&lt;&gt;"",IFERROR(INDEX('Web Orders Source'!$C$5:$C$34,MATCH(A18,'Web Orders Source'!$A$5:$A$34,0)),""),IFERROR(INDEX('Support Source'!$C$5:$C$34,MATCH(A18,'Support Source'!$A$5:$A$34,0)),"")))</x:f>
        <x:v>customer14@example.invalid</x:v>
      </x:c>
      <x:c r="D18" s="200" t="str">
        <x:f>IF(IFERROR(INDEX('CRM Source'!$D$5:$D$34,MATCH(A18,'CRM Source'!$A$5:$A$34,0)),"")&lt;&gt;"",IFERROR(INDEX('CRM Source'!$D$5:$D$34,MATCH(A18,'CRM Source'!$A$5:$A$34,0)),""),IF(IFERROR(INDEX('Web Orders Source'!$D$5:$D$34,MATCH(A18,'Web Orders Source'!$A$5:$A$34,0)),"")&lt;&gt;"",IFERROR(INDEX('Web Orders Source'!$D$5:$D$34,MATCH(A18,'Web Orders Source'!$A$5:$A$34,0)),""),IFERROR(INDEX('Support Source'!$D$5:$D$34,MATCH(A18,'Support Source'!$A$5:$A$34,0)),"")))</x:f>
        <x:v>+62-811-000-0014</x:v>
      </x:c>
      <x:c r="E18" s="200" t="str">
        <x:f>IF(IFERROR(INDEX('CRM Source'!$E$5:$E$34,MATCH(A18,'CRM Source'!$A$5:$A$34,0)),"")&lt;&gt;"",IFERROR(INDEX('CRM Source'!$E$5:$E$34,MATCH(A18,'CRM Source'!$A$5:$A$34,0)),""),IF(IFERROR(INDEX('Web Orders Source'!$E$5:$E$34,MATCH(A18,'Web Orders Source'!$A$5:$A$34,0)),"")&lt;&gt;"",IFERROR(INDEX('Web Orders Source'!$E$5:$E$34,MATCH(A18,'Web Orders Source'!$A$5:$A$34,0)),""),IFERROR(INDEX('Support Source'!$E$5:$E$34,MATCH(A18,'Support Source'!$A$5:$A$34,0)),"")))</x:f>
        <x:v>ID</x:v>
      </x:c>
      <x:c r="F18" s="200" t="n">
        <x:f>COUNTIF('CRM Source'!$A$5:$A$34,A18)</x:f>
        <x:v>1</x:v>
      </x:c>
      <x:c r="G18" s="200" t="n">
        <x:f>COUNTIF('Web Orders Source'!$A$5:$A$34,A18)</x:f>
        <x:v>1</x:v>
      </x:c>
      <x:c r="H18" s="200" t="n">
        <x:f>COUNTIF('Support Source'!$A$5:$A$34,A18)</x:f>
        <x:v>1</x:v>
      </x:c>
      <x:c r="I18" s="200" t="str">
        <x:f>IFERROR(INDEX('CRM Source'!$C$5:$C$34,MATCH(A18,'CRM Source'!$A$5:$A$34,0)),"")</x:f>
        <x:v>customer14@example.invalid</x:v>
      </x:c>
      <x:c r="J18" s="200" t="str">
        <x:f>IFERROR(INDEX('Web Orders Source'!$C$5:$C$34,MATCH(A18,'Web Orders Source'!$A$5:$A$34,0)),"")</x:f>
        <x:v>customer14@example.invalid</x:v>
      </x:c>
      <x:c r="K18" s="200" t="str">
        <x:f>IFERROR(INDEX('Support Source'!$C$5:$C$34,MATCH(A18,'Support Source'!$A$5:$A$34,0)),"")</x:f>
        <x:v>customer14@example.invalid</x:v>
      </x:c>
      <x:c r="L18" s="200" t="str">
        <x:f>IF(OR(AND(I18&lt;&gt;"",J18&lt;&gt;"",I18&lt;&gt;J18),AND(I18&lt;&gt;"",K18&lt;&gt;"",I18&lt;&gt;K18),AND(J18&lt;&gt;"",K18&lt;&gt;"",J18&lt;&gt;K18)),"Email Conflict","OK")</x:f>
        <x:v>OK</x:v>
      </x:c>
      <x:c r="M18" s="200" t="str">
        <x:f>IF(OR(AND(IFERROR(INDEX('CRM Source'!$D$5:$D$34,MATCH(A18,'CRM Source'!$A$5:$A$34,0)),"")&lt;&gt;"",IFERROR(INDEX('Web Orders Source'!$D$5:$D$34,MATCH(A18,'Web Orders Source'!$A$5:$A$34,0)),"")&lt;&gt;"",IFERROR(INDEX('CRM Source'!$D$5:$D$34,MATCH(A18,'CRM Source'!$A$5:$A$34,0)),"")&lt;&gt;IFERROR(INDEX('Web Orders Source'!$D$5:$D$34,MATCH(A18,'Web Orders Source'!$A$5:$A$34,0)),"")),AND(IFERROR(INDEX('CRM Source'!$D$5:$D$34,MATCH(A18,'CRM Source'!$A$5:$A$34,0)),"")&lt;&gt;"",IFERROR(INDEX('Support Source'!$D$5:$D$34,MATCH(A18,'Support Source'!$A$5:$A$34,0)),"")&lt;&gt;"",IFERROR(INDEX('CRM Source'!$D$5:$D$34,MATCH(A18,'CRM Source'!$A$5:$A$34,0)),"")&lt;&gt;IFERROR(INDEX('Support Source'!$D$5:$D$34,MATCH(A18,'Support Source'!$A$5:$A$34,0)),""))),"Phone Conflict","OK")</x:f>
        <x:v>OK</x:v>
      </x:c>
      <x:c r="N18" s="200" t="str">
        <x:f>IF(OR(E18="ID",E18="SG"),"OK","Invalid Country")</x:f>
        <x:v>OK</x:v>
      </x:c>
      <x:c r="O18" s="200" t="str">
        <x:f>IF(MAX(F18:H18)&gt;1,"Duplicate Source Key","OK")</x:f>
        <x:v>OK</x:v>
      </x:c>
      <x:c r="P18" s="200" t="str">
        <x:f>IF(OR(L18&lt;&gt;"OK",M18&lt;&gt;"OK",N18&lt;&gt;"OK",O18&lt;&gt;"OK"),IF(O18&lt;&gt;"OK","High Priority Review","Review"),"Ready")</x:f>
        <x:v>Ready</x:v>
      </x:c>
      <x:c r="Q18" s="200" t="str">
        <x:f>IF(P18="Ready","No action required","Compare source evidence and obtain written approval")</x:f>
        <x:v>No action required</x:v>
      </x:c>
    </x:row>
    <x:row r="19" ht="26" customHeight="1">
      <x:c r="A19" s="202" t="str">
        <x:v>CUST-015</x:v>
      </x:c>
      <x:c r="B19" s="202" t="str">
        <x:f>IF(IFERROR(INDEX('CRM Source'!$B$5:$B$34,MATCH(A19,'CRM Source'!$A$5:$A$34,0)),"")&lt;&gt;"",IFERROR(INDEX('CRM Source'!$B$5:$B$34,MATCH(A19,'CRM Source'!$A$5:$A$34,0)),""),IF(IFERROR(INDEX('Web Orders Source'!$B$5:$B$34,MATCH(A19,'Web Orders Source'!$A$5:$A$34,0)),"")&lt;&gt;"",IFERROR(INDEX('Web Orders Source'!$B$5:$B$34,MATCH(A19,'Web Orders Source'!$A$5:$A$34,0)),""),IFERROR(INDEX('Support Source'!$B$5:$B$34,MATCH(A19,'Support Source'!$A$5:$A$34,0)),"")))</x:f>
        <x:v>Demo Customer 15</x:v>
      </x:c>
      <x:c r="C19" s="202" t="str">
        <x:f>IF(IFERROR(INDEX('CRM Source'!$C$5:$C$34,MATCH(A19,'CRM Source'!$A$5:$A$34,0)),"")&lt;&gt;"",IFERROR(INDEX('CRM Source'!$C$5:$C$34,MATCH(A19,'CRM Source'!$A$5:$A$34,0)),""),IF(IFERROR(INDEX('Web Orders Source'!$C$5:$C$34,MATCH(A19,'Web Orders Source'!$A$5:$A$34,0)),"")&lt;&gt;"",IFERROR(INDEX('Web Orders Source'!$C$5:$C$34,MATCH(A19,'Web Orders Source'!$A$5:$A$34,0)),""),IFERROR(INDEX('Support Source'!$C$5:$C$34,MATCH(A19,'Support Source'!$A$5:$A$34,0)),"")))</x:f>
        <x:v>customer15@example.invalid</x:v>
      </x:c>
      <x:c r="D19" s="202" t="str">
        <x:f>IF(IFERROR(INDEX('CRM Source'!$D$5:$D$34,MATCH(A19,'CRM Source'!$A$5:$A$34,0)),"")&lt;&gt;"",IFERROR(INDEX('CRM Source'!$D$5:$D$34,MATCH(A19,'CRM Source'!$A$5:$A$34,0)),""),IF(IFERROR(INDEX('Web Orders Source'!$D$5:$D$34,MATCH(A19,'Web Orders Source'!$A$5:$A$34,0)),"")&lt;&gt;"",IFERROR(INDEX('Web Orders Source'!$D$5:$D$34,MATCH(A19,'Web Orders Source'!$A$5:$A$34,0)),""),IFERROR(INDEX('Support Source'!$D$5:$D$34,MATCH(A19,'Support Source'!$A$5:$A$34,0)),"")))</x:f>
        <x:v>+62-812-CRM-15</x:v>
      </x:c>
      <x:c r="E19" s="202" t="str">
        <x:f>IF(IFERROR(INDEX('CRM Source'!$E$5:$E$34,MATCH(A19,'CRM Source'!$A$5:$A$34,0)),"")&lt;&gt;"",IFERROR(INDEX('CRM Source'!$E$5:$E$34,MATCH(A19,'CRM Source'!$A$5:$A$34,0)),""),IF(IFERROR(INDEX('Web Orders Source'!$E$5:$E$34,MATCH(A19,'Web Orders Source'!$A$5:$A$34,0)),"")&lt;&gt;"",IFERROR(INDEX('Web Orders Source'!$E$5:$E$34,MATCH(A19,'Web Orders Source'!$A$5:$A$34,0)),""),IFERROR(INDEX('Support Source'!$E$5:$E$34,MATCH(A19,'Support Source'!$A$5:$A$34,0)),"")))</x:f>
        <x:v>SG</x:v>
      </x:c>
      <x:c r="F19" s="202" t="n">
        <x:f>COUNTIF('CRM Source'!$A$5:$A$34,A19)</x:f>
        <x:v>1</x:v>
      </x:c>
      <x:c r="G19" s="202" t="n">
        <x:f>COUNTIF('Web Orders Source'!$A$5:$A$34,A19)</x:f>
        <x:v>1</x:v>
      </x:c>
      <x:c r="H19" s="202" t="n">
        <x:f>COUNTIF('Support Source'!$A$5:$A$34,A19)</x:f>
        <x:v>1</x:v>
      </x:c>
      <x:c r="I19" s="202" t="str">
        <x:f>IFERROR(INDEX('CRM Source'!$C$5:$C$34,MATCH(A19,'CRM Source'!$A$5:$A$34,0)),"")</x:f>
        <x:v>customer15@example.invalid</x:v>
      </x:c>
      <x:c r="J19" s="202" t="str">
        <x:f>IFERROR(INDEX('Web Orders Source'!$C$5:$C$34,MATCH(A19,'Web Orders Source'!$A$5:$A$34,0)),"")</x:f>
        <x:v>customer15@example.invalid</x:v>
      </x:c>
      <x:c r="K19" s="202" t="str">
        <x:f>IFERROR(INDEX('Support Source'!$C$5:$C$34,MATCH(A19,'Support Source'!$A$5:$A$34,0)),"")</x:f>
        <x:v>customer15@example.invalid</x:v>
      </x:c>
      <x:c r="L19" s="202" t="str">
        <x:f>IF(OR(AND(I19&lt;&gt;"",J19&lt;&gt;"",I19&lt;&gt;J19),AND(I19&lt;&gt;"",K19&lt;&gt;"",I19&lt;&gt;K19),AND(J19&lt;&gt;"",K19&lt;&gt;"",J19&lt;&gt;K19)),"Email Conflict","OK")</x:f>
        <x:v>OK</x:v>
      </x:c>
      <x:c r="M19" s="202" t="str">
        <x:f>IF(OR(AND(IFERROR(INDEX('CRM Source'!$D$5:$D$34,MATCH(A19,'CRM Source'!$A$5:$A$34,0)),"")&lt;&gt;"",IFERROR(INDEX('Web Orders Source'!$D$5:$D$34,MATCH(A19,'Web Orders Source'!$A$5:$A$34,0)),"")&lt;&gt;"",IFERROR(INDEX('CRM Source'!$D$5:$D$34,MATCH(A19,'CRM Source'!$A$5:$A$34,0)),"")&lt;&gt;IFERROR(INDEX('Web Orders Source'!$D$5:$D$34,MATCH(A19,'Web Orders Source'!$A$5:$A$34,0)),"")),AND(IFERROR(INDEX('CRM Source'!$D$5:$D$34,MATCH(A19,'CRM Source'!$A$5:$A$34,0)),"")&lt;&gt;"",IFERROR(INDEX('Support Source'!$D$5:$D$34,MATCH(A19,'Support Source'!$A$5:$A$34,0)),"")&lt;&gt;"",IFERROR(INDEX('CRM Source'!$D$5:$D$34,MATCH(A19,'CRM Source'!$A$5:$A$34,0)),"")&lt;&gt;IFERROR(INDEX('Support Source'!$D$5:$D$34,MATCH(A19,'Support Source'!$A$5:$A$34,0)),""))),"Phone Conflict","OK")</x:f>
        <x:v>Phone Conflict</x:v>
      </x:c>
      <x:c r="N19" s="202" t="str">
        <x:f>IF(OR(E19="ID",E19="SG"),"OK","Invalid Country")</x:f>
        <x:v>OK</x:v>
      </x:c>
      <x:c r="O19" s="202" t="str">
        <x:f>IF(MAX(F19:H19)&gt;1,"Duplicate Source Key","OK")</x:f>
        <x:v>OK</x:v>
      </x:c>
      <x:c r="P19" s="202" t="str">
        <x:f>IF(OR(L19&lt;&gt;"OK",M19&lt;&gt;"OK",N19&lt;&gt;"OK",O19&lt;&gt;"OK"),IF(O19&lt;&gt;"OK","High Priority Review","Review"),"Ready")</x:f>
        <x:v>Review</x:v>
      </x:c>
      <x:c r="Q19" s="202" t="str">
        <x:f>IF(P19="Ready","No action required","Compare source evidence and obtain written approval")</x:f>
        <x:v>Compare source evidence and obtain written approval</x:v>
      </x:c>
    </x:row>
    <x:row r="20" ht="26" customHeight="1">
      <x:c r="A20" s="200" t="str">
        <x:v>CUST-016</x:v>
      </x:c>
      <x:c r="B20" s="200" t="str">
        <x:f>IF(IFERROR(INDEX('CRM Source'!$B$5:$B$34,MATCH(A20,'CRM Source'!$A$5:$A$34,0)),"")&lt;&gt;"",IFERROR(INDEX('CRM Source'!$B$5:$B$34,MATCH(A20,'CRM Source'!$A$5:$A$34,0)),""),IF(IFERROR(INDEX('Web Orders Source'!$B$5:$B$34,MATCH(A20,'Web Orders Source'!$A$5:$A$34,0)),"")&lt;&gt;"",IFERROR(INDEX('Web Orders Source'!$B$5:$B$34,MATCH(A20,'Web Orders Source'!$A$5:$A$34,0)),""),IFERROR(INDEX('Support Source'!$B$5:$B$34,MATCH(A20,'Support Source'!$A$5:$A$34,0)),"")))</x:f>
        <x:v>Demo Customer 16</x:v>
      </x:c>
      <x:c r="C20" s="200" t="str">
        <x:f>IF(IFERROR(INDEX('CRM Source'!$C$5:$C$34,MATCH(A20,'CRM Source'!$A$5:$A$34,0)),"")&lt;&gt;"",IFERROR(INDEX('CRM Source'!$C$5:$C$34,MATCH(A20,'CRM Source'!$A$5:$A$34,0)),""),IF(IFERROR(INDEX('Web Orders Source'!$C$5:$C$34,MATCH(A20,'Web Orders Source'!$A$5:$A$34,0)),"")&lt;&gt;"",IFERROR(INDEX('Web Orders Source'!$C$5:$C$34,MATCH(A20,'Web Orders Source'!$A$5:$A$34,0)),""),IFERROR(INDEX('Support Source'!$C$5:$C$34,MATCH(A20,'Support Source'!$A$5:$A$34,0)),"")))</x:f>
        <x:v>customer16@example.invalid</x:v>
      </x:c>
      <x:c r="D20" s="200" t="str">
        <x:f>IF(IFERROR(INDEX('CRM Source'!$D$5:$D$34,MATCH(A20,'CRM Source'!$A$5:$A$34,0)),"")&lt;&gt;"",IFERROR(INDEX('CRM Source'!$D$5:$D$34,MATCH(A20,'CRM Source'!$A$5:$A$34,0)),""),IF(IFERROR(INDEX('Web Orders Source'!$D$5:$D$34,MATCH(A20,'Web Orders Source'!$A$5:$A$34,0)),"")&lt;&gt;"",IFERROR(INDEX('Web Orders Source'!$D$5:$D$34,MATCH(A20,'Web Orders Source'!$A$5:$A$34,0)),""),IFERROR(INDEX('Support Source'!$D$5:$D$34,MATCH(A20,'Support Source'!$A$5:$A$34,0)),"")))</x:f>
        <x:v>+62-811-000-0016</x:v>
      </x:c>
      <x:c r="E20" s="200" t="str">
        <x:f>IF(IFERROR(INDEX('CRM Source'!$E$5:$E$34,MATCH(A20,'CRM Source'!$A$5:$A$34,0)),"")&lt;&gt;"",IFERROR(INDEX('CRM Source'!$E$5:$E$34,MATCH(A20,'CRM Source'!$A$5:$A$34,0)),""),IF(IFERROR(INDEX('Web Orders Source'!$E$5:$E$34,MATCH(A20,'Web Orders Source'!$A$5:$A$34,0)),"")&lt;&gt;"",IFERROR(INDEX('Web Orders Source'!$E$5:$E$34,MATCH(A20,'Web Orders Source'!$A$5:$A$34,0)),""),IFERROR(INDEX('Support Source'!$E$5:$E$34,MATCH(A20,'Support Source'!$A$5:$A$34,0)),"")))</x:f>
        <x:v>ID</x:v>
      </x:c>
      <x:c r="F20" s="200" t="n">
        <x:f>COUNTIF('CRM Source'!$A$5:$A$34,A20)</x:f>
        <x:v>1</x:v>
      </x:c>
      <x:c r="G20" s="200" t="n">
        <x:f>COUNTIF('Web Orders Source'!$A$5:$A$34,A20)</x:f>
        <x:v>1</x:v>
      </x:c>
      <x:c r="H20" s="200" t="n">
        <x:f>COUNTIF('Support Source'!$A$5:$A$34,A20)</x:f>
        <x:v>1</x:v>
      </x:c>
      <x:c r="I20" s="200" t="str">
        <x:f>IFERROR(INDEX('CRM Source'!$C$5:$C$34,MATCH(A20,'CRM Source'!$A$5:$A$34,0)),"")</x:f>
        <x:v>customer16@example.invalid</x:v>
      </x:c>
      <x:c r="J20" s="200" t="str">
        <x:f>IFERROR(INDEX('Web Orders Source'!$C$5:$C$34,MATCH(A20,'Web Orders Source'!$A$5:$A$34,0)),"")</x:f>
        <x:v>customer16@example.invalid</x:v>
      </x:c>
      <x:c r="K20" s="200" t="str">
        <x:f>IFERROR(INDEX('Support Source'!$C$5:$C$34,MATCH(A20,'Support Source'!$A$5:$A$34,0)),"")</x:f>
        <x:v>customer16@example.invalid</x:v>
      </x:c>
      <x:c r="L20" s="200" t="str">
        <x:f>IF(OR(AND(I20&lt;&gt;"",J20&lt;&gt;"",I20&lt;&gt;J20),AND(I20&lt;&gt;"",K20&lt;&gt;"",I20&lt;&gt;K20),AND(J20&lt;&gt;"",K20&lt;&gt;"",J20&lt;&gt;K20)),"Email Conflict","OK")</x:f>
        <x:v>OK</x:v>
      </x:c>
      <x:c r="M20" s="200" t="str">
        <x:f>IF(OR(AND(IFERROR(INDEX('CRM Source'!$D$5:$D$34,MATCH(A20,'CRM Source'!$A$5:$A$34,0)),"")&lt;&gt;"",IFERROR(INDEX('Web Orders Source'!$D$5:$D$34,MATCH(A20,'Web Orders Source'!$A$5:$A$34,0)),"")&lt;&gt;"",IFERROR(INDEX('CRM Source'!$D$5:$D$34,MATCH(A20,'CRM Source'!$A$5:$A$34,0)),"")&lt;&gt;IFERROR(INDEX('Web Orders Source'!$D$5:$D$34,MATCH(A20,'Web Orders Source'!$A$5:$A$34,0)),"")),AND(IFERROR(INDEX('CRM Source'!$D$5:$D$34,MATCH(A20,'CRM Source'!$A$5:$A$34,0)),"")&lt;&gt;"",IFERROR(INDEX('Support Source'!$D$5:$D$34,MATCH(A20,'Support Source'!$A$5:$A$34,0)),"")&lt;&gt;"",IFERROR(INDEX('CRM Source'!$D$5:$D$34,MATCH(A20,'CRM Source'!$A$5:$A$34,0)),"")&lt;&gt;IFERROR(INDEX('Support Source'!$D$5:$D$34,MATCH(A20,'Support Source'!$A$5:$A$34,0)),""))),"Phone Conflict","OK")</x:f>
        <x:v>OK</x:v>
      </x:c>
      <x:c r="N20" s="200" t="str">
        <x:f>IF(OR(E20="ID",E20="SG"),"OK","Invalid Country")</x:f>
        <x:v>OK</x:v>
      </x:c>
      <x:c r="O20" s="200" t="str">
        <x:f>IF(MAX(F20:H20)&gt;1,"Duplicate Source Key","OK")</x:f>
        <x:v>OK</x:v>
      </x:c>
      <x:c r="P20" s="200" t="str">
        <x:f>IF(OR(L20&lt;&gt;"OK",M20&lt;&gt;"OK",N20&lt;&gt;"OK",O20&lt;&gt;"OK"),IF(O20&lt;&gt;"OK","High Priority Review","Review"),"Ready")</x:f>
        <x:v>Ready</x:v>
      </x:c>
      <x:c r="Q20" s="200" t="str">
        <x:f>IF(P20="Ready","No action required","Compare source evidence and obtain written approval")</x:f>
        <x:v>No action required</x:v>
      </x:c>
    </x:row>
    <x:row r="21" ht="26" customHeight="1">
      <x:c r="A21" s="202" t="str">
        <x:v>CUST-017</x:v>
      </x:c>
      <x:c r="B21" s="202" t="str">
        <x:f>IF(IFERROR(INDEX('CRM Source'!$B$5:$B$34,MATCH(A21,'CRM Source'!$A$5:$A$34,0)),"")&lt;&gt;"",IFERROR(INDEX('CRM Source'!$B$5:$B$34,MATCH(A21,'CRM Source'!$A$5:$A$34,0)),""),IF(IFERROR(INDEX('Web Orders Source'!$B$5:$B$34,MATCH(A21,'Web Orders Source'!$A$5:$A$34,0)),"")&lt;&gt;"",IFERROR(INDEX('Web Orders Source'!$B$5:$B$34,MATCH(A21,'Web Orders Source'!$A$5:$A$34,0)),""),IFERROR(INDEX('Support Source'!$B$5:$B$34,MATCH(A21,'Support Source'!$A$5:$A$34,0)),"")))</x:f>
        <x:v>Demo Customer 17</x:v>
      </x:c>
      <x:c r="C21" s="202" t="str">
        <x:f>IF(IFERROR(INDEX('CRM Source'!$C$5:$C$34,MATCH(A21,'CRM Source'!$A$5:$A$34,0)),"")&lt;&gt;"",IFERROR(INDEX('CRM Source'!$C$5:$C$34,MATCH(A21,'CRM Source'!$A$5:$A$34,0)),""),IF(IFERROR(INDEX('Web Orders Source'!$C$5:$C$34,MATCH(A21,'Web Orders Source'!$A$5:$A$34,0)),"")&lt;&gt;"",IFERROR(INDEX('Web Orders Source'!$C$5:$C$34,MATCH(A21,'Web Orders Source'!$A$5:$A$34,0)),""),IFERROR(INDEX('Support Source'!$C$5:$C$34,MATCH(A21,'Support Source'!$A$5:$A$34,0)),"")))</x:f>
        <x:v>customer17@example.invalid</x:v>
      </x:c>
      <x:c r="D21" s="202" t="str">
        <x:f>IF(IFERROR(INDEX('CRM Source'!$D$5:$D$34,MATCH(A21,'CRM Source'!$A$5:$A$34,0)),"")&lt;&gt;"",IFERROR(INDEX('CRM Source'!$D$5:$D$34,MATCH(A21,'CRM Source'!$A$5:$A$34,0)),""),IF(IFERROR(INDEX('Web Orders Source'!$D$5:$D$34,MATCH(A21,'Web Orders Source'!$A$5:$A$34,0)),"")&lt;&gt;"",IFERROR(INDEX('Web Orders Source'!$D$5:$D$34,MATCH(A21,'Web Orders Source'!$A$5:$A$34,0)),""),IFERROR(INDEX('Support Source'!$D$5:$D$34,MATCH(A21,'Support Source'!$A$5:$A$34,0)),"")))</x:f>
        <x:v>+62-811-000-0017</x:v>
      </x:c>
      <x:c r="E21" s="202" t="str">
        <x:f>IF(IFERROR(INDEX('CRM Source'!$E$5:$E$34,MATCH(A21,'CRM Source'!$A$5:$A$34,0)),"")&lt;&gt;"",IFERROR(INDEX('CRM Source'!$E$5:$E$34,MATCH(A21,'CRM Source'!$A$5:$A$34,0)),""),IF(IFERROR(INDEX('Web Orders Source'!$E$5:$E$34,MATCH(A21,'Web Orders Source'!$A$5:$A$34,0)),"")&lt;&gt;"",IFERROR(INDEX('Web Orders Source'!$E$5:$E$34,MATCH(A21,'Web Orders Source'!$A$5:$A$34,0)),""),IFERROR(INDEX('Support Source'!$E$5:$E$34,MATCH(A21,'Support Source'!$A$5:$A$34,0)),"")))</x:f>
        <x:v>ID</x:v>
      </x:c>
      <x:c r="F21" s="202" t="n">
        <x:f>COUNTIF('CRM Source'!$A$5:$A$34,A21)</x:f>
        <x:v>1</x:v>
      </x:c>
      <x:c r="G21" s="202" t="n">
        <x:f>COUNTIF('Web Orders Source'!$A$5:$A$34,A21)</x:f>
        <x:v>1</x:v>
      </x:c>
      <x:c r="H21" s="202" t="n">
        <x:f>COUNTIF('Support Source'!$A$5:$A$34,A21)</x:f>
        <x:v>1</x:v>
      </x:c>
      <x:c r="I21" s="202" t="str">
        <x:f>IFERROR(INDEX('CRM Source'!$C$5:$C$34,MATCH(A21,'CRM Source'!$A$5:$A$34,0)),"")</x:f>
        <x:v>customer17@example.invalid</x:v>
      </x:c>
      <x:c r="J21" s="202" t="str">
        <x:f>IFERROR(INDEX('Web Orders Source'!$C$5:$C$34,MATCH(A21,'Web Orders Source'!$A$5:$A$34,0)),"")</x:f>
        <x:v>customer17@example.invalid</x:v>
      </x:c>
      <x:c r="K21" s="202" t="str">
        <x:f>IFERROR(INDEX('Support Source'!$C$5:$C$34,MATCH(A21,'Support Source'!$A$5:$A$34,0)),"")</x:f>
        <x:v>customer17@example.invalid</x:v>
      </x:c>
      <x:c r="L21" s="202" t="str">
        <x:f>IF(OR(AND(I21&lt;&gt;"",J21&lt;&gt;"",I21&lt;&gt;J21),AND(I21&lt;&gt;"",K21&lt;&gt;"",I21&lt;&gt;K21),AND(J21&lt;&gt;"",K21&lt;&gt;"",J21&lt;&gt;K21)),"Email Conflict","OK")</x:f>
        <x:v>OK</x:v>
      </x:c>
      <x:c r="M21" s="202" t="str">
        <x:f>IF(OR(AND(IFERROR(INDEX('CRM Source'!$D$5:$D$34,MATCH(A21,'CRM Source'!$A$5:$A$34,0)),"")&lt;&gt;"",IFERROR(INDEX('Web Orders Source'!$D$5:$D$34,MATCH(A21,'Web Orders Source'!$A$5:$A$34,0)),"")&lt;&gt;"",IFERROR(INDEX('CRM Source'!$D$5:$D$34,MATCH(A21,'CRM Source'!$A$5:$A$34,0)),"")&lt;&gt;IFERROR(INDEX('Web Orders Source'!$D$5:$D$34,MATCH(A21,'Web Orders Source'!$A$5:$A$34,0)),"")),AND(IFERROR(INDEX('CRM Source'!$D$5:$D$34,MATCH(A21,'CRM Source'!$A$5:$A$34,0)),"")&lt;&gt;"",IFERROR(INDEX('Support Source'!$D$5:$D$34,MATCH(A21,'Support Source'!$A$5:$A$34,0)),"")&lt;&gt;"",IFERROR(INDEX('CRM Source'!$D$5:$D$34,MATCH(A21,'CRM Source'!$A$5:$A$34,0)),"")&lt;&gt;IFERROR(INDEX('Support Source'!$D$5:$D$34,MATCH(A21,'Support Source'!$A$5:$A$34,0)),""))),"Phone Conflict","OK")</x:f>
        <x:v>OK</x:v>
      </x:c>
      <x:c r="N21" s="202" t="str">
        <x:f>IF(OR(E21="ID",E21="SG"),"OK","Invalid Country")</x:f>
        <x:v>OK</x:v>
      </x:c>
      <x:c r="O21" s="202" t="str">
        <x:f>IF(MAX(F21:H21)&gt;1,"Duplicate Source Key","OK")</x:f>
        <x:v>OK</x:v>
      </x:c>
      <x:c r="P21" s="202" t="str">
        <x:f>IF(OR(L21&lt;&gt;"OK",M21&lt;&gt;"OK",N21&lt;&gt;"OK",O21&lt;&gt;"OK"),IF(O21&lt;&gt;"OK","High Priority Review","Review"),"Ready")</x:f>
        <x:v>Ready</x:v>
      </x:c>
      <x:c r="Q21" s="202" t="str">
        <x:f>IF(P21="Ready","No action required","Compare source evidence and obtain written approval")</x:f>
        <x:v>No action required</x:v>
      </x:c>
    </x:row>
    <x:row r="22" ht="26" customHeight="1">
      <x:c r="A22" s="200" t="str">
        <x:v>CUST-018</x:v>
      </x:c>
      <x:c r="B22" s="200" t="str">
        <x:f>IF(IFERROR(INDEX('CRM Source'!$B$5:$B$34,MATCH(A22,'CRM Source'!$A$5:$A$34,0)),"")&lt;&gt;"",IFERROR(INDEX('CRM Source'!$B$5:$B$34,MATCH(A22,'CRM Source'!$A$5:$A$34,0)),""),IF(IFERROR(INDEX('Web Orders Source'!$B$5:$B$34,MATCH(A22,'Web Orders Source'!$A$5:$A$34,0)),"")&lt;&gt;"",IFERROR(INDEX('Web Orders Source'!$B$5:$B$34,MATCH(A22,'Web Orders Source'!$A$5:$A$34,0)),""),IFERROR(INDEX('Support Source'!$B$5:$B$34,MATCH(A22,'Support Source'!$A$5:$A$34,0)),"")))</x:f>
        <x:v>Demo Customer 18</x:v>
      </x:c>
      <x:c r="C22" s="200" t="str">
        <x:f>IF(IFERROR(INDEX('CRM Source'!$C$5:$C$34,MATCH(A22,'CRM Source'!$A$5:$A$34,0)),"")&lt;&gt;"",IFERROR(INDEX('CRM Source'!$C$5:$C$34,MATCH(A22,'CRM Source'!$A$5:$A$34,0)),""),IF(IFERROR(INDEX('Web Orders Source'!$C$5:$C$34,MATCH(A22,'Web Orders Source'!$A$5:$A$34,0)),"")&lt;&gt;"",IFERROR(INDEX('Web Orders Source'!$C$5:$C$34,MATCH(A22,'Web Orders Source'!$A$5:$A$34,0)),""),IFERROR(INDEX('Support Source'!$C$5:$C$34,MATCH(A22,'Support Source'!$A$5:$A$34,0)),"")))</x:f>
        <x:v>crm18@example.invalid</x:v>
      </x:c>
      <x:c r="D22" s="200" t="str">
        <x:f>IF(IFERROR(INDEX('CRM Source'!$D$5:$D$34,MATCH(A22,'CRM Source'!$A$5:$A$34,0)),"")&lt;&gt;"",IFERROR(INDEX('CRM Source'!$D$5:$D$34,MATCH(A22,'CRM Source'!$A$5:$A$34,0)),""),IF(IFERROR(INDEX('Web Orders Source'!$D$5:$D$34,MATCH(A22,'Web Orders Source'!$A$5:$A$34,0)),"")&lt;&gt;"",IFERROR(INDEX('Web Orders Source'!$D$5:$D$34,MATCH(A22,'Web Orders Source'!$A$5:$A$34,0)),""),IFERROR(INDEX('Support Source'!$D$5:$D$34,MATCH(A22,'Support Source'!$A$5:$A$34,0)),"")))</x:f>
        <x:v>+62-811-000-0018</x:v>
      </x:c>
      <x:c r="E22" s="200" t="str">
        <x:f>IF(IFERROR(INDEX('CRM Source'!$E$5:$E$34,MATCH(A22,'CRM Source'!$A$5:$A$34,0)),"")&lt;&gt;"",IFERROR(INDEX('CRM Source'!$E$5:$E$34,MATCH(A22,'CRM Source'!$A$5:$A$34,0)),""),IF(IFERROR(INDEX('Web Orders Source'!$E$5:$E$34,MATCH(A22,'Web Orders Source'!$A$5:$A$34,0)),"")&lt;&gt;"",IFERROR(INDEX('Web Orders Source'!$E$5:$E$34,MATCH(A22,'Web Orders Source'!$A$5:$A$34,0)),""),IFERROR(INDEX('Support Source'!$E$5:$E$34,MATCH(A22,'Support Source'!$A$5:$A$34,0)),"")))</x:f>
        <x:v>ID</x:v>
      </x:c>
      <x:c r="F22" s="200" t="n">
        <x:f>COUNTIF('CRM Source'!$A$5:$A$34,A22)</x:f>
        <x:v>1</x:v>
      </x:c>
      <x:c r="G22" s="200" t="n">
        <x:f>COUNTIF('Web Orders Source'!$A$5:$A$34,A22)</x:f>
        <x:v>1</x:v>
      </x:c>
      <x:c r="H22" s="200" t="n">
        <x:f>COUNTIF('Support Source'!$A$5:$A$34,A22)</x:f>
        <x:v>1</x:v>
      </x:c>
      <x:c r="I22" s="200" t="str">
        <x:f>IFERROR(INDEX('CRM Source'!$C$5:$C$34,MATCH(A22,'CRM Source'!$A$5:$A$34,0)),"")</x:f>
        <x:v>crm18@example.invalid</x:v>
      </x:c>
      <x:c r="J22" s="200" t="str">
        <x:f>IFERROR(INDEX('Web Orders Source'!$C$5:$C$34,MATCH(A22,'Web Orders Source'!$A$5:$A$34,0)),"")</x:f>
        <x:v>web18@example.invalid</x:v>
      </x:c>
      <x:c r="K22" s="200" t="str">
        <x:f>IFERROR(INDEX('Support Source'!$C$5:$C$34,MATCH(A22,'Support Source'!$A$5:$A$34,0)),"")</x:f>
        <x:v>support18@example.invalid</x:v>
      </x:c>
      <x:c r="L22" s="200" t="str">
        <x:f>IF(OR(AND(I22&lt;&gt;"",J22&lt;&gt;"",I22&lt;&gt;J22),AND(I22&lt;&gt;"",K22&lt;&gt;"",I22&lt;&gt;K22),AND(J22&lt;&gt;"",K22&lt;&gt;"",J22&lt;&gt;K22)),"Email Conflict","OK")</x:f>
        <x:v>Email Conflict</x:v>
      </x:c>
      <x:c r="M22" s="200" t="str">
        <x:f>IF(OR(AND(IFERROR(INDEX('CRM Source'!$D$5:$D$34,MATCH(A22,'CRM Source'!$A$5:$A$34,0)),"")&lt;&gt;"",IFERROR(INDEX('Web Orders Source'!$D$5:$D$34,MATCH(A22,'Web Orders Source'!$A$5:$A$34,0)),"")&lt;&gt;"",IFERROR(INDEX('CRM Source'!$D$5:$D$34,MATCH(A22,'CRM Source'!$A$5:$A$34,0)),"")&lt;&gt;IFERROR(INDEX('Web Orders Source'!$D$5:$D$34,MATCH(A22,'Web Orders Source'!$A$5:$A$34,0)),"")),AND(IFERROR(INDEX('CRM Source'!$D$5:$D$34,MATCH(A22,'CRM Source'!$A$5:$A$34,0)),"")&lt;&gt;"",IFERROR(INDEX('Support Source'!$D$5:$D$34,MATCH(A22,'Support Source'!$A$5:$A$34,0)),"")&lt;&gt;"",IFERROR(INDEX('CRM Source'!$D$5:$D$34,MATCH(A22,'CRM Source'!$A$5:$A$34,0)),"")&lt;&gt;IFERROR(INDEX('Support Source'!$D$5:$D$34,MATCH(A22,'Support Source'!$A$5:$A$34,0)),""))),"Phone Conflict","OK")</x:f>
        <x:v>OK</x:v>
      </x:c>
      <x:c r="N22" s="200" t="str">
        <x:f>IF(OR(E22="ID",E22="SG"),"OK","Invalid Country")</x:f>
        <x:v>OK</x:v>
      </x:c>
      <x:c r="O22" s="200" t="str">
        <x:f>IF(MAX(F22:H22)&gt;1,"Duplicate Source Key","OK")</x:f>
        <x:v>OK</x:v>
      </x:c>
      <x:c r="P22" s="200" t="str">
        <x:f>IF(OR(L22&lt;&gt;"OK",M22&lt;&gt;"OK",N22&lt;&gt;"OK",O22&lt;&gt;"OK"),IF(O22&lt;&gt;"OK","High Priority Review","Review"),"Ready")</x:f>
        <x:v>Review</x:v>
      </x:c>
      <x:c r="Q22" s="200" t="str">
        <x:f>IF(P22="Ready","No action required","Compare source evidence and obtain written approval")</x:f>
        <x:v>Compare source evidence and obtain written approval</x:v>
      </x:c>
    </x:row>
    <x:row r="23" ht="26" customHeight="1">
      <x:c r="A23" s="202" t="str">
        <x:v>CUST-019</x:v>
      </x:c>
      <x:c r="B23" s="202" t="str">
        <x:f>IF(IFERROR(INDEX('CRM Source'!$B$5:$B$34,MATCH(A23,'CRM Source'!$A$5:$A$34,0)),"")&lt;&gt;"",IFERROR(INDEX('CRM Source'!$B$5:$B$34,MATCH(A23,'CRM Source'!$A$5:$A$34,0)),""),IF(IFERROR(INDEX('Web Orders Source'!$B$5:$B$34,MATCH(A23,'Web Orders Source'!$A$5:$A$34,0)),"")&lt;&gt;"",IFERROR(INDEX('Web Orders Source'!$B$5:$B$34,MATCH(A23,'Web Orders Source'!$A$5:$A$34,0)),""),IFERROR(INDEX('Support Source'!$B$5:$B$34,MATCH(A23,'Support Source'!$A$5:$A$34,0)),"")))</x:f>
        <x:v>Demo Customer 19</x:v>
      </x:c>
      <x:c r="C23" s="202" t="str">
        <x:f>IF(IFERROR(INDEX('CRM Source'!$C$5:$C$34,MATCH(A23,'CRM Source'!$A$5:$A$34,0)),"")&lt;&gt;"",IFERROR(INDEX('CRM Source'!$C$5:$C$34,MATCH(A23,'CRM Source'!$A$5:$A$34,0)),""),IF(IFERROR(INDEX('Web Orders Source'!$C$5:$C$34,MATCH(A23,'Web Orders Source'!$A$5:$A$34,0)),"")&lt;&gt;"",IFERROR(INDEX('Web Orders Source'!$C$5:$C$34,MATCH(A23,'Web Orders Source'!$A$5:$A$34,0)),""),IFERROR(INDEX('Support Source'!$C$5:$C$34,MATCH(A23,'Support Source'!$A$5:$A$34,0)),"")))</x:f>
        <x:v>customer19@example.invalid</x:v>
      </x:c>
      <x:c r="D23" s="202" t="str">
        <x:f>IF(IFERROR(INDEX('CRM Source'!$D$5:$D$34,MATCH(A23,'CRM Source'!$A$5:$A$34,0)),"")&lt;&gt;"",IFERROR(INDEX('CRM Source'!$D$5:$D$34,MATCH(A23,'CRM Source'!$A$5:$A$34,0)),""),IF(IFERROR(INDEX('Web Orders Source'!$D$5:$D$34,MATCH(A23,'Web Orders Source'!$A$5:$A$34,0)),"")&lt;&gt;"",IFERROR(INDEX('Web Orders Source'!$D$5:$D$34,MATCH(A23,'Web Orders Source'!$A$5:$A$34,0)),""),IFERROR(INDEX('Support Source'!$D$5:$D$34,MATCH(A23,'Support Source'!$A$5:$A$34,0)),"")))</x:f>
        <x:v>+62-811-000-0019</x:v>
      </x:c>
      <x:c r="E23" s="202" t="str">
        <x:f>IF(IFERROR(INDEX('CRM Source'!$E$5:$E$34,MATCH(A23,'CRM Source'!$A$5:$A$34,0)),"")&lt;&gt;"",IFERROR(INDEX('CRM Source'!$E$5:$E$34,MATCH(A23,'CRM Source'!$A$5:$A$34,0)),""),IF(IFERROR(INDEX('Web Orders Source'!$E$5:$E$34,MATCH(A23,'Web Orders Source'!$A$5:$A$34,0)),"")&lt;&gt;"",IFERROR(INDEX('Web Orders Source'!$E$5:$E$34,MATCH(A23,'Web Orders Source'!$A$5:$A$34,0)),""),IFERROR(INDEX('Support Source'!$E$5:$E$34,MATCH(A23,'Support Source'!$A$5:$A$34,0)),"")))</x:f>
        <x:v>ID</x:v>
      </x:c>
      <x:c r="F23" s="202" t="n">
        <x:f>COUNTIF('CRM Source'!$A$5:$A$34,A23)</x:f>
        <x:v>1</x:v>
      </x:c>
      <x:c r="G23" s="202" t="n">
        <x:f>COUNTIF('Web Orders Source'!$A$5:$A$34,A23)</x:f>
        <x:v>1</x:v>
      </x:c>
      <x:c r="H23" s="202" t="n">
        <x:f>COUNTIF('Support Source'!$A$5:$A$34,A23)</x:f>
        <x:v>1</x:v>
      </x:c>
      <x:c r="I23" s="202" t="str">
        <x:f>IFERROR(INDEX('CRM Source'!$C$5:$C$34,MATCH(A23,'CRM Source'!$A$5:$A$34,0)),"")</x:f>
        <x:v>customer19@example.invalid</x:v>
      </x:c>
      <x:c r="J23" s="202" t="str">
        <x:f>IFERROR(INDEX('Web Orders Source'!$C$5:$C$34,MATCH(A23,'Web Orders Source'!$A$5:$A$34,0)),"")</x:f>
        <x:v>customer19@example.invalid</x:v>
      </x:c>
      <x:c r="K23" s="202" t="str">
        <x:f>IFERROR(INDEX('Support Source'!$C$5:$C$34,MATCH(A23,'Support Source'!$A$5:$A$34,0)),"")</x:f>
        <x:v>customer19@example.invalid</x:v>
      </x:c>
      <x:c r="L23" s="202" t="str">
        <x:f>IF(OR(AND(I23&lt;&gt;"",J23&lt;&gt;"",I23&lt;&gt;J23),AND(I23&lt;&gt;"",K23&lt;&gt;"",I23&lt;&gt;K23),AND(J23&lt;&gt;"",K23&lt;&gt;"",J23&lt;&gt;K23)),"Email Conflict","OK")</x:f>
        <x:v>OK</x:v>
      </x:c>
      <x:c r="M23" s="202" t="str">
        <x:f>IF(OR(AND(IFERROR(INDEX('CRM Source'!$D$5:$D$34,MATCH(A23,'CRM Source'!$A$5:$A$34,0)),"")&lt;&gt;"",IFERROR(INDEX('Web Orders Source'!$D$5:$D$34,MATCH(A23,'Web Orders Source'!$A$5:$A$34,0)),"")&lt;&gt;"",IFERROR(INDEX('CRM Source'!$D$5:$D$34,MATCH(A23,'CRM Source'!$A$5:$A$34,0)),"")&lt;&gt;IFERROR(INDEX('Web Orders Source'!$D$5:$D$34,MATCH(A23,'Web Orders Source'!$A$5:$A$34,0)),"")),AND(IFERROR(INDEX('CRM Source'!$D$5:$D$34,MATCH(A23,'CRM Source'!$A$5:$A$34,0)),"")&lt;&gt;"",IFERROR(INDEX('Support Source'!$D$5:$D$34,MATCH(A23,'Support Source'!$A$5:$A$34,0)),"")&lt;&gt;"",IFERROR(INDEX('CRM Source'!$D$5:$D$34,MATCH(A23,'CRM Source'!$A$5:$A$34,0)),"")&lt;&gt;IFERROR(INDEX('Support Source'!$D$5:$D$34,MATCH(A23,'Support Source'!$A$5:$A$34,0)),""))),"Phone Conflict","OK")</x:f>
        <x:v>OK</x:v>
      </x:c>
      <x:c r="N23" s="202" t="str">
        <x:f>IF(OR(E23="ID",E23="SG"),"OK","Invalid Country")</x:f>
        <x:v>OK</x:v>
      </x:c>
      <x:c r="O23" s="202" t="str">
        <x:f>IF(MAX(F23:H23)&gt;1,"Duplicate Source Key","OK")</x:f>
        <x:v>OK</x:v>
      </x:c>
      <x:c r="P23" s="202" t="str">
        <x:f>IF(OR(L23&lt;&gt;"OK",M23&lt;&gt;"OK",N23&lt;&gt;"OK",O23&lt;&gt;"OK"),IF(O23&lt;&gt;"OK","High Priority Review","Review"),"Ready")</x:f>
        <x:v>Ready</x:v>
      </x:c>
      <x:c r="Q23" s="202" t="str">
        <x:f>IF(P23="Ready","No action required","Compare source evidence and obtain written approval")</x:f>
        <x:v>No action required</x:v>
      </x:c>
    </x:row>
    <x:row r="24" ht="26" customHeight="1">
      <x:c r="A24" s="200" t="str">
        <x:v>CUST-020</x:v>
      </x:c>
      <x:c r="B24" s="200" t="str">
        <x:f>IF(IFERROR(INDEX('CRM Source'!$B$5:$B$34,MATCH(A24,'CRM Source'!$A$5:$A$34,0)),"")&lt;&gt;"",IFERROR(INDEX('CRM Source'!$B$5:$B$34,MATCH(A24,'CRM Source'!$A$5:$A$34,0)),""),IF(IFERROR(INDEX('Web Orders Source'!$B$5:$B$34,MATCH(A24,'Web Orders Source'!$A$5:$A$34,0)),"")&lt;&gt;"",IFERROR(INDEX('Web Orders Source'!$B$5:$B$34,MATCH(A24,'Web Orders Source'!$A$5:$A$34,0)),""),IFERROR(INDEX('Support Source'!$B$5:$B$34,MATCH(A24,'Support Source'!$A$5:$A$34,0)),"")))</x:f>
        <x:v>Demo Customer 20</x:v>
      </x:c>
      <x:c r="C24" s="200" t="str">
        <x:f>IF(IFERROR(INDEX('CRM Source'!$C$5:$C$34,MATCH(A24,'CRM Source'!$A$5:$A$34,0)),"")&lt;&gt;"",IFERROR(INDEX('CRM Source'!$C$5:$C$34,MATCH(A24,'CRM Source'!$A$5:$A$34,0)),""),IF(IFERROR(INDEX('Web Orders Source'!$C$5:$C$34,MATCH(A24,'Web Orders Source'!$A$5:$A$34,0)),"")&lt;&gt;"",IFERROR(INDEX('Web Orders Source'!$C$5:$C$34,MATCH(A24,'Web Orders Source'!$A$5:$A$34,0)),""),IFERROR(INDEX('Support Source'!$C$5:$C$34,MATCH(A24,'Support Source'!$A$5:$A$34,0)),"")))</x:f>
        <x:v>customer20@example.invalid</x:v>
      </x:c>
      <x:c r="D24" s="200" t="str">
        <x:f>IF(IFERROR(INDEX('CRM Source'!$D$5:$D$34,MATCH(A24,'CRM Source'!$A$5:$A$34,0)),"")&lt;&gt;"",IFERROR(INDEX('CRM Source'!$D$5:$D$34,MATCH(A24,'CRM Source'!$A$5:$A$34,0)),""),IF(IFERROR(INDEX('Web Orders Source'!$D$5:$D$34,MATCH(A24,'Web Orders Source'!$A$5:$A$34,0)),"")&lt;&gt;"",IFERROR(INDEX('Web Orders Source'!$D$5:$D$34,MATCH(A24,'Web Orders Source'!$A$5:$A$34,0)),""),IFERROR(INDEX('Support Source'!$D$5:$D$34,MATCH(A24,'Support Source'!$A$5:$A$34,0)),"")))</x:f>
        <x:v>+62-811-000-0020</x:v>
      </x:c>
      <x:c r="E24" s="200" t="str">
        <x:f>IF(IFERROR(INDEX('CRM Source'!$E$5:$E$34,MATCH(A24,'CRM Source'!$A$5:$A$34,0)),"")&lt;&gt;"",IFERROR(INDEX('CRM Source'!$E$5:$E$34,MATCH(A24,'CRM Source'!$A$5:$A$34,0)),""),IF(IFERROR(INDEX('Web Orders Source'!$E$5:$E$34,MATCH(A24,'Web Orders Source'!$A$5:$A$34,0)),"")&lt;&gt;"",IFERROR(INDEX('Web Orders Source'!$E$5:$E$34,MATCH(A24,'Web Orders Source'!$A$5:$A$34,0)),""),IFERROR(INDEX('Support Source'!$E$5:$E$34,MATCH(A24,'Support Source'!$A$5:$A$34,0)),"")))</x:f>
        <x:v>XX</x:v>
      </x:c>
      <x:c r="F24" s="200" t="n">
        <x:f>COUNTIF('CRM Source'!$A$5:$A$34,A24)</x:f>
        <x:v>1</x:v>
      </x:c>
      <x:c r="G24" s="200" t="n">
        <x:f>COUNTIF('Web Orders Source'!$A$5:$A$34,A24)</x:f>
        <x:v>1</x:v>
      </x:c>
      <x:c r="H24" s="200" t="n">
        <x:f>COUNTIF('Support Source'!$A$5:$A$34,A24)</x:f>
        <x:v>1</x:v>
      </x:c>
      <x:c r="I24" s="200" t="str">
        <x:f>IFERROR(INDEX('CRM Source'!$C$5:$C$34,MATCH(A24,'CRM Source'!$A$5:$A$34,0)),"")</x:f>
        <x:v>customer20@example.invalid</x:v>
      </x:c>
      <x:c r="J24" s="200" t="str">
        <x:f>IFERROR(INDEX('Web Orders Source'!$C$5:$C$34,MATCH(A24,'Web Orders Source'!$A$5:$A$34,0)),"")</x:f>
        <x:v>customer20@example.invalid</x:v>
      </x:c>
      <x:c r="K24" s="200" t="str">
        <x:f>IFERROR(INDEX('Support Source'!$C$5:$C$34,MATCH(A24,'Support Source'!$A$5:$A$34,0)),"")</x:f>
        <x:v>customer20@example.invalid</x:v>
      </x:c>
      <x:c r="L24" s="200" t="str">
        <x:f>IF(OR(AND(I24&lt;&gt;"",J24&lt;&gt;"",I24&lt;&gt;J24),AND(I24&lt;&gt;"",K24&lt;&gt;"",I24&lt;&gt;K24),AND(J24&lt;&gt;"",K24&lt;&gt;"",J24&lt;&gt;K24)),"Email Conflict","OK")</x:f>
        <x:v>OK</x:v>
      </x:c>
      <x:c r="M24" s="200" t="str">
        <x:f>IF(OR(AND(IFERROR(INDEX('CRM Source'!$D$5:$D$34,MATCH(A24,'CRM Source'!$A$5:$A$34,0)),"")&lt;&gt;"",IFERROR(INDEX('Web Orders Source'!$D$5:$D$34,MATCH(A24,'Web Orders Source'!$A$5:$A$34,0)),"")&lt;&gt;"",IFERROR(INDEX('CRM Source'!$D$5:$D$34,MATCH(A24,'CRM Source'!$A$5:$A$34,0)),"")&lt;&gt;IFERROR(INDEX('Web Orders Source'!$D$5:$D$34,MATCH(A24,'Web Orders Source'!$A$5:$A$34,0)),"")),AND(IFERROR(INDEX('CRM Source'!$D$5:$D$34,MATCH(A24,'CRM Source'!$A$5:$A$34,0)),"")&lt;&gt;"",IFERROR(INDEX('Support Source'!$D$5:$D$34,MATCH(A24,'Support Source'!$A$5:$A$34,0)),"")&lt;&gt;"",IFERROR(INDEX('CRM Source'!$D$5:$D$34,MATCH(A24,'CRM Source'!$A$5:$A$34,0)),"")&lt;&gt;IFERROR(INDEX('Support Source'!$D$5:$D$34,MATCH(A24,'Support Source'!$A$5:$A$34,0)),""))),"Phone Conflict","OK")</x:f>
        <x:v>OK</x:v>
      </x:c>
      <x:c r="N24" s="200" t="str">
        <x:f>IF(OR(E24="ID",E24="SG"),"OK","Invalid Country")</x:f>
        <x:v>Invalid Country</x:v>
      </x:c>
      <x:c r="O24" s="200" t="str">
        <x:f>IF(MAX(F24:H24)&gt;1,"Duplicate Source Key","OK")</x:f>
        <x:v>OK</x:v>
      </x:c>
      <x:c r="P24" s="200" t="str">
        <x:f>IF(OR(L24&lt;&gt;"OK",M24&lt;&gt;"OK",N24&lt;&gt;"OK",O24&lt;&gt;"OK"),IF(O24&lt;&gt;"OK","High Priority Review","Review"),"Ready")</x:f>
        <x:v>Review</x:v>
      </x:c>
      <x:c r="Q24" s="200" t="str">
        <x:f>IF(P24="Ready","No action required","Compare source evidence and obtain written approval")</x:f>
        <x:v>Compare source evidence and obtain written approval</x:v>
      </x:c>
    </x:row>
    <x:row r="25" ht="26" customHeight="1">
      <x:c r="A25" s="202" t="str">
        <x:v>CUST-021</x:v>
      </x:c>
      <x:c r="B25" s="202" t="str">
        <x:f>IF(IFERROR(INDEX('CRM Source'!$B$5:$B$34,MATCH(A25,'CRM Source'!$A$5:$A$34,0)),"")&lt;&gt;"",IFERROR(INDEX('CRM Source'!$B$5:$B$34,MATCH(A25,'CRM Source'!$A$5:$A$34,0)),""),IF(IFERROR(INDEX('Web Orders Source'!$B$5:$B$34,MATCH(A25,'Web Orders Source'!$A$5:$A$34,0)),"")&lt;&gt;"",IFERROR(INDEX('Web Orders Source'!$B$5:$B$34,MATCH(A25,'Web Orders Source'!$A$5:$A$34,0)),""),IFERROR(INDEX('Support Source'!$B$5:$B$34,MATCH(A25,'Support Source'!$A$5:$A$34,0)),"")))</x:f>
        <x:v>Demo Customer 21</x:v>
      </x:c>
      <x:c r="C25" s="202" t="str">
        <x:f>IF(IFERROR(INDEX('CRM Source'!$C$5:$C$34,MATCH(A25,'CRM Source'!$A$5:$A$34,0)),"")&lt;&gt;"",IFERROR(INDEX('CRM Source'!$C$5:$C$34,MATCH(A25,'CRM Source'!$A$5:$A$34,0)),""),IF(IFERROR(INDEX('Web Orders Source'!$C$5:$C$34,MATCH(A25,'Web Orders Source'!$A$5:$A$34,0)),"")&lt;&gt;"",IFERROR(INDEX('Web Orders Source'!$C$5:$C$34,MATCH(A25,'Web Orders Source'!$A$5:$A$34,0)),""),IFERROR(INDEX('Support Source'!$C$5:$C$34,MATCH(A25,'Support Source'!$A$5:$A$34,0)),"")))</x:f>
        <x:v>customer21@example.invalid</x:v>
      </x:c>
      <x:c r="D25" s="202" t="str">
        <x:f>IF(IFERROR(INDEX('CRM Source'!$D$5:$D$34,MATCH(A25,'CRM Source'!$A$5:$A$34,0)),"")&lt;&gt;"",IFERROR(INDEX('CRM Source'!$D$5:$D$34,MATCH(A25,'CRM Source'!$A$5:$A$34,0)),""),IF(IFERROR(INDEX('Web Orders Source'!$D$5:$D$34,MATCH(A25,'Web Orders Source'!$A$5:$A$34,0)),"")&lt;&gt;"",IFERROR(INDEX('Web Orders Source'!$D$5:$D$34,MATCH(A25,'Web Orders Source'!$A$5:$A$34,0)),""),IFERROR(INDEX('Support Source'!$D$5:$D$34,MATCH(A25,'Support Source'!$A$5:$A$34,0)),"")))</x:f>
        <x:v>+62-811-000-0021</x:v>
      </x:c>
      <x:c r="E25" s="202" t="str">
        <x:f>IF(IFERROR(INDEX('CRM Source'!$E$5:$E$34,MATCH(A25,'CRM Source'!$A$5:$A$34,0)),"")&lt;&gt;"",IFERROR(INDEX('CRM Source'!$E$5:$E$34,MATCH(A25,'CRM Source'!$A$5:$A$34,0)),""),IF(IFERROR(INDEX('Web Orders Source'!$E$5:$E$34,MATCH(A25,'Web Orders Source'!$A$5:$A$34,0)),"")&lt;&gt;"",IFERROR(INDEX('Web Orders Source'!$E$5:$E$34,MATCH(A25,'Web Orders Source'!$A$5:$A$34,0)),""),IFERROR(INDEX('Support Source'!$E$5:$E$34,MATCH(A25,'Support Source'!$A$5:$A$34,0)),"")))</x:f>
        <x:v>ID</x:v>
      </x:c>
      <x:c r="F25" s="202" t="n">
        <x:f>COUNTIF('CRM Source'!$A$5:$A$34,A25)</x:f>
        <x:v>1</x:v>
      </x:c>
      <x:c r="G25" s="202" t="n">
        <x:f>COUNTIF('Web Orders Source'!$A$5:$A$34,A25)</x:f>
        <x:v>1</x:v>
      </x:c>
      <x:c r="H25" s="202" t="n">
        <x:f>COUNTIF('Support Source'!$A$5:$A$34,A25)</x:f>
        <x:v>1</x:v>
      </x:c>
      <x:c r="I25" s="202" t="str">
        <x:f>IFERROR(INDEX('CRM Source'!$C$5:$C$34,MATCH(A25,'CRM Source'!$A$5:$A$34,0)),"")</x:f>
        <x:v>customer21@example.invalid</x:v>
      </x:c>
      <x:c r="J25" s="202" t="str">
        <x:f>IFERROR(INDEX('Web Orders Source'!$C$5:$C$34,MATCH(A25,'Web Orders Source'!$A$5:$A$34,0)),"")</x:f>
        <x:v>customer21@example.invalid</x:v>
      </x:c>
      <x:c r="K25" s="202" t="str">
        <x:f>IFERROR(INDEX('Support Source'!$C$5:$C$34,MATCH(A25,'Support Source'!$A$5:$A$34,0)),"")</x:f>
        <x:v>customer21@example.invalid</x:v>
      </x:c>
      <x:c r="L25" s="202" t="str">
        <x:f>IF(OR(AND(I25&lt;&gt;"",J25&lt;&gt;"",I25&lt;&gt;J25),AND(I25&lt;&gt;"",K25&lt;&gt;"",I25&lt;&gt;K25),AND(J25&lt;&gt;"",K25&lt;&gt;"",J25&lt;&gt;K25)),"Email Conflict","OK")</x:f>
        <x:v>OK</x:v>
      </x:c>
      <x:c r="M25" s="202" t="str">
        <x:f>IF(OR(AND(IFERROR(INDEX('CRM Source'!$D$5:$D$34,MATCH(A25,'CRM Source'!$A$5:$A$34,0)),"")&lt;&gt;"",IFERROR(INDEX('Web Orders Source'!$D$5:$D$34,MATCH(A25,'Web Orders Source'!$A$5:$A$34,0)),"")&lt;&gt;"",IFERROR(INDEX('CRM Source'!$D$5:$D$34,MATCH(A25,'CRM Source'!$A$5:$A$34,0)),"")&lt;&gt;IFERROR(INDEX('Web Orders Source'!$D$5:$D$34,MATCH(A25,'Web Orders Source'!$A$5:$A$34,0)),"")),AND(IFERROR(INDEX('CRM Source'!$D$5:$D$34,MATCH(A25,'CRM Source'!$A$5:$A$34,0)),"")&lt;&gt;"",IFERROR(INDEX('Support Source'!$D$5:$D$34,MATCH(A25,'Support Source'!$A$5:$A$34,0)),"")&lt;&gt;"",IFERROR(INDEX('CRM Source'!$D$5:$D$34,MATCH(A25,'CRM Source'!$A$5:$A$34,0)),"")&lt;&gt;IFERROR(INDEX('Support Source'!$D$5:$D$34,MATCH(A25,'Support Source'!$A$5:$A$34,0)),""))),"Phone Conflict","OK")</x:f>
        <x:v>OK</x:v>
      </x:c>
      <x:c r="N25" s="202" t="str">
        <x:f>IF(OR(E25="ID",E25="SG"),"OK","Invalid Country")</x:f>
        <x:v>OK</x:v>
      </x:c>
      <x:c r="O25" s="202" t="str">
        <x:f>IF(MAX(F25:H25)&gt;1,"Duplicate Source Key","OK")</x:f>
        <x:v>OK</x:v>
      </x:c>
      <x:c r="P25" s="202" t="str">
        <x:f>IF(OR(L25&lt;&gt;"OK",M25&lt;&gt;"OK",N25&lt;&gt;"OK",O25&lt;&gt;"OK"),IF(O25&lt;&gt;"OK","High Priority Review","Review"),"Ready")</x:f>
        <x:v>Ready</x:v>
      </x:c>
      <x:c r="Q25" s="202" t="str">
        <x:f>IF(P25="Ready","No action required","Compare source evidence and obtain written approval")</x:f>
        <x:v>No action required</x:v>
      </x:c>
    </x:row>
    <x:row r="26" ht="26" customHeight="1">
      <x:c r="A26" s="200" t="str">
        <x:v>CUST-022</x:v>
      </x:c>
      <x:c r="B26" s="200" t="str">
        <x:f>IF(IFERROR(INDEX('CRM Source'!$B$5:$B$34,MATCH(A26,'CRM Source'!$A$5:$A$34,0)),"")&lt;&gt;"",IFERROR(INDEX('CRM Source'!$B$5:$B$34,MATCH(A26,'CRM Source'!$A$5:$A$34,0)),""),IF(IFERROR(INDEX('Web Orders Source'!$B$5:$B$34,MATCH(A26,'Web Orders Source'!$A$5:$A$34,0)),"")&lt;&gt;"",IFERROR(INDEX('Web Orders Source'!$B$5:$B$34,MATCH(A26,'Web Orders Source'!$A$5:$A$34,0)),""),IFERROR(INDEX('Support Source'!$B$5:$B$34,MATCH(A26,'Support Source'!$A$5:$A$34,0)),"")))</x:f>
        <x:v>Demo Customer 22</x:v>
      </x:c>
      <x:c r="C26" s="200" t="str">
        <x:f>IF(IFERROR(INDEX('CRM Source'!$C$5:$C$34,MATCH(A26,'CRM Source'!$A$5:$A$34,0)),"")&lt;&gt;"",IFERROR(INDEX('CRM Source'!$C$5:$C$34,MATCH(A26,'CRM Source'!$A$5:$A$34,0)),""),IF(IFERROR(INDEX('Web Orders Source'!$C$5:$C$34,MATCH(A26,'Web Orders Source'!$A$5:$A$34,0)),"")&lt;&gt;"",IFERROR(INDEX('Web Orders Source'!$C$5:$C$34,MATCH(A26,'Web Orders Source'!$A$5:$A$34,0)),""),IFERROR(INDEX('Support Source'!$C$5:$C$34,MATCH(A26,'Support Source'!$A$5:$A$34,0)),"")))</x:f>
        <x:v>customer22@example.invalid</x:v>
      </x:c>
      <x:c r="D26" s="200" t="str">
        <x:f>IF(IFERROR(INDEX('CRM Source'!$D$5:$D$34,MATCH(A26,'CRM Source'!$A$5:$A$34,0)),"")&lt;&gt;"",IFERROR(INDEX('CRM Source'!$D$5:$D$34,MATCH(A26,'CRM Source'!$A$5:$A$34,0)),""),IF(IFERROR(INDEX('Web Orders Source'!$D$5:$D$34,MATCH(A26,'Web Orders Source'!$A$5:$A$34,0)),"")&lt;&gt;"",IFERROR(INDEX('Web Orders Source'!$D$5:$D$34,MATCH(A26,'Web Orders Source'!$A$5:$A$34,0)),""),IFERROR(INDEX('Support Source'!$D$5:$D$34,MATCH(A26,'Support Source'!$A$5:$A$34,0)),"")))</x:f>
        <x:v>+62-812-CRM-22</x:v>
      </x:c>
      <x:c r="E26" s="200" t="str">
        <x:f>IF(IFERROR(INDEX('CRM Source'!$E$5:$E$34,MATCH(A26,'CRM Source'!$A$5:$A$34,0)),"")&lt;&gt;"",IFERROR(INDEX('CRM Source'!$E$5:$E$34,MATCH(A26,'CRM Source'!$A$5:$A$34,0)),""),IF(IFERROR(INDEX('Web Orders Source'!$E$5:$E$34,MATCH(A26,'Web Orders Source'!$A$5:$A$34,0)),"")&lt;&gt;"",IFERROR(INDEX('Web Orders Source'!$E$5:$E$34,MATCH(A26,'Web Orders Source'!$A$5:$A$34,0)),""),IFERROR(INDEX('Support Source'!$E$5:$E$34,MATCH(A26,'Support Source'!$A$5:$A$34,0)),"")))</x:f>
        <x:v>ID</x:v>
      </x:c>
      <x:c r="F26" s="200" t="n">
        <x:f>COUNTIF('CRM Source'!$A$5:$A$34,A26)</x:f>
        <x:v>1</x:v>
      </x:c>
      <x:c r="G26" s="200" t="n">
        <x:f>COUNTIF('Web Orders Source'!$A$5:$A$34,A26)</x:f>
        <x:v>1</x:v>
      </x:c>
      <x:c r="H26" s="200" t="n">
        <x:f>COUNTIF('Support Source'!$A$5:$A$34,A26)</x:f>
        <x:v>1</x:v>
      </x:c>
      <x:c r="I26" s="200" t="str">
        <x:f>IFERROR(INDEX('CRM Source'!$C$5:$C$34,MATCH(A26,'CRM Source'!$A$5:$A$34,0)),"")</x:f>
        <x:v>customer22@example.invalid</x:v>
      </x:c>
      <x:c r="J26" s="200" t="str">
        <x:f>IFERROR(INDEX('Web Orders Source'!$C$5:$C$34,MATCH(A26,'Web Orders Source'!$A$5:$A$34,0)),"")</x:f>
        <x:v>customer22@example.invalid</x:v>
      </x:c>
      <x:c r="K26" s="200" t="str">
        <x:f>IFERROR(INDEX('Support Source'!$C$5:$C$34,MATCH(A26,'Support Source'!$A$5:$A$34,0)),"")</x:f>
        <x:v>customer22@example.invalid</x:v>
      </x:c>
      <x:c r="L26" s="200" t="str">
        <x:f>IF(OR(AND(I26&lt;&gt;"",J26&lt;&gt;"",I26&lt;&gt;J26),AND(I26&lt;&gt;"",K26&lt;&gt;"",I26&lt;&gt;K26),AND(J26&lt;&gt;"",K26&lt;&gt;"",J26&lt;&gt;K26)),"Email Conflict","OK")</x:f>
        <x:v>OK</x:v>
      </x:c>
      <x:c r="M26" s="200" t="str">
        <x:f>IF(OR(AND(IFERROR(INDEX('CRM Source'!$D$5:$D$34,MATCH(A26,'CRM Source'!$A$5:$A$34,0)),"")&lt;&gt;"",IFERROR(INDEX('Web Orders Source'!$D$5:$D$34,MATCH(A26,'Web Orders Source'!$A$5:$A$34,0)),"")&lt;&gt;"",IFERROR(INDEX('CRM Source'!$D$5:$D$34,MATCH(A26,'CRM Source'!$A$5:$A$34,0)),"")&lt;&gt;IFERROR(INDEX('Web Orders Source'!$D$5:$D$34,MATCH(A26,'Web Orders Source'!$A$5:$A$34,0)),"")),AND(IFERROR(INDEX('CRM Source'!$D$5:$D$34,MATCH(A26,'CRM Source'!$A$5:$A$34,0)),"")&lt;&gt;"",IFERROR(INDEX('Support Source'!$D$5:$D$34,MATCH(A26,'Support Source'!$A$5:$A$34,0)),"")&lt;&gt;"",IFERROR(INDEX('CRM Source'!$D$5:$D$34,MATCH(A26,'CRM Source'!$A$5:$A$34,0)),"")&lt;&gt;IFERROR(INDEX('Support Source'!$D$5:$D$34,MATCH(A26,'Support Source'!$A$5:$A$34,0)),""))),"Phone Conflict","OK")</x:f>
        <x:v>Phone Conflict</x:v>
      </x:c>
      <x:c r="N26" s="200" t="str">
        <x:f>IF(OR(E26="ID",E26="SG"),"OK","Invalid Country")</x:f>
        <x:v>OK</x:v>
      </x:c>
      <x:c r="O26" s="200" t="str">
        <x:f>IF(MAX(F26:H26)&gt;1,"Duplicate Source Key","OK")</x:f>
        <x:v>OK</x:v>
      </x:c>
      <x:c r="P26" s="200" t="str">
        <x:f>IF(OR(L26&lt;&gt;"OK",M26&lt;&gt;"OK",N26&lt;&gt;"OK",O26&lt;&gt;"OK"),IF(O26&lt;&gt;"OK","High Priority Review","Review"),"Ready")</x:f>
        <x:v>Review</x:v>
      </x:c>
      <x:c r="Q26" s="200" t="str">
        <x:f>IF(P26="Ready","No action required","Compare source evidence and obtain written approval")</x:f>
        <x:v>Compare source evidence and obtain written approval</x:v>
      </x:c>
    </x:row>
    <x:row r="27" ht="26" customHeight="1">
      <x:c r="A27" s="202" t="str">
        <x:v>CUST-023</x:v>
      </x:c>
      <x:c r="B27" s="202" t="str">
        <x:f>IF(IFERROR(INDEX('CRM Source'!$B$5:$B$34,MATCH(A27,'CRM Source'!$A$5:$A$34,0)),"")&lt;&gt;"",IFERROR(INDEX('CRM Source'!$B$5:$B$34,MATCH(A27,'CRM Source'!$A$5:$A$34,0)),""),IF(IFERROR(INDEX('Web Orders Source'!$B$5:$B$34,MATCH(A27,'Web Orders Source'!$A$5:$A$34,0)),"")&lt;&gt;"",IFERROR(INDEX('Web Orders Source'!$B$5:$B$34,MATCH(A27,'Web Orders Source'!$A$5:$A$34,0)),""),IFERROR(INDEX('Support Source'!$B$5:$B$34,MATCH(A27,'Support Source'!$A$5:$A$34,0)),"")))</x:f>
        <x:v>Demo Customer 23</x:v>
      </x:c>
      <x:c r="C27" s="202" t="str">
        <x:f>IF(IFERROR(INDEX('CRM Source'!$C$5:$C$34,MATCH(A27,'CRM Source'!$A$5:$A$34,0)),"")&lt;&gt;"",IFERROR(INDEX('CRM Source'!$C$5:$C$34,MATCH(A27,'CRM Source'!$A$5:$A$34,0)),""),IF(IFERROR(INDEX('Web Orders Source'!$C$5:$C$34,MATCH(A27,'Web Orders Source'!$A$5:$A$34,0)),"")&lt;&gt;"",IFERROR(INDEX('Web Orders Source'!$C$5:$C$34,MATCH(A27,'Web Orders Source'!$A$5:$A$34,0)),""),IFERROR(INDEX('Support Source'!$C$5:$C$34,MATCH(A27,'Support Source'!$A$5:$A$34,0)),"")))</x:f>
        <x:v>customer23@example.invalid</x:v>
      </x:c>
      <x:c r="D27" s="202" t="str">
        <x:f>IF(IFERROR(INDEX('CRM Source'!$D$5:$D$34,MATCH(A27,'CRM Source'!$A$5:$A$34,0)),"")&lt;&gt;"",IFERROR(INDEX('CRM Source'!$D$5:$D$34,MATCH(A27,'CRM Source'!$A$5:$A$34,0)),""),IF(IFERROR(INDEX('Web Orders Source'!$D$5:$D$34,MATCH(A27,'Web Orders Source'!$A$5:$A$34,0)),"")&lt;&gt;"",IFERROR(INDEX('Web Orders Source'!$D$5:$D$34,MATCH(A27,'Web Orders Source'!$A$5:$A$34,0)),""),IFERROR(INDEX('Support Source'!$D$5:$D$34,MATCH(A27,'Support Source'!$A$5:$A$34,0)),"")))</x:f>
        <x:v>+62-811-000-0023</x:v>
      </x:c>
      <x:c r="E27" s="202" t="str">
        <x:f>IF(IFERROR(INDEX('CRM Source'!$E$5:$E$34,MATCH(A27,'CRM Source'!$A$5:$A$34,0)),"")&lt;&gt;"",IFERROR(INDEX('CRM Source'!$E$5:$E$34,MATCH(A27,'CRM Source'!$A$5:$A$34,0)),""),IF(IFERROR(INDEX('Web Orders Source'!$E$5:$E$34,MATCH(A27,'Web Orders Source'!$A$5:$A$34,0)),"")&lt;&gt;"",IFERROR(INDEX('Web Orders Source'!$E$5:$E$34,MATCH(A27,'Web Orders Source'!$A$5:$A$34,0)),""),IFERROR(INDEX('Support Source'!$E$5:$E$34,MATCH(A27,'Support Source'!$A$5:$A$34,0)),"")))</x:f>
        <x:v>ID</x:v>
      </x:c>
      <x:c r="F27" s="202" t="n">
        <x:f>COUNTIF('CRM Source'!$A$5:$A$34,A27)</x:f>
        <x:v>1</x:v>
      </x:c>
      <x:c r="G27" s="202" t="n">
        <x:f>COUNTIF('Web Orders Source'!$A$5:$A$34,A27)</x:f>
        <x:v>1</x:v>
      </x:c>
      <x:c r="H27" s="202" t="n">
        <x:f>COUNTIF('Support Source'!$A$5:$A$34,A27)</x:f>
        <x:v>1</x:v>
      </x:c>
      <x:c r="I27" s="202" t="str">
        <x:f>IFERROR(INDEX('CRM Source'!$C$5:$C$34,MATCH(A27,'CRM Source'!$A$5:$A$34,0)),"")</x:f>
        <x:v>customer23@example.invalid</x:v>
      </x:c>
      <x:c r="J27" s="202" t="str">
        <x:f>IFERROR(INDEX('Web Orders Source'!$C$5:$C$34,MATCH(A27,'Web Orders Source'!$A$5:$A$34,0)),"")</x:f>
        <x:v>customer23@example.invalid</x:v>
      </x:c>
      <x:c r="K27" s="202" t="str">
        <x:f>IFERROR(INDEX('Support Source'!$C$5:$C$34,MATCH(A27,'Support Source'!$A$5:$A$34,0)),"")</x:f>
        <x:v>customer23@example.invalid</x:v>
      </x:c>
      <x:c r="L27" s="202" t="str">
        <x:f>IF(OR(AND(I27&lt;&gt;"",J27&lt;&gt;"",I27&lt;&gt;J27),AND(I27&lt;&gt;"",K27&lt;&gt;"",I27&lt;&gt;K27),AND(J27&lt;&gt;"",K27&lt;&gt;"",J27&lt;&gt;K27)),"Email Conflict","OK")</x:f>
        <x:v>OK</x:v>
      </x:c>
      <x:c r="M27" s="202" t="str">
        <x:f>IF(OR(AND(IFERROR(INDEX('CRM Source'!$D$5:$D$34,MATCH(A27,'CRM Source'!$A$5:$A$34,0)),"")&lt;&gt;"",IFERROR(INDEX('Web Orders Source'!$D$5:$D$34,MATCH(A27,'Web Orders Source'!$A$5:$A$34,0)),"")&lt;&gt;"",IFERROR(INDEX('CRM Source'!$D$5:$D$34,MATCH(A27,'CRM Source'!$A$5:$A$34,0)),"")&lt;&gt;IFERROR(INDEX('Web Orders Source'!$D$5:$D$34,MATCH(A27,'Web Orders Source'!$A$5:$A$34,0)),"")),AND(IFERROR(INDEX('CRM Source'!$D$5:$D$34,MATCH(A27,'CRM Source'!$A$5:$A$34,0)),"")&lt;&gt;"",IFERROR(INDEX('Support Source'!$D$5:$D$34,MATCH(A27,'Support Source'!$A$5:$A$34,0)),"")&lt;&gt;"",IFERROR(INDEX('CRM Source'!$D$5:$D$34,MATCH(A27,'CRM Source'!$A$5:$A$34,0)),"")&lt;&gt;IFERROR(INDEX('Support Source'!$D$5:$D$34,MATCH(A27,'Support Source'!$A$5:$A$34,0)),""))),"Phone Conflict","OK")</x:f>
        <x:v>OK</x:v>
      </x:c>
      <x:c r="N27" s="202" t="str">
        <x:f>IF(OR(E27="ID",E27="SG"),"OK","Invalid Country")</x:f>
        <x:v>OK</x:v>
      </x:c>
      <x:c r="O27" s="202" t="str">
        <x:f>IF(MAX(F27:H27)&gt;1,"Duplicate Source Key","OK")</x:f>
        <x:v>OK</x:v>
      </x:c>
      <x:c r="P27" s="202" t="str">
        <x:f>IF(OR(L27&lt;&gt;"OK",M27&lt;&gt;"OK",N27&lt;&gt;"OK",O27&lt;&gt;"OK"),IF(O27&lt;&gt;"OK","High Priority Review","Review"),"Ready")</x:f>
        <x:v>Ready</x:v>
      </x:c>
      <x:c r="Q27" s="202" t="str">
        <x:f>IF(P27="Ready","No action required","Compare source evidence and obtain written approval")</x:f>
        <x:v>No action required</x:v>
      </x:c>
    </x:row>
    <x:row r="28" ht="26" customHeight="1">
      <x:c r="A28" s="200" t="str">
        <x:v>CUST-024</x:v>
      </x:c>
      <x:c r="B28" s="200" t="str">
        <x:f>IF(IFERROR(INDEX('CRM Source'!$B$5:$B$34,MATCH(A28,'CRM Source'!$A$5:$A$34,0)),"")&lt;&gt;"",IFERROR(INDEX('CRM Source'!$B$5:$B$34,MATCH(A28,'CRM Source'!$A$5:$A$34,0)),""),IF(IFERROR(INDEX('Web Orders Source'!$B$5:$B$34,MATCH(A28,'Web Orders Source'!$A$5:$A$34,0)),"")&lt;&gt;"",IFERROR(INDEX('Web Orders Source'!$B$5:$B$34,MATCH(A28,'Web Orders Source'!$A$5:$A$34,0)),""),IFERROR(INDEX('Support Source'!$B$5:$B$34,MATCH(A28,'Support Source'!$A$5:$A$34,0)),"")))</x:f>
        <x:v>Demo Customer 24</x:v>
      </x:c>
      <x:c r="C28" s="200" t="str">
        <x:f>IF(IFERROR(INDEX('CRM Source'!$C$5:$C$34,MATCH(A28,'CRM Source'!$A$5:$A$34,0)),"")&lt;&gt;"",IFERROR(INDEX('CRM Source'!$C$5:$C$34,MATCH(A28,'CRM Source'!$A$5:$A$34,0)),""),IF(IFERROR(INDEX('Web Orders Source'!$C$5:$C$34,MATCH(A28,'Web Orders Source'!$A$5:$A$34,0)),"")&lt;&gt;"",IFERROR(INDEX('Web Orders Source'!$C$5:$C$34,MATCH(A28,'Web Orders Source'!$A$5:$A$34,0)),""),IFERROR(INDEX('Support Source'!$C$5:$C$34,MATCH(A28,'Support Source'!$A$5:$A$34,0)),"")))</x:f>
        <x:v>customer24@example.invalid</x:v>
      </x:c>
      <x:c r="D28" s="200" t="str">
        <x:f>IF(IFERROR(INDEX('CRM Source'!$D$5:$D$34,MATCH(A28,'CRM Source'!$A$5:$A$34,0)),"")&lt;&gt;"",IFERROR(INDEX('CRM Source'!$D$5:$D$34,MATCH(A28,'CRM Source'!$A$5:$A$34,0)),""),IF(IFERROR(INDEX('Web Orders Source'!$D$5:$D$34,MATCH(A28,'Web Orders Source'!$A$5:$A$34,0)),"")&lt;&gt;"",IFERROR(INDEX('Web Orders Source'!$D$5:$D$34,MATCH(A28,'Web Orders Source'!$A$5:$A$34,0)),""),IFERROR(INDEX('Support Source'!$D$5:$D$34,MATCH(A28,'Support Source'!$A$5:$A$34,0)),"")))</x:f>
        <x:v>+62-811-000-0024</x:v>
      </x:c>
      <x:c r="E28" s="200" t="str">
        <x:f>IF(IFERROR(INDEX('CRM Source'!$E$5:$E$34,MATCH(A28,'CRM Source'!$A$5:$A$34,0)),"")&lt;&gt;"",IFERROR(INDEX('CRM Source'!$E$5:$E$34,MATCH(A28,'CRM Source'!$A$5:$A$34,0)),""),IF(IFERROR(INDEX('Web Orders Source'!$E$5:$E$34,MATCH(A28,'Web Orders Source'!$A$5:$A$34,0)),"")&lt;&gt;"",IFERROR(INDEX('Web Orders Source'!$E$5:$E$34,MATCH(A28,'Web Orders Source'!$A$5:$A$34,0)),""),IFERROR(INDEX('Support Source'!$E$5:$E$34,MATCH(A28,'Support Source'!$A$5:$A$34,0)),"")))</x:f>
        <x:v>ID</x:v>
      </x:c>
      <x:c r="F28" s="200" t="n">
        <x:f>COUNTIF('CRM Source'!$A$5:$A$34,A28)</x:f>
        <x:v>1</x:v>
      </x:c>
      <x:c r="G28" s="200" t="n">
        <x:f>COUNTIF('Web Orders Source'!$A$5:$A$34,A28)</x:f>
        <x:v>1</x:v>
      </x:c>
      <x:c r="H28" s="200" t="n">
        <x:f>COUNTIF('Support Source'!$A$5:$A$34,A28)</x:f>
        <x:v>1</x:v>
      </x:c>
      <x:c r="I28" s="200" t="str">
        <x:f>IFERROR(INDEX('CRM Source'!$C$5:$C$34,MATCH(A28,'CRM Source'!$A$5:$A$34,0)),"")</x:f>
        <x:v>customer24@example.invalid</x:v>
      </x:c>
      <x:c r="J28" s="200" t="str">
        <x:f>IFERROR(INDEX('Web Orders Source'!$C$5:$C$34,MATCH(A28,'Web Orders Source'!$A$5:$A$34,0)),"")</x:f>
        <x:v>customer24@example.invalid</x:v>
      </x:c>
      <x:c r="K28" s="200" t="str">
        <x:f>IFERROR(INDEX('Support Source'!$C$5:$C$34,MATCH(A28,'Support Source'!$A$5:$A$34,0)),"")</x:f>
        <x:v>customer24@example.invalid</x:v>
      </x:c>
      <x:c r="L28" s="200" t="str">
        <x:f>IF(OR(AND(I28&lt;&gt;"",J28&lt;&gt;"",I28&lt;&gt;J28),AND(I28&lt;&gt;"",K28&lt;&gt;"",I28&lt;&gt;K28),AND(J28&lt;&gt;"",K28&lt;&gt;"",J28&lt;&gt;K28)),"Email Conflict","OK")</x:f>
        <x:v>OK</x:v>
      </x:c>
      <x:c r="M28" s="200" t="str">
        <x:f>IF(OR(AND(IFERROR(INDEX('CRM Source'!$D$5:$D$34,MATCH(A28,'CRM Source'!$A$5:$A$34,0)),"")&lt;&gt;"",IFERROR(INDEX('Web Orders Source'!$D$5:$D$34,MATCH(A28,'Web Orders Source'!$A$5:$A$34,0)),"")&lt;&gt;"",IFERROR(INDEX('CRM Source'!$D$5:$D$34,MATCH(A28,'CRM Source'!$A$5:$A$34,0)),"")&lt;&gt;IFERROR(INDEX('Web Orders Source'!$D$5:$D$34,MATCH(A28,'Web Orders Source'!$A$5:$A$34,0)),"")),AND(IFERROR(INDEX('CRM Source'!$D$5:$D$34,MATCH(A28,'CRM Source'!$A$5:$A$34,0)),"")&lt;&gt;"",IFERROR(INDEX('Support Source'!$D$5:$D$34,MATCH(A28,'Support Source'!$A$5:$A$34,0)),"")&lt;&gt;"",IFERROR(INDEX('CRM Source'!$D$5:$D$34,MATCH(A28,'CRM Source'!$A$5:$A$34,0)),"")&lt;&gt;IFERROR(INDEX('Support Source'!$D$5:$D$34,MATCH(A28,'Support Source'!$A$5:$A$34,0)),""))),"Phone Conflict","OK")</x:f>
        <x:v>OK</x:v>
      </x:c>
      <x:c r="N28" s="200" t="str">
        <x:f>IF(OR(E28="ID",E28="SG"),"OK","Invalid Country")</x:f>
        <x:v>OK</x:v>
      </x:c>
      <x:c r="O28" s="200" t="str">
        <x:f>IF(MAX(F28:H28)&gt;1,"Duplicate Source Key","OK")</x:f>
        <x:v>OK</x:v>
      </x:c>
      <x:c r="P28" s="200" t="str">
        <x:f>IF(OR(L28&lt;&gt;"OK",M28&lt;&gt;"OK",N28&lt;&gt;"OK",O28&lt;&gt;"OK"),IF(O28&lt;&gt;"OK","High Priority Review","Review"),"Ready")</x:f>
        <x:v>Ready</x:v>
      </x:c>
      <x:c r="Q28" s="200" t="str">
        <x:f>IF(P28="Ready","No action required","Compare source evidence and obtain written approval")</x:f>
        <x:v>No action required</x:v>
      </x:c>
    </x:row>
    <x:row r="29" ht="26" customHeight="1">
      <x:c r="A29" s="202" t="str">
        <x:v>CUST-025</x:v>
      </x:c>
      <x:c r="B29" s="202" t="str">
        <x:f>IF(IFERROR(INDEX('CRM Source'!$B$5:$B$34,MATCH(A29,'CRM Source'!$A$5:$A$34,0)),"")&lt;&gt;"",IFERROR(INDEX('CRM Source'!$B$5:$B$34,MATCH(A29,'CRM Source'!$A$5:$A$34,0)),""),IF(IFERROR(INDEX('Web Orders Source'!$B$5:$B$34,MATCH(A29,'Web Orders Source'!$A$5:$A$34,0)),"")&lt;&gt;"",IFERROR(INDEX('Web Orders Source'!$B$5:$B$34,MATCH(A29,'Web Orders Source'!$A$5:$A$34,0)),""),IFERROR(INDEX('Support Source'!$B$5:$B$34,MATCH(A29,'Support Source'!$A$5:$A$34,0)),"")))</x:f>
        <x:v>Demo Customer 25</x:v>
      </x:c>
      <x:c r="C29" s="202" t="str">
        <x:f>IF(IFERROR(INDEX('CRM Source'!$C$5:$C$34,MATCH(A29,'CRM Source'!$A$5:$A$34,0)),"")&lt;&gt;"",IFERROR(INDEX('CRM Source'!$C$5:$C$34,MATCH(A29,'CRM Source'!$A$5:$A$34,0)),""),IF(IFERROR(INDEX('Web Orders Source'!$C$5:$C$34,MATCH(A29,'Web Orders Source'!$A$5:$A$34,0)),"")&lt;&gt;"",IFERROR(INDEX('Web Orders Source'!$C$5:$C$34,MATCH(A29,'Web Orders Source'!$A$5:$A$34,0)),""),IFERROR(INDEX('Support Source'!$C$5:$C$34,MATCH(A29,'Support Source'!$A$5:$A$34,0)),"")))</x:f>
        <x:v>crm25@example.invalid</x:v>
      </x:c>
      <x:c r="D29" s="202" t="str">
        <x:f>IF(IFERROR(INDEX('CRM Source'!$D$5:$D$34,MATCH(A29,'CRM Source'!$A$5:$A$34,0)),"")&lt;&gt;"",IFERROR(INDEX('CRM Source'!$D$5:$D$34,MATCH(A29,'CRM Source'!$A$5:$A$34,0)),""),IF(IFERROR(INDEX('Web Orders Source'!$D$5:$D$34,MATCH(A29,'Web Orders Source'!$A$5:$A$34,0)),"")&lt;&gt;"",IFERROR(INDEX('Web Orders Source'!$D$5:$D$34,MATCH(A29,'Web Orders Source'!$A$5:$A$34,0)),""),IFERROR(INDEX('Support Source'!$D$5:$D$34,MATCH(A29,'Support Source'!$A$5:$A$34,0)),"")))</x:f>
        <x:v>+62-811-000-0025</x:v>
      </x:c>
      <x:c r="E29" s="202" t="str">
        <x:f>IF(IFERROR(INDEX('CRM Source'!$E$5:$E$34,MATCH(A29,'CRM Source'!$A$5:$A$34,0)),"")&lt;&gt;"",IFERROR(INDEX('CRM Source'!$E$5:$E$34,MATCH(A29,'CRM Source'!$A$5:$A$34,0)),""),IF(IFERROR(INDEX('Web Orders Source'!$E$5:$E$34,MATCH(A29,'Web Orders Source'!$A$5:$A$34,0)),"")&lt;&gt;"",IFERROR(INDEX('Web Orders Source'!$E$5:$E$34,MATCH(A29,'Web Orders Source'!$A$5:$A$34,0)),""),IFERROR(INDEX('Support Source'!$E$5:$E$34,MATCH(A29,'Support Source'!$A$5:$A$34,0)),"")))</x:f>
        <x:v>SG</x:v>
      </x:c>
      <x:c r="F29" s="202" t="n">
        <x:f>COUNTIF('CRM Source'!$A$5:$A$34,A29)</x:f>
        <x:v>1</x:v>
      </x:c>
      <x:c r="G29" s="202" t="n">
        <x:f>COUNTIF('Web Orders Source'!$A$5:$A$34,A29)</x:f>
        <x:v>1</x:v>
      </x:c>
      <x:c r="H29" s="202" t="n">
        <x:f>COUNTIF('Support Source'!$A$5:$A$34,A29)</x:f>
        <x:v>1</x:v>
      </x:c>
      <x:c r="I29" s="202" t="str">
        <x:f>IFERROR(INDEX('CRM Source'!$C$5:$C$34,MATCH(A29,'CRM Source'!$A$5:$A$34,0)),"")</x:f>
        <x:v>crm25@example.invalid</x:v>
      </x:c>
      <x:c r="J29" s="202" t="str">
        <x:f>IFERROR(INDEX('Web Orders Source'!$C$5:$C$34,MATCH(A29,'Web Orders Source'!$A$5:$A$34,0)),"")</x:f>
        <x:v>web25@example.invalid</x:v>
      </x:c>
      <x:c r="K29" s="202" t="str">
        <x:f>IFERROR(INDEX('Support Source'!$C$5:$C$34,MATCH(A29,'Support Source'!$A$5:$A$34,0)),"")</x:f>
        <x:v>customer25@example.invalid</x:v>
      </x:c>
      <x:c r="L29" s="202" t="str">
        <x:f>IF(OR(AND(I29&lt;&gt;"",J29&lt;&gt;"",I29&lt;&gt;J29),AND(I29&lt;&gt;"",K29&lt;&gt;"",I29&lt;&gt;K29),AND(J29&lt;&gt;"",K29&lt;&gt;"",J29&lt;&gt;K29)),"Email Conflict","OK")</x:f>
        <x:v>Email Conflict</x:v>
      </x:c>
      <x:c r="M29" s="202" t="str">
        <x:f>IF(OR(AND(IFERROR(INDEX('CRM Source'!$D$5:$D$34,MATCH(A29,'CRM Source'!$A$5:$A$34,0)),"")&lt;&gt;"",IFERROR(INDEX('Web Orders Source'!$D$5:$D$34,MATCH(A29,'Web Orders Source'!$A$5:$A$34,0)),"")&lt;&gt;"",IFERROR(INDEX('CRM Source'!$D$5:$D$34,MATCH(A29,'CRM Source'!$A$5:$A$34,0)),"")&lt;&gt;IFERROR(INDEX('Web Orders Source'!$D$5:$D$34,MATCH(A29,'Web Orders Source'!$A$5:$A$34,0)),"")),AND(IFERROR(INDEX('CRM Source'!$D$5:$D$34,MATCH(A29,'CRM Source'!$A$5:$A$34,0)),"")&lt;&gt;"",IFERROR(INDEX('Support Source'!$D$5:$D$34,MATCH(A29,'Support Source'!$A$5:$A$34,0)),"")&lt;&gt;"",IFERROR(INDEX('CRM Source'!$D$5:$D$34,MATCH(A29,'CRM Source'!$A$5:$A$34,0)),"")&lt;&gt;IFERROR(INDEX('Support Source'!$D$5:$D$34,MATCH(A29,'Support Source'!$A$5:$A$34,0)),""))),"Phone Conflict","OK")</x:f>
        <x:v>OK</x:v>
      </x:c>
      <x:c r="N29" s="202" t="str">
        <x:f>IF(OR(E29="ID",E29="SG"),"OK","Invalid Country")</x:f>
        <x:v>OK</x:v>
      </x:c>
      <x:c r="O29" s="202" t="str">
        <x:f>IF(MAX(F29:H29)&gt;1,"Duplicate Source Key","OK")</x:f>
        <x:v>OK</x:v>
      </x:c>
      <x:c r="P29" s="202" t="str">
        <x:f>IF(OR(L29&lt;&gt;"OK",M29&lt;&gt;"OK",N29&lt;&gt;"OK",O29&lt;&gt;"OK"),IF(O29&lt;&gt;"OK","High Priority Review","Review"),"Ready")</x:f>
        <x:v>Review</x:v>
      </x:c>
      <x:c r="Q29" s="202" t="str">
        <x:f>IF(P29="Ready","No action required","Compare source evidence and obtain written approval")</x:f>
        <x:v>Compare source evidence and obtain written approval</x:v>
      </x:c>
    </x:row>
    <x:row r="30" ht="26" customHeight="1">
      <x:c r="A30" s="200" t="str">
        <x:v>CUST-026</x:v>
      </x:c>
      <x:c r="B30" s="200" t="str">
        <x:f>IF(IFERROR(INDEX('CRM Source'!$B$5:$B$34,MATCH(A30,'CRM Source'!$A$5:$A$34,0)),"")&lt;&gt;"",IFERROR(INDEX('CRM Source'!$B$5:$B$34,MATCH(A30,'CRM Source'!$A$5:$A$34,0)),""),IF(IFERROR(INDEX('Web Orders Source'!$B$5:$B$34,MATCH(A30,'Web Orders Source'!$A$5:$A$34,0)),"")&lt;&gt;"",IFERROR(INDEX('Web Orders Source'!$B$5:$B$34,MATCH(A30,'Web Orders Source'!$A$5:$A$34,0)),""),IFERROR(INDEX('Support Source'!$B$5:$B$34,MATCH(A30,'Support Source'!$A$5:$A$34,0)),"")))</x:f>
        <x:v>Demo Customer 26</x:v>
      </x:c>
      <x:c r="C30" s="200" t="str">
        <x:f>IF(IFERROR(INDEX('CRM Source'!$C$5:$C$34,MATCH(A30,'CRM Source'!$A$5:$A$34,0)),"")&lt;&gt;"",IFERROR(INDEX('CRM Source'!$C$5:$C$34,MATCH(A30,'CRM Source'!$A$5:$A$34,0)),""),IF(IFERROR(INDEX('Web Orders Source'!$C$5:$C$34,MATCH(A30,'Web Orders Source'!$A$5:$A$34,0)),"")&lt;&gt;"",IFERROR(INDEX('Web Orders Source'!$C$5:$C$34,MATCH(A30,'Web Orders Source'!$A$5:$A$34,0)),""),IFERROR(INDEX('Support Source'!$C$5:$C$34,MATCH(A30,'Support Source'!$A$5:$A$34,0)),"")))</x:f>
        <x:v>customer26@example.invalid</x:v>
      </x:c>
      <x:c r="D30" s="200" t="str">
        <x:f>IF(IFERROR(INDEX('CRM Source'!$D$5:$D$34,MATCH(A30,'CRM Source'!$A$5:$A$34,0)),"")&lt;&gt;"",IFERROR(INDEX('CRM Source'!$D$5:$D$34,MATCH(A30,'CRM Source'!$A$5:$A$34,0)),""),IF(IFERROR(INDEX('Web Orders Source'!$D$5:$D$34,MATCH(A30,'Web Orders Source'!$A$5:$A$34,0)),"")&lt;&gt;"",IFERROR(INDEX('Web Orders Source'!$D$5:$D$34,MATCH(A30,'Web Orders Source'!$A$5:$A$34,0)),""),IFERROR(INDEX('Support Source'!$D$5:$D$34,MATCH(A30,'Support Source'!$A$5:$A$34,0)),"")))</x:f>
        <x:v>+62-811-000-0026</x:v>
      </x:c>
      <x:c r="E30" s="200" t="str">
        <x:f>IF(IFERROR(INDEX('CRM Source'!$E$5:$E$34,MATCH(A30,'CRM Source'!$A$5:$A$34,0)),"")&lt;&gt;"",IFERROR(INDEX('CRM Source'!$E$5:$E$34,MATCH(A30,'CRM Source'!$A$5:$A$34,0)),""),IF(IFERROR(INDEX('Web Orders Source'!$E$5:$E$34,MATCH(A30,'Web Orders Source'!$A$5:$A$34,0)),"")&lt;&gt;"",IFERROR(INDEX('Web Orders Source'!$E$5:$E$34,MATCH(A30,'Web Orders Source'!$A$5:$A$34,0)),""),IFERROR(INDEX('Support Source'!$E$5:$E$34,MATCH(A30,'Support Source'!$A$5:$A$34,0)),"")))</x:f>
        <x:v>ID</x:v>
      </x:c>
      <x:c r="F30" s="200" t="n">
        <x:f>COUNTIF('CRM Source'!$A$5:$A$34,A30)</x:f>
        <x:v>1</x:v>
      </x:c>
      <x:c r="G30" s="200" t="n">
        <x:f>COUNTIF('Web Orders Source'!$A$5:$A$34,A30)</x:f>
        <x:v>1</x:v>
      </x:c>
      <x:c r="H30" s="200" t="n">
        <x:f>COUNTIF('Support Source'!$A$5:$A$34,A30)</x:f>
        <x:v>1</x:v>
      </x:c>
      <x:c r="I30" s="200" t="str">
        <x:f>IFERROR(INDEX('CRM Source'!$C$5:$C$34,MATCH(A30,'CRM Source'!$A$5:$A$34,0)),"")</x:f>
        <x:v>customer26@example.invalid</x:v>
      </x:c>
      <x:c r="J30" s="200" t="str">
        <x:f>IFERROR(INDEX('Web Orders Source'!$C$5:$C$34,MATCH(A30,'Web Orders Source'!$A$5:$A$34,0)),"")</x:f>
        <x:v>customer26@example.invalid</x:v>
      </x:c>
      <x:c r="K30" s="200" t="str">
        <x:f>IFERROR(INDEX('Support Source'!$C$5:$C$34,MATCH(A30,'Support Source'!$A$5:$A$34,0)),"")</x:f>
        <x:v>customer26@example.invalid</x:v>
      </x:c>
      <x:c r="L30" s="200" t="str">
        <x:f>IF(OR(AND(I30&lt;&gt;"",J30&lt;&gt;"",I30&lt;&gt;J30),AND(I30&lt;&gt;"",K30&lt;&gt;"",I30&lt;&gt;K30),AND(J30&lt;&gt;"",K30&lt;&gt;"",J30&lt;&gt;K30)),"Email Conflict","OK")</x:f>
        <x:v>OK</x:v>
      </x:c>
      <x:c r="M30" s="200" t="str">
        <x:f>IF(OR(AND(IFERROR(INDEX('CRM Source'!$D$5:$D$34,MATCH(A30,'CRM Source'!$A$5:$A$34,0)),"")&lt;&gt;"",IFERROR(INDEX('Web Orders Source'!$D$5:$D$34,MATCH(A30,'Web Orders Source'!$A$5:$A$34,0)),"")&lt;&gt;"",IFERROR(INDEX('CRM Source'!$D$5:$D$34,MATCH(A30,'CRM Source'!$A$5:$A$34,0)),"")&lt;&gt;IFERROR(INDEX('Web Orders Source'!$D$5:$D$34,MATCH(A30,'Web Orders Source'!$A$5:$A$34,0)),"")),AND(IFERROR(INDEX('CRM Source'!$D$5:$D$34,MATCH(A30,'CRM Source'!$A$5:$A$34,0)),"")&lt;&gt;"",IFERROR(INDEX('Support Source'!$D$5:$D$34,MATCH(A30,'Support Source'!$A$5:$A$34,0)),"")&lt;&gt;"",IFERROR(INDEX('CRM Source'!$D$5:$D$34,MATCH(A30,'CRM Source'!$A$5:$A$34,0)),"")&lt;&gt;IFERROR(INDEX('Support Source'!$D$5:$D$34,MATCH(A30,'Support Source'!$A$5:$A$34,0)),""))),"Phone Conflict","OK")</x:f>
        <x:v>OK</x:v>
      </x:c>
      <x:c r="N30" s="200" t="str">
        <x:f>IF(OR(E30="ID",E30="SG"),"OK","Invalid Country")</x:f>
        <x:v>OK</x:v>
      </x:c>
      <x:c r="O30" s="200" t="str">
        <x:f>IF(MAX(F30:H30)&gt;1,"Duplicate Source Key","OK")</x:f>
        <x:v>OK</x:v>
      </x:c>
      <x:c r="P30" s="200" t="str">
        <x:f>IF(OR(L30&lt;&gt;"OK",M30&lt;&gt;"OK",N30&lt;&gt;"OK",O30&lt;&gt;"OK"),IF(O30&lt;&gt;"OK","High Priority Review","Review"),"Ready")</x:f>
        <x:v>Ready</x:v>
      </x:c>
      <x:c r="Q30" s="200" t="str">
        <x:f>IF(P30="Ready","No action required","Compare source evidence and obtain written approval")</x:f>
        <x:v>No action required</x:v>
      </x:c>
    </x:row>
    <x:row r="31" ht="26" customHeight="1">
      <x:c r="A31" s="202" t="str">
        <x:v>CUST-027</x:v>
      </x:c>
      <x:c r="B31" s="202" t="str">
        <x:f>IF(IFERROR(INDEX('CRM Source'!$B$5:$B$34,MATCH(A31,'CRM Source'!$A$5:$A$34,0)),"")&lt;&gt;"",IFERROR(INDEX('CRM Source'!$B$5:$B$34,MATCH(A31,'CRM Source'!$A$5:$A$34,0)),""),IF(IFERROR(INDEX('Web Orders Source'!$B$5:$B$34,MATCH(A31,'Web Orders Source'!$A$5:$A$34,0)),"")&lt;&gt;"",IFERROR(INDEX('Web Orders Source'!$B$5:$B$34,MATCH(A31,'Web Orders Source'!$A$5:$A$34,0)),""),IFERROR(INDEX('Support Source'!$B$5:$B$34,MATCH(A31,'Support Source'!$A$5:$A$34,0)),"")))</x:f>
        <x:v>Demo Customer 27</x:v>
      </x:c>
      <x:c r="C31" s="202" t="str">
        <x:f>IF(IFERROR(INDEX('CRM Source'!$C$5:$C$34,MATCH(A31,'CRM Source'!$A$5:$A$34,0)),"")&lt;&gt;"",IFERROR(INDEX('CRM Source'!$C$5:$C$34,MATCH(A31,'CRM Source'!$A$5:$A$34,0)),""),IF(IFERROR(INDEX('Web Orders Source'!$C$5:$C$34,MATCH(A31,'Web Orders Source'!$A$5:$A$34,0)),"")&lt;&gt;"",IFERROR(INDEX('Web Orders Source'!$C$5:$C$34,MATCH(A31,'Web Orders Source'!$A$5:$A$34,0)),""),IFERROR(INDEX('Support Source'!$C$5:$C$34,MATCH(A31,'Support Source'!$A$5:$A$34,0)),"")))</x:f>
        <x:v>customer27@example.invalid</x:v>
      </x:c>
      <x:c r="D31" s="202" t="str">
        <x:f>IF(IFERROR(INDEX('CRM Source'!$D$5:$D$34,MATCH(A31,'CRM Source'!$A$5:$A$34,0)),"")&lt;&gt;"",IFERROR(INDEX('CRM Source'!$D$5:$D$34,MATCH(A31,'CRM Source'!$A$5:$A$34,0)),""),IF(IFERROR(INDEX('Web Orders Source'!$D$5:$D$34,MATCH(A31,'Web Orders Source'!$A$5:$A$34,0)),"")&lt;&gt;"",IFERROR(INDEX('Web Orders Source'!$D$5:$D$34,MATCH(A31,'Web Orders Source'!$A$5:$A$34,0)),""),IFERROR(INDEX('Support Source'!$D$5:$D$34,MATCH(A31,'Support Source'!$A$5:$A$34,0)),"")))</x:f>
        <x:v>+62-811-000-0027</x:v>
      </x:c>
      <x:c r="E31" s="202" t="str">
        <x:f>IF(IFERROR(INDEX('CRM Source'!$E$5:$E$34,MATCH(A31,'CRM Source'!$A$5:$A$34,0)),"")&lt;&gt;"",IFERROR(INDEX('CRM Source'!$E$5:$E$34,MATCH(A31,'CRM Source'!$A$5:$A$34,0)),""),IF(IFERROR(INDEX('Web Orders Source'!$E$5:$E$34,MATCH(A31,'Web Orders Source'!$A$5:$A$34,0)),"")&lt;&gt;"",IFERROR(INDEX('Web Orders Source'!$E$5:$E$34,MATCH(A31,'Web Orders Source'!$A$5:$A$34,0)),""),IFERROR(INDEX('Support Source'!$E$5:$E$34,MATCH(A31,'Support Source'!$A$5:$A$34,0)),"")))</x:f>
        <x:v>ID</x:v>
      </x:c>
      <x:c r="F31" s="202" t="n">
        <x:f>COUNTIF('CRM Source'!$A$5:$A$34,A31)</x:f>
        <x:v>1</x:v>
      </x:c>
      <x:c r="G31" s="202" t="n">
        <x:f>COUNTIF('Web Orders Source'!$A$5:$A$34,A31)</x:f>
        <x:v>1</x:v>
      </x:c>
      <x:c r="H31" s="202" t="n">
        <x:f>COUNTIF('Support Source'!$A$5:$A$34,A31)</x:f>
        <x:v>1</x:v>
      </x:c>
      <x:c r="I31" s="202" t="str">
        <x:f>IFERROR(INDEX('CRM Source'!$C$5:$C$34,MATCH(A31,'CRM Source'!$A$5:$A$34,0)),"")</x:f>
        <x:v>customer27@example.invalid</x:v>
      </x:c>
      <x:c r="J31" s="202" t="str">
        <x:f>IFERROR(INDEX('Web Orders Source'!$C$5:$C$34,MATCH(A31,'Web Orders Source'!$A$5:$A$34,0)),"")</x:f>
        <x:v>customer27@example.invalid</x:v>
      </x:c>
      <x:c r="K31" s="202" t="str">
        <x:f>IFERROR(INDEX('Support Source'!$C$5:$C$34,MATCH(A31,'Support Source'!$A$5:$A$34,0)),"")</x:f>
        <x:v>customer27@example.invalid</x:v>
      </x:c>
      <x:c r="L31" s="202" t="str">
        <x:f>IF(OR(AND(I31&lt;&gt;"",J31&lt;&gt;"",I31&lt;&gt;J31),AND(I31&lt;&gt;"",K31&lt;&gt;"",I31&lt;&gt;K31),AND(J31&lt;&gt;"",K31&lt;&gt;"",J31&lt;&gt;K31)),"Email Conflict","OK")</x:f>
        <x:v>OK</x:v>
      </x:c>
      <x:c r="M31" s="202" t="str">
        <x:f>IF(OR(AND(IFERROR(INDEX('CRM Source'!$D$5:$D$34,MATCH(A31,'CRM Source'!$A$5:$A$34,0)),"")&lt;&gt;"",IFERROR(INDEX('Web Orders Source'!$D$5:$D$34,MATCH(A31,'Web Orders Source'!$A$5:$A$34,0)),"")&lt;&gt;"",IFERROR(INDEX('CRM Source'!$D$5:$D$34,MATCH(A31,'CRM Source'!$A$5:$A$34,0)),"")&lt;&gt;IFERROR(INDEX('Web Orders Source'!$D$5:$D$34,MATCH(A31,'Web Orders Source'!$A$5:$A$34,0)),"")),AND(IFERROR(INDEX('CRM Source'!$D$5:$D$34,MATCH(A31,'CRM Source'!$A$5:$A$34,0)),"")&lt;&gt;"",IFERROR(INDEX('Support Source'!$D$5:$D$34,MATCH(A31,'Support Source'!$A$5:$A$34,0)),"")&lt;&gt;"",IFERROR(INDEX('CRM Source'!$D$5:$D$34,MATCH(A31,'CRM Source'!$A$5:$A$34,0)),"")&lt;&gt;IFERROR(INDEX('Support Source'!$D$5:$D$34,MATCH(A31,'Support Source'!$A$5:$A$34,0)),""))),"Phone Conflict","OK")</x:f>
        <x:v>OK</x:v>
      </x:c>
      <x:c r="N31" s="202" t="str">
        <x:f>IF(OR(E31="ID",E31="SG"),"OK","Invalid Country")</x:f>
        <x:v>OK</x:v>
      </x:c>
      <x:c r="O31" s="202" t="str">
        <x:f>IF(MAX(F31:H31)&gt;1,"Duplicate Source Key","OK")</x:f>
        <x:v>OK</x:v>
      </x:c>
      <x:c r="P31" s="202" t="str">
        <x:f>IF(OR(L31&lt;&gt;"OK",M31&lt;&gt;"OK",N31&lt;&gt;"OK",O31&lt;&gt;"OK"),IF(O31&lt;&gt;"OK","High Priority Review","Review"),"Ready")</x:f>
        <x:v>Ready</x:v>
      </x:c>
      <x:c r="Q31" s="202" t="str">
        <x:f>IF(P31="Ready","No action required","Compare source evidence and obtain written approval")</x:f>
        <x:v>No action required</x:v>
      </x:c>
    </x:row>
    <x:row r="32" ht="26" customHeight="1">
      <x:c r="A32" s="200" t="str">
        <x:v>CUST-028</x:v>
      </x:c>
      <x:c r="B32" s="200" t="str">
        <x:f>IF(IFERROR(INDEX('CRM Source'!$B$5:$B$34,MATCH(A32,'CRM Source'!$A$5:$A$34,0)),"")&lt;&gt;"",IFERROR(INDEX('CRM Source'!$B$5:$B$34,MATCH(A32,'CRM Source'!$A$5:$A$34,0)),""),IF(IFERROR(INDEX('Web Orders Source'!$B$5:$B$34,MATCH(A32,'Web Orders Source'!$A$5:$A$34,0)),"")&lt;&gt;"",IFERROR(INDEX('Web Orders Source'!$B$5:$B$34,MATCH(A32,'Web Orders Source'!$A$5:$A$34,0)),""),IFERROR(INDEX('Support Source'!$B$5:$B$34,MATCH(A32,'Support Source'!$A$5:$A$34,0)),"")))</x:f>
        <x:v>Demo Customer 28</x:v>
      </x:c>
      <x:c r="C32" s="200" t="str">
        <x:f>IF(IFERROR(INDEX('CRM Source'!$C$5:$C$34,MATCH(A32,'CRM Source'!$A$5:$A$34,0)),"")&lt;&gt;"",IFERROR(INDEX('CRM Source'!$C$5:$C$34,MATCH(A32,'CRM Source'!$A$5:$A$34,0)),""),IF(IFERROR(INDEX('Web Orders Source'!$C$5:$C$34,MATCH(A32,'Web Orders Source'!$A$5:$A$34,0)),"")&lt;&gt;"",IFERROR(INDEX('Web Orders Source'!$C$5:$C$34,MATCH(A32,'Web Orders Source'!$A$5:$A$34,0)),""),IFERROR(INDEX('Support Source'!$C$5:$C$34,MATCH(A32,'Support Source'!$A$5:$A$34,0)),"")))</x:f>
        <x:v>customer28@example.invalid</x:v>
      </x:c>
      <x:c r="D32" s="200" t="str">
        <x:f>IF(IFERROR(INDEX('CRM Source'!$D$5:$D$34,MATCH(A32,'CRM Source'!$A$5:$A$34,0)),"")&lt;&gt;"",IFERROR(INDEX('CRM Source'!$D$5:$D$34,MATCH(A32,'CRM Source'!$A$5:$A$34,0)),""),IF(IFERROR(INDEX('Web Orders Source'!$D$5:$D$34,MATCH(A32,'Web Orders Source'!$A$5:$A$34,0)),"")&lt;&gt;"",IFERROR(INDEX('Web Orders Source'!$D$5:$D$34,MATCH(A32,'Web Orders Source'!$A$5:$A$34,0)),""),IFERROR(INDEX('Support Source'!$D$5:$D$34,MATCH(A32,'Support Source'!$A$5:$A$34,0)),"")))</x:f>
        <x:v>+62-811-000-0028</x:v>
      </x:c>
      <x:c r="E32" s="200" t="str">
        <x:f>IF(IFERROR(INDEX('CRM Source'!$E$5:$E$34,MATCH(A32,'CRM Source'!$A$5:$A$34,0)),"")&lt;&gt;"",IFERROR(INDEX('CRM Source'!$E$5:$E$34,MATCH(A32,'CRM Source'!$A$5:$A$34,0)),""),IF(IFERROR(INDEX('Web Orders Source'!$E$5:$E$34,MATCH(A32,'Web Orders Source'!$A$5:$A$34,0)),"")&lt;&gt;"",IFERROR(INDEX('Web Orders Source'!$E$5:$E$34,MATCH(A32,'Web Orders Source'!$A$5:$A$34,0)),""),IFERROR(INDEX('Support Source'!$E$5:$E$34,MATCH(A32,'Support Source'!$A$5:$A$34,0)),"")))</x:f>
        <x:v>ID</x:v>
      </x:c>
      <x:c r="F32" s="200" t="n">
        <x:f>COUNTIF('CRM Source'!$A$5:$A$34,A32)</x:f>
        <x:v>1</x:v>
      </x:c>
      <x:c r="G32" s="200" t="n">
        <x:f>COUNTIF('Web Orders Source'!$A$5:$A$34,A32)</x:f>
        <x:v>1</x:v>
      </x:c>
      <x:c r="H32" s="200" t="n">
        <x:f>COUNTIF('Support Source'!$A$5:$A$34,A32)</x:f>
        <x:v>1</x:v>
      </x:c>
      <x:c r="I32" s="200" t="str">
        <x:f>IFERROR(INDEX('CRM Source'!$C$5:$C$34,MATCH(A32,'CRM Source'!$A$5:$A$34,0)),"")</x:f>
        <x:v>customer28@example.invalid</x:v>
      </x:c>
      <x:c r="J32" s="200" t="str">
        <x:f>IFERROR(INDEX('Web Orders Source'!$C$5:$C$34,MATCH(A32,'Web Orders Source'!$A$5:$A$34,0)),"")</x:f>
        <x:v>customer28@example.invalid</x:v>
      </x:c>
      <x:c r="K32" s="200" t="str">
        <x:f>IFERROR(INDEX('Support Source'!$C$5:$C$34,MATCH(A32,'Support Source'!$A$5:$A$34,0)),"")</x:f>
        <x:v>customer28@example.invalid</x:v>
      </x:c>
      <x:c r="L32" s="200" t="str">
        <x:f>IF(OR(AND(I32&lt;&gt;"",J32&lt;&gt;"",I32&lt;&gt;J32),AND(I32&lt;&gt;"",K32&lt;&gt;"",I32&lt;&gt;K32),AND(J32&lt;&gt;"",K32&lt;&gt;"",J32&lt;&gt;K32)),"Email Conflict","OK")</x:f>
        <x:v>OK</x:v>
      </x:c>
      <x:c r="M32" s="200" t="str">
        <x:f>IF(OR(AND(IFERROR(INDEX('CRM Source'!$D$5:$D$34,MATCH(A32,'CRM Source'!$A$5:$A$34,0)),"")&lt;&gt;"",IFERROR(INDEX('Web Orders Source'!$D$5:$D$34,MATCH(A32,'Web Orders Source'!$A$5:$A$34,0)),"")&lt;&gt;"",IFERROR(INDEX('CRM Source'!$D$5:$D$34,MATCH(A32,'CRM Source'!$A$5:$A$34,0)),"")&lt;&gt;IFERROR(INDEX('Web Orders Source'!$D$5:$D$34,MATCH(A32,'Web Orders Source'!$A$5:$A$34,0)),"")),AND(IFERROR(INDEX('CRM Source'!$D$5:$D$34,MATCH(A32,'CRM Source'!$A$5:$A$34,0)),"")&lt;&gt;"",IFERROR(INDEX('Support Source'!$D$5:$D$34,MATCH(A32,'Support Source'!$A$5:$A$34,0)),"")&lt;&gt;"",IFERROR(INDEX('CRM Source'!$D$5:$D$34,MATCH(A32,'CRM Source'!$A$5:$A$34,0)),"")&lt;&gt;IFERROR(INDEX('Support Source'!$D$5:$D$34,MATCH(A32,'Support Source'!$A$5:$A$34,0)),""))),"Phone Conflict","OK")</x:f>
        <x:v>OK</x:v>
      </x:c>
      <x:c r="N32" s="200" t="str">
        <x:f>IF(OR(E32="ID",E32="SG"),"OK","Invalid Country")</x:f>
        <x:v>OK</x:v>
      </x:c>
      <x:c r="O32" s="200" t="str">
        <x:f>IF(MAX(F32:H32)&gt;1,"Duplicate Source Key","OK")</x:f>
        <x:v>OK</x:v>
      </x:c>
      <x:c r="P32" s="200" t="str">
        <x:f>IF(OR(L32&lt;&gt;"OK",M32&lt;&gt;"OK",N32&lt;&gt;"OK",O32&lt;&gt;"OK"),IF(O32&lt;&gt;"OK","High Priority Review","Review"),"Ready")</x:f>
        <x:v>Ready</x:v>
      </x:c>
      <x:c r="Q32" s="200" t="str">
        <x:f>IF(P32="Ready","No action required","Compare source evidence and obtain written approval")</x:f>
        <x:v>No action required</x:v>
      </x:c>
    </x:row>
    <x:row r="33" ht="26" customHeight="1">
      <x:c r="A33" s="202" t="str">
        <x:v>CUST-029</x:v>
      </x:c>
      <x:c r="B33" s="202" t="str">
        <x:f>IF(IFERROR(INDEX('CRM Source'!$B$5:$B$34,MATCH(A33,'CRM Source'!$A$5:$A$34,0)),"")&lt;&gt;"",IFERROR(INDEX('CRM Source'!$B$5:$B$34,MATCH(A33,'CRM Source'!$A$5:$A$34,0)),""),IF(IFERROR(INDEX('Web Orders Source'!$B$5:$B$34,MATCH(A33,'Web Orders Source'!$A$5:$A$34,0)),"")&lt;&gt;"",IFERROR(INDEX('Web Orders Source'!$B$5:$B$34,MATCH(A33,'Web Orders Source'!$A$5:$A$34,0)),""),IFERROR(INDEX('Support Source'!$B$5:$B$34,MATCH(A33,'Support Source'!$A$5:$A$34,0)),"")))</x:f>
        <x:v>Demo Customer 29</x:v>
      </x:c>
      <x:c r="C33" s="202" t="str">
        <x:f>IF(IFERROR(INDEX('CRM Source'!$C$5:$C$34,MATCH(A33,'CRM Source'!$A$5:$A$34,0)),"")&lt;&gt;"",IFERROR(INDEX('CRM Source'!$C$5:$C$34,MATCH(A33,'CRM Source'!$A$5:$A$34,0)),""),IF(IFERROR(INDEX('Web Orders Source'!$C$5:$C$34,MATCH(A33,'Web Orders Source'!$A$5:$A$34,0)),"")&lt;&gt;"",IFERROR(INDEX('Web Orders Source'!$C$5:$C$34,MATCH(A33,'Web Orders Source'!$A$5:$A$34,0)),""),IFERROR(INDEX('Support Source'!$C$5:$C$34,MATCH(A33,'Support Source'!$A$5:$A$34,0)),"")))</x:f>
        <x:v>customer29@example.invalid</x:v>
      </x:c>
      <x:c r="D33" s="202" t="str">
        <x:f>IF(IFERROR(INDEX('CRM Source'!$D$5:$D$34,MATCH(A33,'CRM Source'!$A$5:$A$34,0)),"")&lt;&gt;"",IFERROR(INDEX('CRM Source'!$D$5:$D$34,MATCH(A33,'CRM Source'!$A$5:$A$34,0)),""),IF(IFERROR(INDEX('Web Orders Source'!$D$5:$D$34,MATCH(A33,'Web Orders Source'!$A$5:$A$34,0)),"")&lt;&gt;"",IFERROR(INDEX('Web Orders Source'!$D$5:$D$34,MATCH(A33,'Web Orders Source'!$A$5:$A$34,0)),""),IFERROR(INDEX('Support Source'!$D$5:$D$34,MATCH(A33,'Support Source'!$A$5:$A$34,0)),"")))</x:f>
        <x:v>+62-812-CRM-29</x:v>
      </x:c>
      <x:c r="E33" s="202" t="str">
        <x:f>IF(IFERROR(INDEX('CRM Source'!$E$5:$E$34,MATCH(A33,'CRM Source'!$A$5:$A$34,0)),"")&lt;&gt;"",IFERROR(INDEX('CRM Source'!$E$5:$E$34,MATCH(A33,'CRM Source'!$A$5:$A$34,0)),""),IF(IFERROR(INDEX('Web Orders Source'!$E$5:$E$34,MATCH(A33,'Web Orders Source'!$A$5:$A$34,0)),"")&lt;&gt;"",IFERROR(INDEX('Web Orders Source'!$E$5:$E$34,MATCH(A33,'Web Orders Source'!$A$5:$A$34,0)),""),IFERROR(INDEX('Support Source'!$E$5:$E$34,MATCH(A33,'Support Source'!$A$5:$A$34,0)),"")))</x:f>
        <x:v>ID</x:v>
      </x:c>
      <x:c r="F33" s="202" t="n">
        <x:f>COUNTIF('CRM Source'!$A$5:$A$34,A33)</x:f>
        <x:v>1</x:v>
      </x:c>
      <x:c r="G33" s="202" t="n">
        <x:f>COUNTIF('Web Orders Source'!$A$5:$A$34,A33)</x:f>
        <x:v>1</x:v>
      </x:c>
      <x:c r="H33" s="202" t="n">
        <x:f>COUNTIF('Support Source'!$A$5:$A$34,A33)</x:f>
        <x:v>1</x:v>
      </x:c>
      <x:c r="I33" s="202" t="str">
        <x:f>IFERROR(INDEX('CRM Source'!$C$5:$C$34,MATCH(A33,'CRM Source'!$A$5:$A$34,0)),"")</x:f>
        <x:v>customer29@example.invalid</x:v>
      </x:c>
      <x:c r="J33" s="202" t="str">
        <x:f>IFERROR(INDEX('Web Orders Source'!$C$5:$C$34,MATCH(A33,'Web Orders Source'!$A$5:$A$34,0)),"")</x:f>
        <x:v>customer29@example.invalid</x:v>
      </x:c>
      <x:c r="K33" s="202" t="str">
        <x:f>IFERROR(INDEX('Support Source'!$C$5:$C$34,MATCH(A33,'Support Source'!$A$5:$A$34,0)),"")</x:f>
        <x:v>customer29@example.invalid</x:v>
      </x:c>
      <x:c r="L33" s="202" t="str">
        <x:f>IF(OR(AND(I33&lt;&gt;"",J33&lt;&gt;"",I33&lt;&gt;J33),AND(I33&lt;&gt;"",K33&lt;&gt;"",I33&lt;&gt;K33),AND(J33&lt;&gt;"",K33&lt;&gt;"",J33&lt;&gt;K33)),"Email Conflict","OK")</x:f>
        <x:v>OK</x:v>
      </x:c>
      <x:c r="M33" s="202" t="str">
        <x:f>IF(OR(AND(IFERROR(INDEX('CRM Source'!$D$5:$D$34,MATCH(A33,'CRM Source'!$A$5:$A$34,0)),"")&lt;&gt;"",IFERROR(INDEX('Web Orders Source'!$D$5:$D$34,MATCH(A33,'Web Orders Source'!$A$5:$A$34,0)),"")&lt;&gt;"",IFERROR(INDEX('CRM Source'!$D$5:$D$34,MATCH(A33,'CRM Source'!$A$5:$A$34,0)),"")&lt;&gt;IFERROR(INDEX('Web Orders Source'!$D$5:$D$34,MATCH(A33,'Web Orders Source'!$A$5:$A$34,0)),"")),AND(IFERROR(INDEX('CRM Source'!$D$5:$D$34,MATCH(A33,'CRM Source'!$A$5:$A$34,0)),"")&lt;&gt;"",IFERROR(INDEX('Support Source'!$D$5:$D$34,MATCH(A33,'Support Source'!$A$5:$A$34,0)),"")&lt;&gt;"",IFERROR(INDEX('CRM Source'!$D$5:$D$34,MATCH(A33,'CRM Source'!$A$5:$A$34,0)),"")&lt;&gt;IFERROR(INDEX('Support Source'!$D$5:$D$34,MATCH(A33,'Support Source'!$A$5:$A$34,0)),""))),"Phone Conflict","OK")</x:f>
        <x:v>Phone Conflict</x:v>
      </x:c>
      <x:c r="N33" s="202" t="str">
        <x:f>IF(OR(E33="ID",E33="SG"),"OK","Invalid Country")</x:f>
        <x:v>OK</x:v>
      </x:c>
      <x:c r="O33" s="202" t="str">
        <x:f>IF(MAX(F33:H33)&gt;1,"Duplicate Source Key","OK")</x:f>
        <x:v>OK</x:v>
      </x:c>
      <x:c r="P33" s="202" t="str">
        <x:f>IF(OR(L33&lt;&gt;"OK",M33&lt;&gt;"OK",N33&lt;&gt;"OK",O33&lt;&gt;"OK"),IF(O33&lt;&gt;"OK","High Priority Review","Review"),"Ready")</x:f>
        <x:v>Review</x:v>
      </x:c>
      <x:c r="Q33" s="202" t="str">
        <x:f>IF(P33="Ready","No action required","Compare source evidence and obtain written approval")</x:f>
        <x:v>Compare source evidence and obtain written approval</x:v>
      </x:c>
    </x:row>
    <x:row r="34" ht="26" customHeight="1">
      <x:c r="A34" s="200" t="str">
        <x:v>CUST-030</x:v>
      </x:c>
      <x:c r="B34" s="200" t="str">
        <x:f>IF(IFERROR(INDEX('CRM Source'!$B$5:$B$34,MATCH(A34,'CRM Source'!$A$5:$A$34,0)),"")&lt;&gt;"",IFERROR(INDEX('CRM Source'!$B$5:$B$34,MATCH(A34,'CRM Source'!$A$5:$A$34,0)),""),IF(IFERROR(INDEX('Web Orders Source'!$B$5:$B$34,MATCH(A34,'Web Orders Source'!$A$5:$A$34,0)),"")&lt;&gt;"",IFERROR(INDEX('Web Orders Source'!$B$5:$B$34,MATCH(A34,'Web Orders Source'!$A$5:$A$34,0)),""),IFERROR(INDEX('Support Source'!$B$5:$B$34,MATCH(A34,'Support Source'!$A$5:$A$34,0)),"")))</x:f>
        <x:v>Demo Customer 30</x:v>
      </x:c>
      <x:c r="C34" s="200" t="str">
        <x:f>IF(IFERROR(INDEX('CRM Source'!$C$5:$C$34,MATCH(A34,'CRM Source'!$A$5:$A$34,0)),"")&lt;&gt;"",IFERROR(INDEX('CRM Source'!$C$5:$C$34,MATCH(A34,'CRM Source'!$A$5:$A$34,0)),""),IF(IFERROR(INDEX('Web Orders Source'!$C$5:$C$34,MATCH(A34,'Web Orders Source'!$A$5:$A$34,0)),"")&lt;&gt;"",IFERROR(INDEX('Web Orders Source'!$C$5:$C$34,MATCH(A34,'Web Orders Source'!$A$5:$A$34,0)),""),IFERROR(INDEX('Support Source'!$C$5:$C$34,MATCH(A34,'Support Source'!$A$5:$A$34,0)),"")))</x:f>
        <x:v>customer30@example.invalid</x:v>
      </x:c>
      <x:c r="D34" s="200" t="str">
        <x:f>IF(IFERROR(INDEX('CRM Source'!$D$5:$D$34,MATCH(A34,'CRM Source'!$A$5:$A$34,0)),"")&lt;&gt;"",IFERROR(INDEX('CRM Source'!$D$5:$D$34,MATCH(A34,'CRM Source'!$A$5:$A$34,0)),""),IF(IFERROR(INDEX('Web Orders Source'!$D$5:$D$34,MATCH(A34,'Web Orders Source'!$A$5:$A$34,0)),"")&lt;&gt;"",IFERROR(INDEX('Web Orders Source'!$D$5:$D$34,MATCH(A34,'Web Orders Source'!$A$5:$A$34,0)),""),IFERROR(INDEX('Support Source'!$D$5:$D$34,MATCH(A34,'Support Source'!$A$5:$A$34,0)),"")))</x:f>
        <x:v>+62-811-000-0030</x:v>
      </x:c>
      <x:c r="E34" s="200" t="str">
        <x:f>IF(IFERROR(INDEX('CRM Source'!$E$5:$E$34,MATCH(A34,'CRM Source'!$A$5:$A$34,0)),"")&lt;&gt;"",IFERROR(INDEX('CRM Source'!$E$5:$E$34,MATCH(A34,'CRM Source'!$A$5:$A$34,0)),""),IF(IFERROR(INDEX('Web Orders Source'!$E$5:$E$34,MATCH(A34,'Web Orders Source'!$A$5:$A$34,0)),"")&lt;&gt;"",IFERROR(INDEX('Web Orders Source'!$E$5:$E$34,MATCH(A34,'Web Orders Source'!$A$5:$A$34,0)),""),IFERROR(INDEX('Support Source'!$E$5:$E$34,MATCH(A34,'Support Source'!$A$5:$A$34,0)),"")))</x:f>
        <x:v>SG</x:v>
      </x:c>
      <x:c r="F34" s="200" t="n">
        <x:f>COUNTIF('CRM Source'!$A$5:$A$34,A34)</x:f>
        <x:v>0</x:v>
      </x:c>
      <x:c r="G34" s="200" t="n">
        <x:f>COUNTIF('Web Orders Source'!$A$5:$A$34,A34)</x:f>
        <x:v>1</x:v>
      </x:c>
      <x:c r="H34" s="200" t="n">
        <x:f>COUNTIF('Support Source'!$A$5:$A$34,A34)</x:f>
        <x:v>1</x:v>
      </x:c>
      <x:c r="I34" s="200" t="str">
        <x:f>IFERROR(INDEX('CRM Source'!$C$5:$C$34,MATCH(A34,'CRM Source'!$A$5:$A$34,0)),"")</x:f>
      </x:c>
      <x:c r="J34" s="200" t="str">
        <x:f>IFERROR(INDEX('Web Orders Source'!$C$5:$C$34,MATCH(A34,'Web Orders Source'!$A$5:$A$34,0)),"")</x:f>
        <x:v>customer30@example.invalid</x:v>
      </x:c>
      <x:c r="K34" s="200" t="str">
        <x:f>IFERROR(INDEX('Support Source'!$C$5:$C$34,MATCH(A34,'Support Source'!$A$5:$A$34,0)),"")</x:f>
        <x:v>customer30@example.invalid</x:v>
      </x:c>
      <x:c r="L34" s="200" t="str">
        <x:f>IF(OR(AND(I34&lt;&gt;"",J34&lt;&gt;"",I34&lt;&gt;J34),AND(I34&lt;&gt;"",K34&lt;&gt;"",I34&lt;&gt;K34),AND(J34&lt;&gt;"",K34&lt;&gt;"",J34&lt;&gt;K34)),"Email Conflict","OK")</x:f>
        <x:v>OK</x:v>
      </x:c>
      <x:c r="M34" s="200" t="str">
        <x:f>IF(OR(AND(IFERROR(INDEX('CRM Source'!$D$5:$D$34,MATCH(A34,'CRM Source'!$A$5:$A$34,0)),"")&lt;&gt;"",IFERROR(INDEX('Web Orders Source'!$D$5:$D$34,MATCH(A34,'Web Orders Source'!$A$5:$A$34,0)),"")&lt;&gt;"",IFERROR(INDEX('CRM Source'!$D$5:$D$34,MATCH(A34,'CRM Source'!$A$5:$A$34,0)),"")&lt;&gt;IFERROR(INDEX('Web Orders Source'!$D$5:$D$34,MATCH(A34,'Web Orders Source'!$A$5:$A$34,0)),"")),AND(IFERROR(INDEX('CRM Source'!$D$5:$D$34,MATCH(A34,'CRM Source'!$A$5:$A$34,0)),"")&lt;&gt;"",IFERROR(INDEX('Support Source'!$D$5:$D$34,MATCH(A34,'Support Source'!$A$5:$A$34,0)),"")&lt;&gt;"",IFERROR(INDEX('CRM Source'!$D$5:$D$34,MATCH(A34,'CRM Source'!$A$5:$A$34,0)),"")&lt;&gt;IFERROR(INDEX('Support Source'!$D$5:$D$34,MATCH(A34,'Support Source'!$A$5:$A$34,0)),""))),"Phone Conflict","OK")</x:f>
        <x:v>OK</x:v>
      </x:c>
      <x:c r="N34" s="200" t="str">
        <x:f>IF(OR(E34="ID",E34="SG"),"OK","Invalid Country")</x:f>
        <x:v>OK</x:v>
      </x:c>
      <x:c r="O34" s="200" t="str">
        <x:f>IF(MAX(F34:H34)&gt;1,"Duplicate Source Key","OK")</x:f>
        <x:v>OK</x:v>
      </x:c>
      <x:c r="P34" s="200" t="str">
        <x:f>IF(OR(L34&lt;&gt;"OK",M34&lt;&gt;"OK",N34&lt;&gt;"OK",O34&lt;&gt;"OK"),IF(O34&lt;&gt;"OK","High Priority Review","Review"),"Ready")</x:f>
        <x:v>Ready</x:v>
      </x:c>
      <x:c r="Q34" s="200" t="str">
        <x:f>IF(P34="Ready","No action required","Compare source evidence and obtain written approval")</x:f>
        <x:v>No action required</x:v>
      </x:c>
    </x:row>
    <x:row r="35" ht="26" customHeight="1">
      <x:c r="A35" s="202" t="str">
        <x:v>CUST-031</x:v>
      </x:c>
      <x:c r="B35" s="202" t="str">
        <x:f>IF(IFERROR(INDEX('CRM Source'!$B$5:$B$34,MATCH(A35,'CRM Source'!$A$5:$A$34,0)),"")&lt;&gt;"",IFERROR(INDEX('CRM Source'!$B$5:$B$34,MATCH(A35,'CRM Source'!$A$5:$A$34,0)),""),IF(IFERROR(INDEX('Web Orders Source'!$B$5:$B$34,MATCH(A35,'Web Orders Source'!$A$5:$A$34,0)),"")&lt;&gt;"",IFERROR(INDEX('Web Orders Source'!$B$5:$B$34,MATCH(A35,'Web Orders Source'!$A$5:$A$34,0)),""),IFERROR(INDEX('Support Source'!$B$5:$B$34,MATCH(A35,'Support Source'!$A$5:$A$34,0)),"")))</x:f>
        <x:v>Demo Customer 31</x:v>
      </x:c>
      <x:c r="C35" s="202" t="str">
        <x:f>IF(IFERROR(INDEX('CRM Source'!$C$5:$C$34,MATCH(A35,'CRM Source'!$A$5:$A$34,0)),"")&lt;&gt;"",IFERROR(INDEX('CRM Source'!$C$5:$C$34,MATCH(A35,'CRM Source'!$A$5:$A$34,0)),""),IF(IFERROR(INDEX('Web Orders Source'!$C$5:$C$34,MATCH(A35,'Web Orders Source'!$A$5:$A$34,0)),"")&lt;&gt;"",IFERROR(INDEX('Web Orders Source'!$C$5:$C$34,MATCH(A35,'Web Orders Source'!$A$5:$A$34,0)),""),IFERROR(INDEX('Support Source'!$C$5:$C$34,MATCH(A35,'Support Source'!$A$5:$A$34,0)),"")))</x:f>
        <x:v>customer31@example.invalid</x:v>
      </x:c>
      <x:c r="D35" s="202" t="str">
        <x:f>IF(IFERROR(INDEX('CRM Source'!$D$5:$D$34,MATCH(A35,'CRM Source'!$A$5:$A$34,0)),"")&lt;&gt;"",IFERROR(INDEX('CRM Source'!$D$5:$D$34,MATCH(A35,'CRM Source'!$A$5:$A$34,0)),""),IF(IFERROR(INDEX('Web Orders Source'!$D$5:$D$34,MATCH(A35,'Web Orders Source'!$A$5:$A$34,0)),"")&lt;&gt;"",IFERROR(INDEX('Web Orders Source'!$D$5:$D$34,MATCH(A35,'Web Orders Source'!$A$5:$A$34,0)),""),IFERROR(INDEX('Support Source'!$D$5:$D$34,MATCH(A35,'Support Source'!$A$5:$A$34,0)),"")))</x:f>
        <x:v>+62-811-000-0031</x:v>
      </x:c>
      <x:c r="E35" s="202" t="str">
        <x:f>IF(IFERROR(INDEX('CRM Source'!$E$5:$E$34,MATCH(A35,'CRM Source'!$A$5:$A$34,0)),"")&lt;&gt;"",IFERROR(INDEX('CRM Source'!$E$5:$E$34,MATCH(A35,'CRM Source'!$A$5:$A$34,0)),""),IF(IFERROR(INDEX('Web Orders Source'!$E$5:$E$34,MATCH(A35,'Web Orders Source'!$A$5:$A$34,0)),"")&lt;&gt;"",IFERROR(INDEX('Web Orders Source'!$E$5:$E$34,MATCH(A35,'Web Orders Source'!$A$5:$A$34,0)),""),IFERROR(INDEX('Support Source'!$E$5:$E$34,MATCH(A35,'Support Source'!$A$5:$A$34,0)),"")))</x:f>
        <x:v>ID</x:v>
      </x:c>
      <x:c r="F35" s="202" t="n">
        <x:f>COUNTIF('CRM Source'!$A$5:$A$34,A35)</x:f>
        <x:v>0</x:v>
      </x:c>
      <x:c r="G35" s="202" t="n">
        <x:f>COUNTIF('Web Orders Source'!$A$5:$A$34,A35)</x:f>
        <x:v>1</x:v>
      </x:c>
      <x:c r="H35" s="202" t="n">
        <x:f>COUNTIF('Support Source'!$A$5:$A$34,A35)</x:f>
        <x:v>1</x:v>
      </x:c>
      <x:c r="I35" s="202" t="str">
        <x:f>IFERROR(INDEX('CRM Source'!$C$5:$C$34,MATCH(A35,'CRM Source'!$A$5:$A$34,0)),"")</x:f>
      </x:c>
      <x:c r="J35" s="202" t="str">
        <x:f>IFERROR(INDEX('Web Orders Source'!$C$5:$C$34,MATCH(A35,'Web Orders Source'!$A$5:$A$34,0)),"")</x:f>
        <x:v>customer31@example.invalid</x:v>
      </x:c>
      <x:c r="K35" s="202" t="str">
        <x:f>IFERROR(INDEX('Support Source'!$C$5:$C$34,MATCH(A35,'Support Source'!$A$5:$A$34,0)),"")</x:f>
        <x:v>customer31@example.invalid</x:v>
      </x:c>
      <x:c r="L35" s="202" t="str">
        <x:f>IF(OR(AND(I35&lt;&gt;"",J35&lt;&gt;"",I35&lt;&gt;J35),AND(I35&lt;&gt;"",K35&lt;&gt;"",I35&lt;&gt;K35),AND(J35&lt;&gt;"",K35&lt;&gt;"",J35&lt;&gt;K35)),"Email Conflict","OK")</x:f>
        <x:v>OK</x:v>
      </x:c>
      <x:c r="M35" s="202" t="str">
        <x:f>IF(OR(AND(IFERROR(INDEX('CRM Source'!$D$5:$D$34,MATCH(A35,'CRM Source'!$A$5:$A$34,0)),"")&lt;&gt;"",IFERROR(INDEX('Web Orders Source'!$D$5:$D$34,MATCH(A35,'Web Orders Source'!$A$5:$A$34,0)),"")&lt;&gt;"",IFERROR(INDEX('CRM Source'!$D$5:$D$34,MATCH(A35,'CRM Source'!$A$5:$A$34,0)),"")&lt;&gt;IFERROR(INDEX('Web Orders Source'!$D$5:$D$34,MATCH(A35,'Web Orders Source'!$A$5:$A$34,0)),"")),AND(IFERROR(INDEX('CRM Source'!$D$5:$D$34,MATCH(A35,'CRM Source'!$A$5:$A$34,0)),"")&lt;&gt;"",IFERROR(INDEX('Support Source'!$D$5:$D$34,MATCH(A35,'Support Source'!$A$5:$A$34,0)),"")&lt;&gt;"",IFERROR(INDEX('CRM Source'!$D$5:$D$34,MATCH(A35,'CRM Source'!$A$5:$A$34,0)),"")&lt;&gt;IFERROR(INDEX('Support Source'!$D$5:$D$34,MATCH(A35,'Support Source'!$A$5:$A$34,0)),""))),"Phone Conflict","OK")</x:f>
        <x:v>OK</x:v>
      </x:c>
      <x:c r="N35" s="202" t="str">
        <x:f>IF(OR(E35="ID",E35="SG"),"OK","Invalid Country")</x:f>
        <x:v>OK</x:v>
      </x:c>
      <x:c r="O35" s="202" t="str">
        <x:f>IF(MAX(F35:H35)&gt;1,"Duplicate Source Key","OK")</x:f>
        <x:v>OK</x:v>
      </x:c>
      <x:c r="P35" s="202" t="str">
        <x:f>IF(OR(L35&lt;&gt;"OK",M35&lt;&gt;"OK",N35&lt;&gt;"OK",O35&lt;&gt;"OK"),IF(O35&lt;&gt;"OK","High Priority Review","Review"),"Ready")</x:f>
        <x:v>Ready</x:v>
      </x:c>
      <x:c r="Q35" s="202" t="str">
        <x:f>IF(P35="Ready","No action required","Compare source evidence and obtain written approval")</x:f>
        <x:v>No action required</x:v>
      </x:c>
    </x:row>
    <x:row r="36" ht="26" customHeight="1">
      <x:c r="A36" s="200" t="str">
        <x:v>CUST-032</x:v>
      </x:c>
      <x:c r="B36" s="200" t="str">
        <x:f>IF(IFERROR(INDEX('CRM Source'!$B$5:$B$34,MATCH(A36,'CRM Source'!$A$5:$A$34,0)),"")&lt;&gt;"",IFERROR(INDEX('CRM Source'!$B$5:$B$34,MATCH(A36,'CRM Source'!$A$5:$A$34,0)),""),IF(IFERROR(INDEX('Web Orders Source'!$B$5:$B$34,MATCH(A36,'Web Orders Source'!$A$5:$A$34,0)),"")&lt;&gt;"",IFERROR(INDEX('Web Orders Source'!$B$5:$B$34,MATCH(A36,'Web Orders Source'!$A$5:$A$34,0)),""),IFERROR(INDEX('Support Source'!$B$5:$B$34,MATCH(A36,'Support Source'!$A$5:$A$34,0)),"")))</x:f>
        <x:v>Demo Customer 32</x:v>
      </x:c>
      <x:c r="C36" s="200" t="str">
        <x:f>IF(IFERROR(INDEX('CRM Source'!$C$5:$C$34,MATCH(A36,'CRM Source'!$A$5:$A$34,0)),"")&lt;&gt;"",IFERROR(INDEX('CRM Source'!$C$5:$C$34,MATCH(A36,'CRM Source'!$A$5:$A$34,0)),""),IF(IFERROR(INDEX('Web Orders Source'!$C$5:$C$34,MATCH(A36,'Web Orders Source'!$A$5:$A$34,0)),"")&lt;&gt;"",IFERROR(INDEX('Web Orders Source'!$C$5:$C$34,MATCH(A36,'Web Orders Source'!$A$5:$A$34,0)),""),IFERROR(INDEX('Support Source'!$C$5:$C$34,MATCH(A36,'Support Source'!$A$5:$A$34,0)),"")))</x:f>
        <x:v>web32@example.invalid</x:v>
      </x:c>
      <x:c r="D36" s="200" t="str">
        <x:f>IF(IFERROR(INDEX('CRM Source'!$D$5:$D$34,MATCH(A36,'CRM Source'!$A$5:$A$34,0)),"")&lt;&gt;"",IFERROR(INDEX('CRM Source'!$D$5:$D$34,MATCH(A36,'CRM Source'!$A$5:$A$34,0)),""),IF(IFERROR(INDEX('Web Orders Source'!$D$5:$D$34,MATCH(A36,'Web Orders Source'!$A$5:$A$34,0)),"")&lt;&gt;"",IFERROR(INDEX('Web Orders Source'!$D$5:$D$34,MATCH(A36,'Web Orders Source'!$A$5:$A$34,0)),""),IFERROR(INDEX('Support Source'!$D$5:$D$34,MATCH(A36,'Support Source'!$A$5:$A$34,0)),"")))</x:f>
        <x:v>+62-811-000-0032</x:v>
      </x:c>
      <x:c r="E36" s="200" t="str">
        <x:f>IF(IFERROR(INDEX('CRM Source'!$E$5:$E$34,MATCH(A36,'CRM Source'!$A$5:$A$34,0)),"")&lt;&gt;"",IFERROR(INDEX('CRM Source'!$E$5:$E$34,MATCH(A36,'CRM Source'!$A$5:$A$34,0)),""),IF(IFERROR(INDEX('Web Orders Source'!$E$5:$E$34,MATCH(A36,'Web Orders Source'!$A$5:$A$34,0)),"")&lt;&gt;"",IFERROR(INDEX('Web Orders Source'!$E$5:$E$34,MATCH(A36,'Web Orders Source'!$A$5:$A$34,0)),""),IFERROR(INDEX('Support Source'!$E$5:$E$34,MATCH(A36,'Support Source'!$A$5:$A$34,0)),"")))</x:f>
        <x:v>ID</x:v>
      </x:c>
      <x:c r="F36" s="200" t="n">
        <x:f>COUNTIF('CRM Source'!$A$5:$A$34,A36)</x:f>
        <x:v>0</x:v>
      </x:c>
      <x:c r="G36" s="200" t="n">
        <x:f>COUNTIF('Web Orders Source'!$A$5:$A$34,A36)</x:f>
        <x:v>1</x:v>
      </x:c>
      <x:c r="H36" s="200" t="n">
        <x:f>COUNTIF('Support Source'!$A$5:$A$34,A36)</x:f>
        <x:v>1</x:v>
      </x:c>
      <x:c r="I36" s="200" t="str">
        <x:f>IFERROR(INDEX('CRM Source'!$C$5:$C$34,MATCH(A36,'CRM Source'!$A$5:$A$34,0)),"")</x:f>
      </x:c>
      <x:c r="J36" s="200" t="str">
        <x:f>IFERROR(INDEX('Web Orders Source'!$C$5:$C$34,MATCH(A36,'Web Orders Source'!$A$5:$A$34,0)),"")</x:f>
        <x:v>web32@example.invalid</x:v>
      </x:c>
      <x:c r="K36" s="200" t="str">
        <x:f>IFERROR(INDEX('Support Source'!$C$5:$C$34,MATCH(A36,'Support Source'!$A$5:$A$34,0)),"")</x:f>
        <x:v>support32@example.invalid</x:v>
      </x:c>
      <x:c r="L36" s="200" t="str">
        <x:f>IF(OR(AND(I36&lt;&gt;"",J36&lt;&gt;"",I36&lt;&gt;J36),AND(I36&lt;&gt;"",K36&lt;&gt;"",I36&lt;&gt;K36),AND(J36&lt;&gt;"",K36&lt;&gt;"",J36&lt;&gt;K36)),"Email Conflict","OK")</x:f>
        <x:v>Email Conflict</x:v>
      </x:c>
      <x:c r="M36" s="200" t="str">
        <x:f>IF(OR(AND(IFERROR(INDEX('CRM Source'!$D$5:$D$34,MATCH(A36,'CRM Source'!$A$5:$A$34,0)),"")&lt;&gt;"",IFERROR(INDEX('Web Orders Source'!$D$5:$D$34,MATCH(A36,'Web Orders Source'!$A$5:$A$34,0)),"")&lt;&gt;"",IFERROR(INDEX('CRM Source'!$D$5:$D$34,MATCH(A36,'CRM Source'!$A$5:$A$34,0)),"")&lt;&gt;IFERROR(INDEX('Web Orders Source'!$D$5:$D$34,MATCH(A36,'Web Orders Source'!$A$5:$A$34,0)),"")),AND(IFERROR(INDEX('CRM Source'!$D$5:$D$34,MATCH(A36,'CRM Source'!$A$5:$A$34,0)),"")&lt;&gt;"",IFERROR(INDEX('Support Source'!$D$5:$D$34,MATCH(A36,'Support Source'!$A$5:$A$34,0)),"")&lt;&gt;"",IFERROR(INDEX('CRM Source'!$D$5:$D$34,MATCH(A36,'CRM Source'!$A$5:$A$34,0)),"")&lt;&gt;IFERROR(INDEX('Support Source'!$D$5:$D$34,MATCH(A36,'Support Source'!$A$5:$A$34,0)),""))),"Phone Conflict","OK")</x:f>
        <x:v>OK</x:v>
      </x:c>
      <x:c r="N36" s="200" t="str">
        <x:f>IF(OR(E36="ID",E36="SG"),"OK","Invalid Country")</x:f>
        <x:v>OK</x:v>
      </x:c>
      <x:c r="O36" s="200" t="str">
        <x:f>IF(MAX(F36:H36)&gt;1,"Duplicate Source Key","OK")</x:f>
        <x:v>OK</x:v>
      </x:c>
      <x:c r="P36" s="200" t="str">
        <x:f>IF(OR(L36&lt;&gt;"OK",M36&lt;&gt;"OK",N36&lt;&gt;"OK",O36&lt;&gt;"OK"),IF(O36&lt;&gt;"OK","High Priority Review","Review"),"Ready")</x:f>
        <x:v>Review</x:v>
      </x:c>
      <x:c r="Q36" s="200" t="str">
        <x:f>IF(P36="Ready","No action required","Compare source evidence and obtain written approval")</x:f>
        <x:v>Compare source evidence and obtain written approval</x:v>
      </x:c>
    </x:row>
    <x:row r="37" ht="26" customHeight="1">
      <x:c r="A37" s="202" t="str">
        <x:v>CUST-033</x:v>
      </x:c>
      <x:c r="B37" s="202" t="str">
        <x:f>IF(IFERROR(INDEX('CRM Source'!$B$5:$B$34,MATCH(A37,'CRM Source'!$A$5:$A$34,0)),"")&lt;&gt;"",IFERROR(INDEX('CRM Source'!$B$5:$B$34,MATCH(A37,'CRM Source'!$A$5:$A$34,0)),""),IF(IFERROR(INDEX('Web Orders Source'!$B$5:$B$34,MATCH(A37,'Web Orders Source'!$A$5:$A$34,0)),"")&lt;&gt;"",IFERROR(INDEX('Web Orders Source'!$B$5:$B$34,MATCH(A37,'Web Orders Source'!$A$5:$A$34,0)),""),IFERROR(INDEX('Support Source'!$B$5:$B$34,MATCH(A37,'Support Source'!$A$5:$A$34,0)),"")))</x:f>
        <x:v>Demo Customer 33</x:v>
      </x:c>
      <x:c r="C37" s="202" t="str">
        <x:f>IF(IFERROR(INDEX('CRM Source'!$C$5:$C$34,MATCH(A37,'CRM Source'!$A$5:$A$34,0)),"")&lt;&gt;"",IFERROR(INDEX('CRM Source'!$C$5:$C$34,MATCH(A37,'CRM Source'!$A$5:$A$34,0)),""),IF(IFERROR(INDEX('Web Orders Source'!$C$5:$C$34,MATCH(A37,'Web Orders Source'!$A$5:$A$34,0)),"")&lt;&gt;"",IFERROR(INDEX('Web Orders Source'!$C$5:$C$34,MATCH(A37,'Web Orders Source'!$A$5:$A$34,0)),""),IFERROR(INDEX('Support Source'!$C$5:$C$34,MATCH(A37,'Support Source'!$A$5:$A$34,0)),"")))</x:f>
        <x:v>customer33@example.invalid</x:v>
      </x:c>
      <x:c r="D37" s="202" t="str">
        <x:f>IF(IFERROR(INDEX('CRM Source'!$D$5:$D$34,MATCH(A37,'CRM Source'!$A$5:$A$34,0)),"")&lt;&gt;"",IFERROR(INDEX('CRM Source'!$D$5:$D$34,MATCH(A37,'CRM Source'!$A$5:$A$34,0)),""),IF(IFERROR(INDEX('Web Orders Source'!$D$5:$D$34,MATCH(A37,'Web Orders Source'!$A$5:$A$34,0)),"")&lt;&gt;"",IFERROR(INDEX('Web Orders Source'!$D$5:$D$34,MATCH(A37,'Web Orders Source'!$A$5:$A$34,0)),""),IFERROR(INDEX('Support Source'!$D$5:$D$34,MATCH(A37,'Support Source'!$A$5:$A$34,0)),"")))</x:f>
        <x:v>+62-811-000-0033</x:v>
      </x:c>
      <x:c r="E37" s="202" t="str">
        <x:f>IF(IFERROR(INDEX('CRM Source'!$E$5:$E$34,MATCH(A37,'CRM Source'!$A$5:$A$34,0)),"")&lt;&gt;"",IFERROR(INDEX('CRM Source'!$E$5:$E$34,MATCH(A37,'CRM Source'!$A$5:$A$34,0)),""),IF(IFERROR(INDEX('Web Orders Source'!$E$5:$E$34,MATCH(A37,'Web Orders Source'!$A$5:$A$34,0)),"")&lt;&gt;"",IFERROR(INDEX('Web Orders Source'!$E$5:$E$34,MATCH(A37,'Web Orders Source'!$A$5:$A$34,0)),""),IFERROR(INDEX('Support Source'!$E$5:$E$34,MATCH(A37,'Support Source'!$A$5:$A$34,0)),"")))</x:f>
        <x:v>ID</x:v>
      </x:c>
      <x:c r="F37" s="202" t="n">
        <x:f>COUNTIF('CRM Source'!$A$5:$A$34,A37)</x:f>
        <x:v>0</x:v>
      </x:c>
      <x:c r="G37" s="202" t="n">
        <x:f>COUNTIF('Web Orders Source'!$A$5:$A$34,A37)</x:f>
        <x:v>1</x:v>
      </x:c>
      <x:c r="H37" s="202" t="n">
        <x:f>COUNTIF('Support Source'!$A$5:$A$34,A37)</x:f>
        <x:v>1</x:v>
      </x:c>
      <x:c r="I37" s="202" t="str">
        <x:f>IFERROR(INDEX('CRM Source'!$C$5:$C$34,MATCH(A37,'CRM Source'!$A$5:$A$34,0)),"")</x:f>
      </x:c>
      <x:c r="J37" s="202" t="str">
        <x:f>IFERROR(INDEX('Web Orders Source'!$C$5:$C$34,MATCH(A37,'Web Orders Source'!$A$5:$A$34,0)),"")</x:f>
        <x:v>customer33@example.invalid</x:v>
      </x:c>
      <x:c r="K37" s="202" t="str">
        <x:f>IFERROR(INDEX('Support Source'!$C$5:$C$34,MATCH(A37,'Support Source'!$A$5:$A$34,0)),"")</x:f>
        <x:v>customer33@example.invalid</x:v>
      </x:c>
      <x:c r="L37" s="202" t="str">
        <x:f>IF(OR(AND(I37&lt;&gt;"",J37&lt;&gt;"",I37&lt;&gt;J37),AND(I37&lt;&gt;"",K37&lt;&gt;"",I37&lt;&gt;K37),AND(J37&lt;&gt;"",K37&lt;&gt;"",J37&lt;&gt;K37)),"Email Conflict","OK")</x:f>
        <x:v>OK</x:v>
      </x:c>
      <x:c r="M37" s="202" t="str">
        <x:f>IF(OR(AND(IFERROR(INDEX('CRM Source'!$D$5:$D$34,MATCH(A37,'CRM Source'!$A$5:$A$34,0)),"")&lt;&gt;"",IFERROR(INDEX('Web Orders Source'!$D$5:$D$34,MATCH(A37,'Web Orders Source'!$A$5:$A$34,0)),"")&lt;&gt;"",IFERROR(INDEX('CRM Source'!$D$5:$D$34,MATCH(A37,'CRM Source'!$A$5:$A$34,0)),"")&lt;&gt;IFERROR(INDEX('Web Orders Source'!$D$5:$D$34,MATCH(A37,'Web Orders Source'!$A$5:$A$34,0)),"")),AND(IFERROR(INDEX('CRM Source'!$D$5:$D$34,MATCH(A37,'CRM Source'!$A$5:$A$34,0)),"")&lt;&gt;"",IFERROR(INDEX('Support Source'!$D$5:$D$34,MATCH(A37,'Support Source'!$A$5:$A$34,0)),"")&lt;&gt;"",IFERROR(INDEX('CRM Source'!$D$5:$D$34,MATCH(A37,'CRM Source'!$A$5:$A$34,0)),"")&lt;&gt;IFERROR(INDEX('Support Source'!$D$5:$D$34,MATCH(A37,'Support Source'!$A$5:$A$34,0)),""))),"Phone Conflict","OK")</x:f>
        <x:v>OK</x:v>
      </x:c>
      <x:c r="N37" s="202" t="str">
        <x:f>IF(OR(E37="ID",E37="SG"),"OK","Invalid Country")</x:f>
        <x:v>OK</x:v>
      </x:c>
      <x:c r="O37" s="202" t="str">
        <x:f>IF(MAX(F37:H37)&gt;1,"Duplicate Source Key","OK")</x:f>
        <x:v>OK</x:v>
      </x:c>
      <x:c r="P37" s="202" t="str">
        <x:f>IF(OR(L37&lt;&gt;"OK",M37&lt;&gt;"OK",N37&lt;&gt;"OK",O37&lt;&gt;"OK"),IF(O37&lt;&gt;"OK","High Priority Review","Review"),"Ready")</x:f>
        <x:v>Ready</x:v>
      </x:c>
      <x:c r="Q37" s="202" t="str">
        <x:f>IF(P37="Ready","No action required","Compare source evidence and obtain written approval")</x:f>
        <x:v>No action required</x:v>
      </x:c>
    </x:row>
    <x:row r="38" ht="26" customHeight="1">
      <x:c r="A38" s="200" t="str">
        <x:v>CUST-034</x:v>
      </x:c>
      <x:c r="B38" s="200" t="str">
        <x:f>IF(IFERROR(INDEX('CRM Source'!$B$5:$B$34,MATCH(A38,'CRM Source'!$A$5:$A$34,0)),"")&lt;&gt;"",IFERROR(INDEX('CRM Source'!$B$5:$B$34,MATCH(A38,'CRM Source'!$A$5:$A$34,0)),""),IF(IFERROR(INDEX('Web Orders Source'!$B$5:$B$34,MATCH(A38,'Web Orders Source'!$A$5:$A$34,0)),"")&lt;&gt;"",IFERROR(INDEX('Web Orders Source'!$B$5:$B$34,MATCH(A38,'Web Orders Source'!$A$5:$A$34,0)),""),IFERROR(INDEX('Support Source'!$B$5:$B$34,MATCH(A38,'Support Source'!$A$5:$A$34,0)),"")))</x:f>
        <x:v>Demo Customer 34</x:v>
      </x:c>
      <x:c r="C38" s="200" t="str">
        <x:f>IF(IFERROR(INDEX('CRM Source'!$C$5:$C$34,MATCH(A38,'CRM Source'!$A$5:$A$34,0)),"")&lt;&gt;"",IFERROR(INDEX('CRM Source'!$C$5:$C$34,MATCH(A38,'CRM Source'!$A$5:$A$34,0)),""),IF(IFERROR(INDEX('Web Orders Source'!$C$5:$C$34,MATCH(A38,'Web Orders Source'!$A$5:$A$34,0)),"")&lt;&gt;"",IFERROR(INDEX('Web Orders Source'!$C$5:$C$34,MATCH(A38,'Web Orders Source'!$A$5:$A$34,0)),""),IFERROR(INDEX('Support Source'!$C$5:$C$34,MATCH(A38,'Support Source'!$A$5:$A$34,0)),"")))</x:f>
        <x:v>customer34@example.invalid</x:v>
      </x:c>
      <x:c r="D38" s="200" t="str">
        <x:f>IF(IFERROR(INDEX('CRM Source'!$D$5:$D$34,MATCH(A38,'CRM Source'!$A$5:$A$34,0)),"")&lt;&gt;"",IFERROR(INDEX('CRM Source'!$D$5:$D$34,MATCH(A38,'CRM Source'!$A$5:$A$34,0)),""),IF(IFERROR(INDEX('Web Orders Source'!$D$5:$D$34,MATCH(A38,'Web Orders Source'!$A$5:$A$34,0)),"")&lt;&gt;"",IFERROR(INDEX('Web Orders Source'!$D$5:$D$34,MATCH(A38,'Web Orders Source'!$A$5:$A$34,0)),""),IFERROR(INDEX('Support Source'!$D$5:$D$34,MATCH(A38,'Support Source'!$A$5:$A$34,0)),"")))</x:f>
        <x:v>+62-811-000-0034</x:v>
      </x:c>
      <x:c r="E38" s="200" t="str">
        <x:f>IF(IFERROR(INDEX('CRM Source'!$E$5:$E$34,MATCH(A38,'CRM Source'!$A$5:$A$34,0)),"")&lt;&gt;"",IFERROR(INDEX('CRM Source'!$E$5:$E$34,MATCH(A38,'CRM Source'!$A$5:$A$34,0)),""),IF(IFERROR(INDEX('Web Orders Source'!$E$5:$E$34,MATCH(A38,'Web Orders Source'!$A$5:$A$34,0)),"")&lt;&gt;"",IFERROR(INDEX('Web Orders Source'!$E$5:$E$34,MATCH(A38,'Web Orders Source'!$A$5:$A$34,0)),""),IFERROR(INDEX('Support Source'!$E$5:$E$34,MATCH(A38,'Support Source'!$A$5:$A$34,0)),"")))</x:f>
        <x:v>ID</x:v>
      </x:c>
      <x:c r="F38" s="200" t="n">
        <x:f>COUNTIF('CRM Source'!$A$5:$A$34,A38)</x:f>
        <x:v>0</x:v>
      </x:c>
      <x:c r="G38" s="200" t="n">
        <x:f>COUNTIF('Web Orders Source'!$A$5:$A$34,A38)</x:f>
        <x:v>1</x:v>
      </x:c>
      <x:c r="H38" s="200" t="n">
        <x:f>COUNTIF('Support Source'!$A$5:$A$34,A38)</x:f>
        <x:v>1</x:v>
      </x:c>
      <x:c r="I38" s="200" t="str">
        <x:f>IFERROR(INDEX('CRM Source'!$C$5:$C$34,MATCH(A38,'CRM Source'!$A$5:$A$34,0)),"")</x:f>
      </x:c>
      <x:c r="J38" s="200" t="str">
        <x:f>IFERROR(INDEX('Web Orders Source'!$C$5:$C$34,MATCH(A38,'Web Orders Source'!$A$5:$A$34,0)),"")</x:f>
        <x:v>customer34@example.invalid</x:v>
      </x:c>
      <x:c r="K38" s="200" t="str">
        <x:f>IFERROR(INDEX('Support Source'!$C$5:$C$34,MATCH(A38,'Support Source'!$A$5:$A$34,0)),"")</x:f>
        <x:v>customer34@example.invalid</x:v>
      </x:c>
      <x:c r="L38" s="200" t="str">
        <x:f>IF(OR(AND(I38&lt;&gt;"",J38&lt;&gt;"",I38&lt;&gt;J38),AND(I38&lt;&gt;"",K38&lt;&gt;"",I38&lt;&gt;K38),AND(J38&lt;&gt;"",K38&lt;&gt;"",J38&lt;&gt;K38)),"Email Conflict","OK")</x:f>
        <x:v>OK</x:v>
      </x:c>
      <x:c r="M38" s="200" t="str">
        <x:f>IF(OR(AND(IFERROR(INDEX('CRM Source'!$D$5:$D$34,MATCH(A38,'CRM Source'!$A$5:$A$34,0)),"")&lt;&gt;"",IFERROR(INDEX('Web Orders Source'!$D$5:$D$34,MATCH(A38,'Web Orders Source'!$A$5:$A$34,0)),"")&lt;&gt;"",IFERROR(INDEX('CRM Source'!$D$5:$D$34,MATCH(A38,'CRM Source'!$A$5:$A$34,0)),"")&lt;&gt;IFERROR(INDEX('Web Orders Source'!$D$5:$D$34,MATCH(A38,'Web Orders Source'!$A$5:$A$34,0)),"")),AND(IFERROR(INDEX('CRM Source'!$D$5:$D$34,MATCH(A38,'CRM Source'!$A$5:$A$34,0)),"")&lt;&gt;"",IFERROR(INDEX('Support Source'!$D$5:$D$34,MATCH(A38,'Support Source'!$A$5:$A$34,0)),"")&lt;&gt;"",IFERROR(INDEX('CRM Source'!$D$5:$D$34,MATCH(A38,'CRM Source'!$A$5:$A$34,0)),"")&lt;&gt;IFERROR(INDEX('Support Source'!$D$5:$D$34,MATCH(A38,'Support Source'!$A$5:$A$34,0)),""))),"Phone Conflict","OK")</x:f>
        <x:v>OK</x:v>
      </x:c>
      <x:c r="N38" s="200" t="str">
        <x:f>IF(OR(E38="ID",E38="SG"),"OK","Invalid Country")</x:f>
        <x:v>OK</x:v>
      </x:c>
      <x:c r="O38" s="200" t="str">
        <x:f>IF(MAX(F38:H38)&gt;1,"Duplicate Source Key","OK")</x:f>
        <x:v>OK</x:v>
      </x:c>
      <x:c r="P38" s="200" t="str">
        <x:f>IF(OR(L38&lt;&gt;"OK",M38&lt;&gt;"OK",N38&lt;&gt;"OK",O38&lt;&gt;"OK"),IF(O38&lt;&gt;"OK","High Priority Review","Review"),"Ready")</x:f>
        <x:v>Ready</x:v>
      </x:c>
      <x:c r="Q38" s="200" t="str">
        <x:f>IF(P38="Ready","No action required","Compare source evidence and obtain written approval")</x:f>
        <x:v>No action required</x:v>
      </x:c>
    </x:row>
    <x:row r="39" ht="26" customHeight="1">
      <x:c r="A39" s="202" t="str">
        <x:v>CUST-035</x:v>
      </x:c>
      <x:c r="B39" s="202" t="str">
        <x:f>IF(IFERROR(INDEX('CRM Source'!$B$5:$B$34,MATCH(A39,'CRM Source'!$A$5:$A$34,0)),"")&lt;&gt;"",IFERROR(INDEX('CRM Source'!$B$5:$B$34,MATCH(A39,'CRM Source'!$A$5:$A$34,0)),""),IF(IFERROR(INDEX('Web Orders Source'!$B$5:$B$34,MATCH(A39,'Web Orders Source'!$A$5:$A$34,0)),"")&lt;&gt;"",IFERROR(INDEX('Web Orders Source'!$B$5:$B$34,MATCH(A39,'Web Orders Source'!$A$5:$A$34,0)),""),IFERROR(INDEX('Support Source'!$B$5:$B$34,MATCH(A39,'Support Source'!$A$5:$A$34,0)),"")))</x:f>
        <x:v>Demo Customer 35</x:v>
      </x:c>
      <x:c r="C39" s="202" t="str">
        <x:f>IF(IFERROR(INDEX('CRM Source'!$C$5:$C$34,MATCH(A39,'CRM Source'!$A$5:$A$34,0)),"")&lt;&gt;"",IFERROR(INDEX('CRM Source'!$C$5:$C$34,MATCH(A39,'CRM Source'!$A$5:$A$34,0)),""),IF(IFERROR(INDEX('Web Orders Source'!$C$5:$C$34,MATCH(A39,'Web Orders Source'!$A$5:$A$34,0)),"")&lt;&gt;"",IFERROR(INDEX('Web Orders Source'!$C$5:$C$34,MATCH(A39,'Web Orders Source'!$A$5:$A$34,0)),""),IFERROR(INDEX('Support Source'!$C$5:$C$34,MATCH(A39,'Support Source'!$A$5:$A$34,0)),"")))</x:f>
        <x:v>customer35@example.invalid</x:v>
      </x:c>
      <x:c r="D39" s="202" t="str">
        <x:f>IF(IFERROR(INDEX('CRM Source'!$D$5:$D$34,MATCH(A39,'CRM Source'!$A$5:$A$34,0)),"")&lt;&gt;"",IFERROR(INDEX('CRM Source'!$D$5:$D$34,MATCH(A39,'CRM Source'!$A$5:$A$34,0)),""),IF(IFERROR(INDEX('Web Orders Source'!$D$5:$D$34,MATCH(A39,'Web Orders Source'!$A$5:$A$34,0)),"")&lt;&gt;"",IFERROR(INDEX('Web Orders Source'!$D$5:$D$34,MATCH(A39,'Web Orders Source'!$A$5:$A$34,0)),""),IFERROR(INDEX('Support Source'!$D$5:$D$34,MATCH(A39,'Support Source'!$A$5:$A$34,0)),"")))</x:f>
        <x:v>+62-811-000-0035</x:v>
      </x:c>
      <x:c r="E39" s="202" t="str">
        <x:f>IF(IFERROR(INDEX('CRM Source'!$E$5:$E$34,MATCH(A39,'CRM Source'!$A$5:$A$34,0)),"")&lt;&gt;"",IFERROR(INDEX('CRM Source'!$E$5:$E$34,MATCH(A39,'CRM Source'!$A$5:$A$34,0)),""),IF(IFERROR(INDEX('Web Orders Source'!$E$5:$E$34,MATCH(A39,'Web Orders Source'!$A$5:$A$34,0)),"")&lt;&gt;"",IFERROR(INDEX('Web Orders Source'!$E$5:$E$34,MATCH(A39,'Web Orders Source'!$A$5:$A$34,0)),""),IFERROR(INDEX('Support Source'!$E$5:$E$34,MATCH(A39,'Support Source'!$A$5:$A$34,0)),"")))</x:f>
        <x:v>SG</x:v>
      </x:c>
      <x:c r="F39" s="202" t="n">
        <x:f>COUNTIF('CRM Source'!$A$5:$A$34,A39)</x:f>
        <x:v>0</x:v>
      </x:c>
      <x:c r="G39" s="202" t="n">
        <x:f>COUNTIF('Web Orders Source'!$A$5:$A$34,A39)</x:f>
        <x:v>1</x:v>
      </x:c>
      <x:c r="H39" s="202" t="n">
        <x:f>COUNTIF('Support Source'!$A$5:$A$34,A39)</x:f>
        <x:v>1</x:v>
      </x:c>
      <x:c r="I39" s="202" t="str">
        <x:f>IFERROR(INDEX('CRM Source'!$C$5:$C$34,MATCH(A39,'CRM Source'!$A$5:$A$34,0)),"")</x:f>
      </x:c>
      <x:c r="J39" s="202" t="str">
        <x:f>IFERROR(INDEX('Web Orders Source'!$C$5:$C$34,MATCH(A39,'Web Orders Source'!$A$5:$A$34,0)),"")</x:f>
        <x:v>customer35@example.invalid</x:v>
      </x:c>
      <x:c r="K39" s="202" t="str">
        <x:f>IFERROR(INDEX('Support Source'!$C$5:$C$34,MATCH(A39,'Support Source'!$A$5:$A$34,0)),"")</x:f>
        <x:v>customer35@example.invalid</x:v>
      </x:c>
      <x:c r="L39" s="202" t="str">
        <x:f>IF(OR(AND(I39&lt;&gt;"",J39&lt;&gt;"",I39&lt;&gt;J39),AND(I39&lt;&gt;"",K39&lt;&gt;"",I39&lt;&gt;K39),AND(J39&lt;&gt;"",K39&lt;&gt;"",J39&lt;&gt;K39)),"Email Conflict","OK")</x:f>
        <x:v>OK</x:v>
      </x:c>
      <x:c r="M39" s="202" t="str">
        <x:f>IF(OR(AND(IFERROR(INDEX('CRM Source'!$D$5:$D$34,MATCH(A39,'CRM Source'!$A$5:$A$34,0)),"")&lt;&gt;"",IFERROR(INDEX('Web Orders Source'!$D$5:$D$34,MATCH(A39,'Web Orders Source'!$A$5:$A$34,0)),"")&lt;&gt;"",IFERROR(INDEX('CRM Source'!$D$5:$D$34,MATCH(A39,'CRM Source'!$A$5:$A$34,0)),"")&lt;&gt;IFERROR(INDEX('Web Orders Source'!$D$5:$D$34,MATCH(A39,'Web Orders Source'!$A$5:$A$34,0)),"")),AND(IFERROR(INDEX('CRM Source'!$D$5:$D$34,MATCH(A39,'CRM Source'!$A$5:$A$34,0)),"")&lt;&gt;"",IFERROR(INDEX('Support Source'!$D$5:$D$34,MATCH(A39,'Support Source'!$A$5:$A$34,0)),"")&lt;&gt;"",IFERROR(INDEX('CRM Source'!$D$5:$D$34,MATCH(A39,'CRM Source'!$A$5:$A$34,0)),"")&lt;&gt;IFERROR(INDEX('Support Source'!$D$5:$D$34,MATCH(A39,'Support Source'!$A$5:$A$34,0)),""))),"Phone Conflict","OK")</x:f>
        <x:v>OK</x:v>
      </x:c>
      <x:c r="N39" s="202" t="str">
        <x:f>IF(OR(E39="ID",E39="SG"),"OK","Invalid Country")</x:f>
        <x:v>OK</x:v>
      </x:c>
      <x:c r="O39" s="202" t="str">
        <x:f>IF(MAX(F39:H39)&gt;1,"Duplicate Source Key","OK")</x:f>
        <x:v>OK</x:v>
      </x:c>
      <x:c r="P39" s="202" t="str">
        <x:f>IF(OR(L39&lt;&gt;"OK",M39&lt;&gt;"OK",N39&lt;&gt;"OK",O39&lt;&gt;"OK"),IF(O39&lt;&gt;"OK","High Priority Review","Review"),"Ready")</x:f>
        <x:v>Ready</x:v>
      </x:c>
      <x:c r="Q39" s="202" t="str">
        <x:f>IF(P39="Ready","No action required","Compare source evidence and obtain written approval")</x:f>
        <x:v>No action required</x:v>
      </x:c>
    </x:row>
    <x:row r="40" ht="26" customHeight="1">
      <x:c r="A40" s="200" t="str">
        <x:v>CUST-036</x:v>
      </x:c>
      <x:c r="B40" s="200" t="str">
        <x:f>IF(IFERROR(INDEX('CRM Source'!$B$5:$B$34,MATCH(A40,'CRM Source'!$A$5:$A$34,0)),"")&lt;&gt;"",IFERROR(INDEX('CRM Source'!$B$5:$B$34,MATCH(A40,'CRM Source'!$A$5:$A$34,0)),""),IF(IFERROR(INDEX('Web Orders Source'!$B$5:$B$34,MATCH(A40,'Web Orders Source'!$A$5:$A$34,0)),"")&lt;&gt;"",IFERROR(INDEX('Web Orders Source'!$B$5:$B$34,MATCH(A40,'Web Orders Source'!$A$5:$A$34,0)),""),IFERROR(INDEX('Support Source'!$B$5:$B$34,MATCH(A40,'Support Source'!$A$5:$A$34,0)),"")))</x:f>
        <x:v>Demo Customer 36</x:v>
      </x:c>
      <x:c r="C40" s="200" t="str">
        <x:f>IF(IFERROR(INDEX('CRM Source'!$C$5:$C$34,MATCH(A40,'CRM Source'!$A$5:$A$34,0)),"")&lt;&gt;"",IFERROR(INDEX('CRM Source'!$C$5:$C$34,MATCH(A40,'CRM Source'!$A$5:$A$34,0)),""),IF(IFERROR(INDEX('Web Orders Source'!$C$5:$C$34,MATCH(A40,'Web Orders Source'!$A$5:$A$34,0)),"")&lt;&gt;"",IFERROR(INDEX('Web Orders Source'!$C$5:$C$34,MATCH(A40,'Web Orders Source'!$A$5:$A$34,0)),""),IFERROR(INDEX('Support Source'!$C$5:$C$34,MATCH(A40,'Support Source'!$A$5:$A$34,0)),"")))</x:f>
        <x:v>customer36@example.invalid</x:v>
      </x:c>
      <x:c r="D40" s="200" t="str">
        <x:f>IF(IFERROR(INDEX('CRM Source'!$D$5:$D$34,MATCH(A40,'CRM Source'!$A$5:$A$34,0)),"")&lt;&gt;"",IFERROR(INDEX('CRM Source'!$D$5:$D$34,MATCH(A40,'CRM Source'!$A$5:$A$34,0)),""),IF(IFERROR(INDEX('Web Orders Source'!$D$5:$D$34,MATCH(A40,'Web Orders Source'!$A$5:$A$34,0)),"")&lt;&gt;"",IFERROR(INDEX('Web Orders Source'!$D$5:$D$34,MATCH(A40,'Web Orders Source'!$A$5:$A$34,0)),""),IFERROR(INDEX('Support Source'!$D$5:$D$34,MATCH(A40,'Support Source'!$A$5:$A$34,0)),"")))</x:f>
        <x:v>+62-811-000-0036</x:v>
      </x:c>
      <x:c r="E40" s="200" t="str">
        <x:f>IF(IFERROR(INDEX('CRM Source'!$E$5:$E$34,MATCH(A40,'CRM Source'!$A$5:$A$34,0)),"")&lt;&gt;"",IFERROR(INDEX('CRM Source'!$E$5:$E$34,MATCH(A40,'CRM Source'!$A$5:$A$34,0)),""),IF(IFERROR(INDEX('Web Orders Source'!$E$5:$E$34,MATCH(A40,'Web Orders Source'!$A$5:$A$34,0)),"")&lt;&gt;"",IFERROR(INDEX('Web Orders Source'!$E$5:$E$34,MATCH(A40,'Web Orders Source'!$A$5:$A$34,0)),""),IFERROR(INDEX('Support Source'!$E$5:$E$34,MATCH(A40,'Support Source'!$A$5:$A$34,0)),"")))</x:f>
        <x:v>ID</x:v>
      </x:c>
      <x:c r="F40" s="200" t="n">
        <x:f>COUNTIF('CRM Source'!$A$5:$A$34,A40)</x:f>
        <x:v>0</x:v>
      </x:c>
      <x:c r="G40" s="200" t="n">
        <x:f>COUNTIF('Web Orders Source'!$A$5:$A$34,A40)</x:f>
        <x:v>1</x:v>
      </x:c>
      <x:c r="H40" s="200" t="n">
        <x:f>COUNTIF('Support Source'!$A$5:$A$34,A40)</x:f>
        <x:v>0</x:v>
      </x:c>
      <x:c r="I40" s="200" t="str">
        <x:f>IFERROR(INDEX('CRM Source'!$C$5:$C$34,MATCH(A40,'CRM Source'!$A$5:$A$34,0)),"")</x:f>
      </x:c>
      <x:c r="J40" s="200" t="str">
        <x:f>IFERROR(INDEX('Web Orders Source'!$C$5:$C$34,MATCH(A40,'Web Orders Source'!$A$5:$A$34,0)),"")</x:f>
        <x:v>customer36@example.invalid</x:v>
      </x:c>
      <x:c r="K40" s="200" t="str">
        <x:f>IFERROR(INDEX('Support Source'!$C$5:$C$34,MATCH(A40,'Support Source'!$A$5:$A$34,0)),"")</x:f>
      </x:c>
      <x:c r="L40" s="200" t="str">
        <x:f>IF(OR(AND(I40&lt;&gt;"",J40&lt;&gt;"",I40&lt;&gt;J40),AND(I40&lt;&gt;"",K40&lt;&gt;"",I40&lt;&gt;K40),AND(J40&lt;&gt;"",K40&lt;&gt;"",J40&lt;&gt;K40)),"Email Conflict","OK")</x:f>
        <x:v>OK</x:v>
      </x:c>
      <x:c r="M40" s="200" t="str">
        <x:f>IF(OR(AND(IFERROR(INDEX('CRM Source'!$D$5:$D$34,MATCH(A40,'CRM Source'!$A$5:$A$34,0)),"")&lt;&gt;"",IFERROR(INDEX('Web Orders Source'!$D$5:$D$34,MATCH(A40,'Web Orders Source'!$A$5:$A$34,0)),"")&lt;&gt;"",IFERROR(INDEX('CRM Source'!$D$5:$D$34,MATCH(A40,'CRM Source'!$A$5:$A$34,0)),"")&lt;&gt;IFERROR(INDEX('Web Orders Source'!$D$5:$D$34,MATCH(A40,'Web Orders Source'!$A$5:$A$34,0)),"")),AND(IFERROR(INDEX('CRM Source'!$D$5:$D$34,MATCH(A40,'CRM Source'!$A$5:$A$34,0)),"")&lt;&gt;"",IFERROR(INDEX('Support Source'!$D$5:$D$34,MATCH(A40,'Support Source'!$A$5:$A$34,0)),"")&lt;&gt;"",IFERROR(INDEX('CRM Source'!$D$5:$D$34,MATCH(A40,'CRM Source'!$A$5:$A$34,0)),"")&lt;&gt;IFERROR(INDEX('Support Source'!$D$5:$D$34,MATCH(A40,'Support Source'!$A$5:$A$34,0)),""))),"Phone Conflict","OK")</x:f>
        <x:v>OK</x:v>
      </x:c>
      <x:c r="N40" s="200" t="str">
        <x:f>IF(OR(E40="ID",E40="SG"),"OK","Invalid Country")</x:f>
        <x:v>OK</x:v>
      </x:c>
      <x:c r="O40" s="200" t="str">
        <x:f>IF(MAX(F40:H40)&gt;1,"Duplicate Source Key","OK")</x:f>
        <x:v>OK</x:v>
      </x:c>
      <x:c r="P40" s="200" t="str">
        <x:f>IF(OR(L40&lt;&gt;"OK",M40&lt;&gt;"OK",N40&lt;&gt;"OK",O40&lt;&gt;"OK"),IF(O40&lt;&gt;"OK","High Priority Review","Review"),"Ready")</x:f>
        <x:v>Ready</x:v>
      </x:c>
      <x:c r="Q40" s="200" t="str">
        <x:f>IF(P40="Ready","No action required","Compare source evidence and obtain written approval")</x:f>
        <x:v>No action required</x:v>
      </x:c>
    </x:row>
    <x:row r="41" ht="26" customHeight="1">
      <x:c r="A41" s="202" t="str">
        <x:v>CUST-037</x:v>
      </x:c>
      <x:c r="B41" s="202" t="str">
        <x:f>IF(IFERROR(INDEX('CRM Source'!$B$5:$B$34,MATCH(A41,'CRM Source'!$A$5:$A$34,0)),"")&lt;&gt;"",IFERROR(INDEX('CRM Source'!$B$5:$B$34,MATCH(A41,'CRM Source'!$A$5:$A$34,0)),""),IF(IFERROR(INDEX('Web Orders Source'!$B$5:$B$34,MATCH(A41,'Web Orders Source'!$A$5:$A$34,0)),"")&lt;&gt;"",IFERROR(INDEX('Web Orders Source'!$B$5:$B$34,MATCH(A41,'Web Orders Source'!$A$5:$A$34,0)),""),IFERROR(INDEX('Support Source'!$B$5:$B$34,MATCH(A41,'Support Source'!$A$5:$A$34,0)),"")))</x:f>
        <x:v>Demo Customer 37</x:v>
      </x:c>
      <x:c r="C41" s="202" t="str">
        <x:f>IF(IFERROR(INDEX('CRM Source'!$C$5:$C$34,MATCH(A41,'CRM Source'!$A$5:$A$34,0)),"")&lt;&gt;"",IFERROR(INDEX('CRM Source'!$C$5:$C$34,MATCH(A41,'CRM Source'!$A$5:$A$34,0)),""),IF(IFERROR(INDEX('Web Orders Source'!$C$5:$C$34,MATCH(A41,'Web Orders Source'!$A$5:$A$34,0)),"")&lt;&gt;"",IFERROR(INDEX('Web Orders Source'!$C$5:$C$34,MATCH(A41,'Web Orders Source'!$A$5:$A$34,0)),""),IFERROR(INDEX('Support Source'!$C$5:$C$34,MATCH(A41,'Support Source'!$A$5:$A$34,0)),"")))</x:f>
        <x:v>customer37@example.invalid</x:v>
      </x:c>
      <x:c r="D41" s="202" t="str">
        <x:f>IF(IFERROR(INDEX('CRM Source'!$D$5:$D$34,MATCH(A41,'CRM Source'!$A$5:$A$34,0)),"")&lt;&gt;"",IFERROR(INDEX('CRM Source'!$D$5:$D$34,MATCH(A41,'CRM Source'!$A$5:$A$34,0)),""),IF(IFERROR(INDEX('Web Orders Source'!$D$5:$D$34,MATCH(A41,'Web Orders Source'!$A$5:$A$34,0)),"")&lt;&gt;"",IFERROR(INDEX('Web Orders Source'!$D$5:$D$34,MATCH(A41,'Web Orders Source'!$A$5:$A$34,0)),""),IFERROR(INDEX('Support Source'!$D$5:$D$34,MATCH(A41,'Support Source'!$A$5:$A$34,0)),"")))</x:f>
        <x:v>+62-811-000-0037</x:v>
      </x:c>
      <x:c r="E41" s="202" t="str">
        <x:f>IF(IFERROR(INDEX('CRM Source'!$E$5:$E$34,MATCH(A41,'CRM Source'!$A$5:$A$34,0)),"")&lt;&gt;"",IFERROR(INDEX('CRM Source'!$E$5:$E$34,MATCH(A41,'CRM Source'!$A$5:$A$34,0)),""),IF(IFERROR(INDEX('Web Orders Source'!$E$5:$E$34,MATCH(A41,'Web Orders Source'!$A$5:$A$34,0)),"")&lt;&gt;"",IFERROR(INDEX('Web Orders Source'!$E$5:$E$34,MATCH(A41,'Web Orders Source'!$A$5:$A$34,0)),""),IFERROR(INDEX('Support Source'!$E$5:$E$34,MATCH(A41,'Support Source'!$A$5:$A$34,0)),"")))</x:f>
        <x:v>ID</x:v>
      </x:c>
      <x:c r="F41" s="202" t="n">
        <x:f>COUNTIF('CRM Source'!$A$5:$A$34,A41)</x:f>
        <x:v>0</x:v>
      </x:c>
      <x:c r="G41" s="202" t="n">
        <x:f>COUNTIF('Web Orders Source'!$A$5:$A$34,A41)</x:f>
        <x:v>1</x:v>
      </x:c>
      <x:c r="H41" s="202" t="n">
        <x:f>COUNTIF('Support Source'!$A$5:$A$34,A41)</x:f>
        <x:v>0</x:v>
      </x:c>
      <x:c r="I41" s="202" t="str">
        <x:f>IFERROR(INDEX('CRM Source'!$C$5:$C$34,MATCH(A41,'CRM Source'!$A$5:$A$34,0)),"")</x:f>
      </x:c>
      <x:c r="J41" s="202" t="str">
        <x:f>IFERROR(INDEX('Web Orders Source'!$C$5:$C$34,MATCH(A41,'Web Orders Source'!$A$5:$A$34,0)),"")</x:f>
        <x:v>customer37@example.invalid</x:v>
      </x:c>
      <x:c r="K41" s="202" t="str">
        <x:f>IFERROR(INDEX('Support Source'!$C$5:$C$34,MATCH(A41,'Support Source'!$A$5:$A$34,0)),"")</x:f>
      </x:c>
      <x:c r="L41" s="202" t="str">
        <x:f>IF(OR(AND(I41&lt;&gt;"",J41&lt;&gt;"",I41&lt;&gt;J41),AND(I41&lt;&gt;"",K41&lt;&gt;"",I41&lt;&gt;K41),AND(J41&lt;&gt;"",K41&lt;&gt;"",J41&lt;&gt;K41)),"Email Conflict","OK")</x:f>
        <x:v>OK</x:v>
      </x:c>
      <x:c r="M41" s="202" t="str">
        <x:f>IF(OR(AND(IFERROR(INDEX('CRM Source'!$D$5:$D$34,MATCH(A41,'CRM Source'!$A$5:$A$34,0)),"")&lt;&gt;"",IFERROR(INDEX('Web Orders Source'!$D$5:$D$34,MATCH(A41,'Web Orders Source'!$A$5:$A$34,0)),"")&lt;&gt;"",IFERROR(INDEX('CRM Source'!$D$5:$D$34,MATCH(A41,'CRM Source'!$A$5:$A$34,0)),"")&lt;&gt;IFERROR(INDEX('Web Orders Source'!$D$5:$D$34,MATCH(A41,'Web Orders Source'!$A$5:$A$34,0)),"")),AND(IFERROR(INDEX('CRM Source'!$D$5:$D$34,MATCH(A41,'CRM Source'!$A$5:$A$34,0)),"")&lt;&gt;"",IFERROR(INDEX('Support Source'!$D$5:$D$34,MATCH(A41,'Support Source'!$A$5:$A$34,0)),"")&lt;&gt;"",IFERROR(INDEX('CRM Source'!$D$5:$D$34,MATCH(A41,'CRM Source'!$A$5:$A$34,0)),"")&lt;&gt;IFERROR(INDEX('Support Source'!$D$5:$D$34,MATCH(A41,'Support Source'!$A$5:$A$34,0)),""))),"Phone Conflict","OK")</x:f>
        <x:v>OK</x:v>
      </x:c>
      <x:c r="N41" s="202" t="str">
        <x:f>IF(OR(E41="ID",E41="SG"),"OK","Invalid Country")</x:f>
        <x:v>OK</x:v>
      </x:c>
      <x:c r="O41" s="202" t="str">
        <x:f>IF(MAX(F41:H41)&gt;1,"Duplicate Source Key","OK")</x:f>
        <x:v>OK</x:v>
      </x:c>
      <x:c r="P41" s="202" t="str">
        <x:f>IF(OR(L41&lt;&gt;"OK",M41&lt;&gt;"OK",N41&lt;&gt;"OK",O41&lt;&gt;"OK"),IF(O41&lt;&gt;"OK","High Priority Review","Review"),"Ready")</x:f>
        <x:v>Ready</x:v>
      </x:c>
      <x:c r="Q41" s="202" t="str">
        <x:f>IF(P41="Ready","No action required","Compare source evidence and obtain written approval")</x:f>
        <x:v>No action required</x:v>
      </x:c>
    </x:row>
    <x:row r="42" ht="26" customHeight="1">
      <x:c r="A42" s="200" t="str">
        <x:v>CUST-038</x:v>
      </x:c>
      <x:c r="B42" s="200" t="str">
        <x:f>IF(IFERROR(INDEX('CRM Source'!$B$5:$B$34,MATCH(A42,'CRM Source'!$A$5:$A$34,0)),"")&lt;&gt;"",IFERROR(INDEX('CRM Source'!$B$5:$B$34,MATCH(A42,'CRM Source'!$A$5:$A$34,0)),""),IF(IFERROR(INDEX('Web Orders Source'!$B$5:$B$34,MATCH(A42,'Web Orders Source'!$A$5:$A$34,0)),"")&lt;&gt;"",IFERROR(INDEX('Web Orders Source'!$B$5:$B$34,MATCH(A42,'Web Orders Source'!$A$5:$A$34,0)),""),IFERROR(INDEX('Support Source'!$B$5:$B$34,MATCH(A42,'Support Source'!$A$5:$A$34,0)),"")))</x:f>
        <x:v>Demo Customer 38</x:v>
      </x:c>
      <x:c r="C42" s="200" t="str">
        <x:f>IF(IFERROR(INDEX('CRM Source'!$C$5:$C$34,MATCH(A42,'CRM Source'!$A$5:$A$34,0)),"")&lt;&gt;"",IFERROR(INDEX('CRM Source'!$C$5:$C$34,MATCH(A42,'CRM Source'!$A$5:$A$34,0)),""),IF(IFERROR(INDEX('Web Orders Source'!$C$5:$C$34,MATCH(A42,'Web Orders Source'!$A$5:$A$34,0)),"")&lt;&gt;"",IFERROR(INDEX('Web Orders Source'!$C$5:$C$34,MATCH(A42,'Web Orders Source'!$A$5:$A$34,0)),""),IFERROR(INDEX('Support Source'!$C$5:$C$34,MATCH(A42,'Support Source'!$A$5:$A$34,0)),"")))</x:f>
        <x:v>customer38@example.invalid</x:v>
      </x:c>
      <x:c r="D42" s="200" t="str">
        <x:f>IF(IFERROR(INDEX('CRM Source'!$D$5:$D$34,MATCH(A42,'CRM Source'!$A$5:$A$34,0)),"")&lt;&gt;"",IFERROR(INDEX('CRM Source'!$D$5:$D$34,MATCH(A42,'CRM Source'!$A$5:$A$34,0)),""),IF(IFERROR(INDEX('Web Orders Source'!$D$5:$D$34,MATCH(A42,'Web Orders Source'!$A$5:$A$34,0)),"")&lt;&gt;"",IFERROR(INDEX('Web Orders Source'!$D$5:$D$34,MATCH(A42,'Web Orders Source'!$A$5:$A$34,0)),""),IFERROR(INDEX('Support Source'!$D$5:$D$34,MATCH(A42,'Support Source'!$A$5:$A$34,0)),"")))</x:f>
        <x:v>+62-811-000-0038</x:v>
      </x:c>
      <x:c r="E42" s="200" t="str">
        <x:f>IF(IFERROR(INDEX('CRM Source'!$E$5:$E$34,MATCH(A42,'CRM Source'!$A$5:$A$34,0)),"")&lt;&gt;"",IFERROR(INDEX('CRM Source'!$E$5:$E$34,MATCH(A42,'CRM Source'!$A$5:$A$34,0)),""),IF(IFERROR(INDEX('Web Orders Source'!$E$5:$E$34,MATCH(A42,'Web Orders Source'!$A$5:$A$34,0)),"")&lt;&gt;"",IFERROR(INDEX('Web Orders Source'!$E$5:$E$34,MATCH(A42,'Web Orders Source'!$A$5:$A$34,0)),""),IFERROR(INDEX('Support Source'!$E$5:$E$34,MATCH(A42,'Support Source'!$A$5:$A$34,0)),"")))</x:f>
        <x:v>ZZ</x:v>
      </x:c>
      <x:c r="F42" s="200" t="n">
        <x:f>COUNTIF('CRM Source'!$A$5:$A$34,A42)</x:f>
        <x:v>0</x:v>
      </x:c>
      <x:c r="G42" s="200" t="n">
        <x:f>COUNTIF('Web Orders Source'!$A$5:$A$34,A42)</x:f>
        <x:v>1</x:v>
      </x:c>
      <x:c r="H42" s="200" t="n">
        <x:f>COUNTIF('Support Source'!$A$5:$A$34,A42)</x:f>
        <x:v>0</x:v>
      </x:c>
      <x:c r="I42" s="200" t="str">
        <x:f>IFERROR(INDEX('CRM Source'!$C$5:$C$34,MATCH(A42,'CRM Source'!$A$5:$A$34,0)),"")</x:f>
      </x:c>
      <x:c r="J42" s="200" t="str">
        <x:f>IFERROR(INDEX('Web Orders Source'!$C$5:$C$34,MATCH(A42,'Web Orders Source'!$A$5:$A$34,0)),"")</x:f>
        <x:v>customer38@example.invalid</x:v>
      </x:c>
      <x:c r="K42" s="200" t="str">
        <x:f>IFERROR(INDEX('Support Source'!$C$5:$C$34,MATCH(A42,'Support Source'!$A$5:$A$34,0)),"")</x:f>
      </x:c>
      <x:c r="L42" s="200" t="str">
        <x:f>IF(OR(AND(I42&lt;&gt;"",J42&lt;&gt;"",I42&lt;&gt;J42),AND(I42&lt;&gt;"",K42&lt;&gt;"",I42&lt;&gt;K42),AND(J42&lt;&gt;"",K42&lt;&gt;"",J42&lt;&gt;K42)),"Email Conflict","OK")</x:f>
        <x:v>OK</x:v>
      </x:c>
      <x:c r="M42" s="200" t="str">
        <x:f>IF(OR(AND(IFERROR(INDEX('CRM Source'!$D$5:$D$34,MATCH(A42,'CRM Source'!$A$5:$A$34,0)),"")&lt;&gt;"",IFERROR(INDEX('Web Orders Source'!$D$5:$D$34,MATCH(A42,'Web Orders Source'!$A$5:$A$34,0)),"")&lt;&gt;"",IFERROR(INDEX('CRM Source'!$D$5:$D$34,MATCH(A42,'CRM Source'!$A$5:$A$34,0)),"")&lt;&gt;IFERROR(INDEX('Web Orders Source'!$D$5:$D$34,MATCH(A42,'Web Orders Source'!$A$5:$A$34,0)),"")),AND(IFERROR(INDEX('CRM Source'!$D$5:$D$34,MATCH(A42,'CRM Source'!$A$5:$A$34,0)),"")&lt;&gt;"",IFERROR(INDEX('Support Source'!$D$5:$D$34,MATCH(A42,'Support Source'!$A$5:$A$34,0)),"")&lt;&gt;"",IFERROR(INDEX('CRM Source'!$D$5:$D$34,MATCH(A42,'CRM Source'!$A$5:$A$34,0)),"")&lt;&gt;IFERROR(INDEX('Support Source'!$D$5:$D$34,MATCH(A42,'Support Source'!$A$5:$A$34,0)),""))),"Phone Conflict","OK")</x:f>
        <x:v>OK</x:v>
      </x:c>
      <x:c r="N42" s="200" t="str">
        <x:f>IF(OR(E42="ID",E42="SG"),"OK","Invalid Country")</x:f>
        <x:v>Invalid Country</x:v>
      </x:c>
      <x:c r="O42" s="200" t="str">
        <x:f>IF(MAX(F42:H42)&gt;1,"Duplicate Source Key","OK")</x:f>
        <x:v>OK</x:v>
      </x:c>
      <x:c r="P42" s="200" t="str">
        <x:f>IF(OR(L42&lt;&gt;"OK",M42&lt;&gt;"OK",N42&lt;&gt;"OK",O42&lt;&gt;"OK"),IF(O42&lt;&gt;"OK","High Priority Review","Review"),"Ready")</x:f>
        <x:v>Review</x:v>
      </x:c>
      <x:c r="Q42" s="200" t="str">
        <x:f>IF(P42="Ready","No action required","Compare source evidence and obtain written approval")</x:f>
        <x:v>Compare source evidence and obtain written approval</x:v>
      </x:c>
    </x:row>
    <x:row r="43" ht="26" customHeight="1">
      <x:c r="A43" s="202" t="str">
        <x:v>CUST-039</x:v>
      </x:c>
      <x:c r="B43" s="202" t="str">
        <x:f>IF(IFERROR(INDEX('CRM Source'!$B$5:$B$34,MATCH(A43,'CRM Source'!$A$5:$A$34,0)),"")&lt;&gt;"",IFERROR(INDEX('CRM Source'!$B$5:$B$34,MATCH(A43,'CRM Source'!$A$5:$A$34,0)),""),IF(IFERROR(INDEX('Web Orders Source'!$B$5:$B$34,MATCH(A43,'Web Orders Source'!$A$5:$A$34,0)),"")&lt;&gt;"",IFERROR(INDEX('Web Orders Source'!$B$5:$B$34,MATCH(A43,'Web Orders Source'!$A$5:$A$34,0)),""),IFERROR(INDEX('Support Source'!$B$5:$B$34,MATCH(A43,'Support Source'!$A$5:$A$34,0)),"")))</x:f>
        <x:v>Demo Customer 39</x:v>
      </x:c>
      <x:c r="C43" s="202" t="str">
        <x:f>IF(IFERROR(INDEX('CRM Source'!$C$5:$C$34,MATCH(A43,'CRM Source'!$A$5:$A$34,0)),"")&lt;&gt;"",IFERROR(INDEX('CRM Source'!$C$5:$C$34,MATCH(A43,'CRM Source'!$A$5:$A$34,0)),""),IF(IFERROR(INDEX('Web Orders Source'!$C$5:$C$34,MATCH(A43,'Web Orders Source'!$A$5:$A$34,0)),"")&lt;&gt;"",IFERROR(INDEX('Web Orders Source'!$C$5:$C$34,MATCH(A43,'Web Orders Source'!$A$5:$A$34,0)),""),IFERROR(INDEX('Support Source'!$C$5:$C$34,MATCH(A43,'Support Source'!$A$5:$A$34,0)),"")))</x:f>
        <x:v>customer39@example.invalid</x:v>
      </x:c>
      <x:c r="D43" s="202" t="str">
        <x:f>IF(IFERROR(INDEX('CRM Source'!$D$5:$D$34,MATCH(A43,'CRM Source'!$A$5:$A$34,0)),"")&lt;&gt;"",IFERROR(INDEX('CRM Source'!$D$5:$D$34,MATCH(A43,'CRM Source'!$A$5:$A$34,0)),""),IF(IFERROR(INDEX('Web Orders Source'!$D$5:$D$34,MATCH(A43,'Web Orders Source'!$A$5:$A$34,0)),"")&lt;&gt;"",IFERROR(INDEX('Web Orders Source'!$D$5:$D$34,MATCH(A43,'Web Orders Source'!$A$5:$A$34,0)),""),IFERROR(INDEX('Support Source'!$D$5:$D$34,MATCH(A43,'Support Source'!$A$5:$A$34,0)),"")))</x:f>
        <x:v>+62-811-000-0039</x:v>
      </x:c>
      <x:c r="E43" s="202" t="str">
        <x:f>IF(IFERROR(INDEX('CRM Source'!$E$5:$E$34,MATCH(A43,'CRM Source'!$A$5:$A$34,0)),"")&lt;&gt;"",IFERROR(INDEX('CRM Source'!$E$5:$E$34,MATCH(A43,'CRM Source'!$A$5:$A$34,0)),""),IF(IFERROR(INDEX('Web Orders Source'!$E$5:$E$34,MATCH(A43,'Web Orders Source'!$A$5:$A$34,0)),"")&lt;&gt;"",IFERROR(INDEX('Web Orders Source'!$E$5:$E$34,MATCH(A43,'Web Orders Source'!$A$5:$A$34,0)),""),IFERROR(INDEX('Support Source'!$E$5:$E$34,MATCH(A43,'Support Source'!$A$5:$A$34,0)),"")))</x:f>
        <x:v>ID</x:v>
      </x:c>
      <x:c r="F43" s="202" t="n">
        <x:f>COUNTIF('CRM Source'!$A$5:$A$34,A43)</x:f>
        <x:v>0</x:v>
      </x:c>
      <x:c r="G43" s="202" t="n">
        <x:f>COUNTIF('Web Orders Source'!$A$5:$A$34,A43)</x:f>
        <x:v>1</x:v>
      </x:c>
      <x:c r="H43" s="202" t="n">
        <x:f>COUNTIF('Support Source'!$A$5:$A$34,A43)</x:f>
        <x:v>0</x:v>
      </x:c>
      <x:c r="I43" s="202" t="str">
        <x:f>IFERROR(INDEX('CRM Source'!$C$5:$C$34,MATCH(A43,'CRM Source'!$A$5:$A$34,0)),"")</x:f>
      </x:c>
      <x:c r="J43" s="202" t="str">
        <x:f>IFERROR(INDEX('Web Orders Source'!$C$5:$C$34,MATCH(A43,'Web Orders Source'!$A$5:$A$34,0)),"")</x:f>
        <x:v>customer39@example.invalid</x:v>
      </x:c>
      <x:c r="K43" s="202" t="str">
        <x:f>IFERROR(INDEX('Support Source'!$C$5:$C$34,MATCH(A43,'Support Source'!$A$5:$A$34,0)),"")</x:f>
      </x:c>
      <x:c r="L43" s="202" t="str">
        <x:f>IF(OR(AND(I43&lt;&gt;"",J43&lt;&gt;"",I43&lt;&gt;J43),AND(I43&lt;&gt;"",K43&lt;&gt;"",I43&lt;&gt;K43),AND(J43&lt;&gt;"",K43&lt;&gt;"",J43&lt;&gt;K43)),"Email Conflict","OK")</x:f>
        <x:v>OK</x:v>
      </x:c>
      <x:c r="M43" s="202" t="str">
        <x:f>IF(OR(AND(IFERROR(INDEX('CRM Source'!$D$5:$D$34,MATCH(A43,'CRM Source'!$A$5:$A$34,0)),"")&lt;&gt;"",IFERROR(INDEX('Web Orders Source'!$D$5:$D$34,MATCH(A43,'Web Orders Source'!$A$5:$A$34,0)),"")&lt;&gt;"",IFERROR(INDEX('CRM Source'!$D$5:$D$34,MATCH(A43,'CRM Source'!$A$5:$A$34,0)),"")&lt;&gt;IFERROR(INDEX('Web Orders Source'!$D$5:$D$34,MATCH(A43,'Web Orders Source'!$A$5:$A$34,0)),"")),AND(IFERROR(INDEX('CRM Source'!$D$5:$D$34,MATCH(A43,'CRM Source'!$A$5:$A$34,0)),"")&lt;&gt;"",IFERROR(INDEX('Support Source'!$D$5:$D$34,MATCH(A43,'Support Source'!$A$5:$A$34,0)),"")&lt;&gt;"",IFERROR(INDEX('CRM Source'!$D$5:$D$34,MATCH(A43,'CRM Source'!$A$5:$A$34,0)),"")&lt;&gt;IFERROR(INDEX('Support Source'!$D$5:$D$34,MATCH(A43,'Support Source'!$A$5:$A$34,0)),""))),"Phone Conflict","OK")</x:f>
        <x:v>OK</x:v>
      </x:c>
      <x:c r="N43" s="202" t="str">
        <x:f>IF(OR(E43="ID",E43="SG"),"OK","Invalid Country")</x:f>
        <x:v>OK</x:v>
      </x:c>
      <x:c r="O43" s="202" t="str">
        <x:f>IF(MAX(F43:H43)&gt;1,"Duplicate Source Key","OK")</x:f>
        <x:v>OK</x:v>
      </x:c>
      <x:c r="P43" s="202" t="str">
        <x:f>IF(OR(L43&lt;&gt;"OK",M43&lt;&gt;"OK",N43&lt;&gt;"OK",O43&lt;&gt;"OK"),IF(O43&lt;&gt;"OK","High Priority Review","Review"),"Ready")</x:f>
        <x:v>Ready</x:v>
      </x:c>
      <x:c r="Q43" s="202" t="str">
        <x:f>IF(P43="Ready","No action required","Compare source evidence and obtain written approval")</x:f>
        <x:v>No action required</x:v>
      </x:c>
    </x:row>
    <x:row r="44" ht="26" customHeight="1">
      <x:c r="A44" s="204" t="str">
        <x:v>CUST-040</x:v>
      </x:c>
      <x:c r="B44" s="204" t="str">
        <x:f>IF(IFERROR(INDEX('CRM Source'!$B$5:$B$34,MATCH(A44,'CRM Source'!$A$5:$A$34,0)),"")&lt;&gt;"",IFERROR(INDEX('CRM Source'!$B$5:$B$34,MATCH(A44,'CRM Source'!$A$5:$A$34,0)),""),IF(IFERROR(INDEX('Web Orders Source'!$B$5:$B$34,MATCH(A44,'Web Orders Source'!$A$5:$A$34,0)),"")&lt;&gt;"",IFERROR(INDEX('Web Orders Source'!$B$5:$B$34,MATCH(A44,'Web Orders Source'!$A$5:$A$34,0)),""),IFERROR(INDEX('Support Source'!$B$5:$B$34,MATCH(A44,'Support Source'!$A$5:$A$34,0)),"")))</x:f>
        <x:v>Demo Customer 40</x:v>
      </x:c>
      <x:c r="C44" s="204" t="str">
        <x:f>IF(IFERROR(INDEX('CRM Source'!$C$5:$C$34,MATCH(A44,'CRM Source'!$A$5:$A$34,0)),"")&lt;&gt;"",IFERROR(INDEX('CRM Source'!$C$5:$C$34,MATCH(A44,'CRM Source'!$A$5:$A$34,0)),""),IF(IFERROR(INDEX('Web Orders Source'!$C$5:$C$34,MATCH(A44,'Web Orders Source'!$A$5:$A$34,0)),"")&lt;&gt;"",IFERROR(INDEX('Web Orders Source'!$C$5:$C$34,MATCH(A44,'Web Orders Source'!$A$5:$A$34,0)),""),IFERROR(INDEX('Support Source'!$C$5:$C$34,MATCH(A44,'Support Source'!$A$5:$A$34,0)),"")))</x:f>
        <x:v>customer40@example.invalid</x:v>
      </x:c>
      <x:c r="D44" s="204" t="str">
        <x:f>IF(IFERROR(INDEX('CRM Source'!$D$5:$D$34,MATCH(A44,'CRM Source'!$A$5:$A$34,0)),"")&lt;&gt;"",IFERROR(INDEX('CRM Source'!$D$5:$D$34,MATCH(A44,'CRM Source'!$A$5:$A$34,0)),""),IF(IFERROR(INDEX('Web Orders Source'!$D$5:$D$34,MATCH(A44,'Web Orders Source'!$A$5:$A$34,0)),"")&lt;&gt;"",IFERROR(INDEX('Web Orders Source'!$D$5:$D$34,MATCH(A44,'Web Orders Source'!$A$5:$A$34,0)),""),IFERROR(INDEX('Support Source'!$D$5:$D$34,MATCH(A44,'Support Source'!$A$5:$A$34,0)),"")))</x:f>
        <x:v>+62-811-000-0040</x:v>
      </x:c>
      <x:c r="E44" s="204" t="str">
        <x:f>IF(IFERROR(INDEX('CRM Source'!$E$5:$E$34,MATCH(A44,'CRM Source'!$A$5:$A$34,0)),"")&lt;&gt;"",IFERROR(INDEX('CRM Source'!$E$5:$E$34,MATCH(A44,'CRM Source'!$A$5:$A$34,0)),""),IF(IFERROR(INDEX('Web Orders Source'!$E$5:$E$34,MATCH(A44,'Web Orders Source'!$A$5:$A$34,0)),"")&lt;&gt;"",IFERROR(INDEX('Web Orders Source'!$E$5:$E$34,MATCH(A44,'Web Orders Source'!$A$5:$A$34,0)),""),IFERROR(INDEX('Support Source'!$E$5:$E$34,MATCH(A44,'Support Source'!$A$5:$A$34,0)),"")))</x:f>
        <x:v>SG</x:v>
      </x:c>
      <x:c r="F44" s="204" t="n">
        <x:f>COUNTIF('CRM Source'!$A$5:$A$34,A44)</x:f>
        <x:v>0</x:v>
      </x:c>
      <x:c r="G44" s="204" t="n">
        <x:f>COUNTIF('Web Orders Source'!$A$5:$A$34,A44)</x:f>
        <x:v>1</x:v>
      </x:c>
      <x:c r="H44" s="204" t="n">
        <x:f>COUNTIF('Support Source'!$A$5:$A$34,A44)</x:f>
        <x:v>0</x:v>
      </x:c>
      <x:c r="I44" s="204" t="str">
        <x:f>IFERROR(INDEX('CRM Source'!$C$5:$C$34,MATCH(A44,'CRM Source'!$A$5:$A$34,0)),"")</x:f>
      </x:c>
      <x:c r="J44" s="204" t="str">
        <x:f>IFERROR(INDEX('Web Orders Source'!$C$5:$C$34,MATCH(A44,'Web Orders Source'!$A$5:$A$34,0)),"")</x:f>
        <x:v>customer40@example.invalid</x:v>
      </x:c>
      <x:c r="K44" s="204" t="str">
        <x:f>IFERROR(INDEX('Support Source'!$C$5:$C$34,MATCH(A44,'Support Source'!$A$5:$A$34,0)),"")</x:f>
      </x:c>
      <x:c r="L44" s="204" t="str">
        <x:f>IF(OR(AND(I44&lt;&gt;"",J44&lt;&gt;"",I44&lt;&gt;J44),AND(I44&lt;&gt;"",K44&lt;&gt;"",I44&lt;&gt;K44),AND(J44&lt;&gt;"",K44&lt;&gt;"",J44&lt;&gt;K44)),"Email Conflict","OK")</x:f>
        <x:v>OK</x:v>
      </x:c>
      <x:c r="M44" s="204" t="str">
        <x:f>IF(OR(AND(IFERROR(INDEX('CRM Source'!$D$5:$D$34,MATCH(A44,'CRM Source'!$A$5:$A$34,0)),"")&lt;&gt;"",IFERROR(INDEX('Web Orders Source'!$D$5:$D$34,MATCH(A44,'Web Orders Source'!$A$5:$A$34,0)),"")&lt;&gt;"",IFERROR(INDEX('CRM Source'!$D$5:$D$34,MATCH(A44,'CRM Source'!$A$5:$A$34,0)),"")&lt;&gt;IFERROR(INDEX('Web Orders Source'!$D$5:$D$34,MATCH(A44,'Web Orders Source'!$A$5:$A$34,0)),"")),AND(IFERROR(INDEX('CRM Source'!$D$5:$D$34,MATCH(A44,'CRM Source'!$A$5:$A$34,0)),"")&lt;&gt;"",IFERROR(INDEX('Support Source'!$D$5:$D$34,MATCH(A44,'Support Source'!$A$5:$A$34,0)),"")&lt;&gt;"",IFERROR(INDEX('CRM Source'!$D$5:$D$34,MATCH(A44,'CRM Source'!$A$5:$A$34,0)),"")&lt;&gt;IFERROR(INDEX('Support Source'!$D$5:$D$34,MATCH(A44,'Support Source'!$A$5:$A$34,0)),""))),"Phone Conflict","OK")</x:f>
        <x:v>OK</x:v>
      </x:c>
      <x:c r="N44" s="204" t="str">
        <x:f>IF(OR(E44="ID",E44="SG"),"OK","Invalid Country")</x:f>
        <x:v>OK</x:v>
      </x:c>
      <x:c r="O44" s="204" t="str">
        <x:f>IF(MAX(F44:H44)&gt;1,"Duplicate Source Key","OK")</x:f>
        <x:v>OK</x:v>
      </x:c>
      <x:c r="P44" s="204" t="str">
        <x:f>IF(OR(L44&lt;&gt;"OK",M44&lt;&gt;"OK",N44&lt;&gt;"OK",O44&lt;&gt;"OK"),IF(O44&lt;&gt;"OK","High Priority Review","Review"),"Ready")</x:f>
        <x:v>Ready</x:v>
      </x:c>
      <x:c r="Q44" s="204" t="str">
        <x:f>IF(P44="Ready","No action required","Compare source evidence and obtain written approval")</x:f>
        <x:v>No action required</x:v>
      </x:c>
    </x:row>
  </x:sheetData>
  <x:mergeCells>
    <x:mergeCell ref="A1:Q1"/>
    <x:mergeCell ref="A2:Q2"/>
  </x:mergeCells>
  <x:conditionalFormatting sqref="P5:P44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High Priority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6" hidden="0" customWidth="1"/>
    <x:col min="4" max="4" width="34" hidden="0" customWidth="1"/>
    <x:col min="5" max="5" width="18" hidden="0" customWidth="1"/>
  </x:cols>
  <x:sheetData>
    <x:row r="1" ht="36" customHeight="1">
      <x:c r="A1" s="183" t="str">
        <x:v>PROJ-010 | QA SUMMARY</x:v>
      </x:c>
      <x:c r="B1" s="183"/>
      <x:c r="C1" s="183"/>
      <x:c r="D1" s="183"/>
      <x:c r="E1" s="183"/>
    </x:row>
    <x:row r="2" ht="25" customHeight="1">
      <x:c r="A2" s="184" t="str">
        <x:v>Formula-driven source totals • unique master • conflict counts • reconciliation</x:v>
      </x:c>
      <x:c r="B2" s="184"/>
      <x:c r="C2" s="184"/>
      <x:c r="D2" s="184"/>
      <x:c r="E2" s="184"/>
    </x:row>
    <x:row r="3">
      <x:c r="A3" s="185"/>
      <x:c r="B3" s="185"/>
      <x:c r="C3" s="185"/>
      <x:c r="D3" s="185"/>
      <x:c r="E3" s="185"/>
    </x:row>
    <x:row r="4" ht="34" customHeight="1">
      <x:c r="A4" s="186" t="str">
        <x:v>CONTROL</x:v>
      </x:c>
      <x:c r="B4" s="186" t="str">
        <x:v>RESULT</x:v>
      </x:c>
      <x:c r="C4" s="185"/>
      <x:c r="D4" s="186" t="str">
        <x:v>CHECK</x:v>
      </x:c>
      <x:c r="E4" s="186" t="str">
        <x:v>STATUS</x:v>
      </x:c>
    </x:row>
    <x:row r="5" ht="26" customHeight="1">
      <x:c r="A5" s="195" t="str">
        <x:v>CRM rows</x:v>
      </x:c>
      <x:c r="B5" s="195" t="n">
        <x:f>COUNTA('CRM Source'!A5:A34)</x:f>
        <x:v>30</x:v>
      </x:c>
      <x:c r="C5" s="185"/>
      <x:c r="D5" s="195" t="str">
        <x:v>Combined = three sources</x:v>
      </x:c>
      <x:c r="E5" s="206" t="str">
        <x:f>IF(B8=B5+B6+B7,"OK","CHECK")</x:f>
        <x:v>OK</x:v>
      </x:c>
    </x:row>
    <x:row r="6" ht="26" customHeight="1">
      <x:c r="A6" s="196" t="str">
        <x:v>Web rows</x:v>
      </x:c>
      <x:c r="B6" s="196" t="n">
        <x:f>COUNTA('Web Orders Source'!A5:A34)</x:f>
        <x:v>30</x:v>
      </x:c>
      <x:c r="C6" s="185"/>
      <x:c r="D6" s="196" t="str">
        <x:v>Master = Ready + Review</x:v>
      </x:c>
      <x:c r="E6" s="207" t="str">
        <x:f>IF(B9=B10+B11+B12,"OK","CHECK")</x:f>
        <x:v>OK</x:v>
      </x:c>
    </x:row>
    <x:row r="7" ht="26" customHeight="1">
      <x:c r="A7" s="196" t="str">
        <x:v>Support rows</x:v>
      </x:c>
      <x:c r="B7" s="196" t="n">
        <x:f>COUNTA('Support Source'!A5:A34)</x:f>
        <x:v>30</x:v>
      </x:c>
      <x:c r="C7" s="185"/>
      <x:c r="D7" s="196" t="str">
        <x:v>Queue = Review customers</x:v>
      </x:c>
      <x:c r="E7" s="207" t="str">
        <x:f>IF(COUNTA('Exception Queue'!A5:A44)=B11+B12,"OK","CHECK")</x:f>
        <x:v>OK</x:v>
      </x:c>
    </x:row>
    <x:row r="8" ht="26" customHeight="1">
      <x:c r="A8" s="196" t="str">
        <x:v>Combined rows</x:v>
      </x:c>
      <x:c r="B8" s="196" t="n">
        <x:f>COUNTA('Normalized Combined'!A5:A94)</x:f>
        <x:v>90</x:v>
      </x:c>
      <x:c r="C8" s="185"/>
      <x:c r="D8" s="196" t="str">
        <x:v>All source tabs preserved</x:v>
      </x:c>
      <x:c r="E8" s="207" t="str">
        <x:f>IF(B5+B6+B7=90,"OK","CHECK")</x:f>
        <x:v>OK</x:v>
      </x:c>
    </x:row>
    <x:row r="9" ht="26" customHeight="1">
      <x:c r="A9" s="196" t="str">
        <x:v>Master customers</x:v>
      </x:c>
      <x:c r="B9" s="196" t="n">
        <x:f>COUNTA('Master Customer Data'!A5:A44)</x:f>
        <x:v>40</x:v>
      </x:c>
      <x:c r="C9" s="185"/>
      <x:c r="D9" s="197" t="str">
        <x:v>Formula errors</x:v>
      </x:c>
      <x:c r="E9" s="208" t="str">
        <x:v>OK</x:v>
      </x:c>
    </x:row>
    <x:row r="10" ht="26" customHeight="1">
      <x:c r="A10" s="196" t="str">
        <x:v>Ready customers</x:v>
      </x:c>
      <x:c r="B10" s="196" t="n">
        <x:f>COUNTIF('Master Customer Data'!P5:P44,"Ready")</x:f>
        <x:v>30</x:v>
      </x:c>
      <x:c r="C10" s="185"/>
      <x:c r="D10" s="185"/>
      <x:c r="E10" s="185"/>
    </x:row>
    <x:row r="11" ht="26" customHeight="1">
      <x:c r="A11" s="196" t="str">
        <x:v>Review customers</x:v>
      </x:c>
      <x:c r="B11" s="196" t="n">
        <x:f>COUNTIF('Master Customer Data'!P5:P44,"Review")</x:f>
        <x:v>9</x:v>
      </x:c>
      <x:c r="C11" s="185"/>
      <x:c r="D11" s="185"/>
      <x:c r="E11" s="185"/>
    </x:row>
    <x:row r="12" ht="26" customHeight="1">
      <x:c r="A12" s="196" t="str">
        <x:v>High-priority customers</x:v>
      </x:c>
      <x:c r="B12" s="196" t="n">
        <x:f>COUNTIF('Master Customer Data'!P5:P44,"High Priority Review")</x:f>
        <x:v>1</x:v>
      </x:c>
      <x:c r="C12" s="185"/>
      <x:c r="D12" s="185"/>
      <x:c r="E12" s="185"/>
    </x:row>
    <x:row r="13" ht="26" customHeight="1">
      <x:c r="A13" s="196" t="str">
        <x:v>Email conflicts</x:v>
      </x:c>
      <x:c r="B13" s="196" t="n">
        <x:f>COUNTIF('Master Customer Data'!L5:L44,"Email Conflict")</x:f>
        <x:v>4</x:v>
      </x:c>
      <x:c r="C13" s="185"/>
      <x:c r="D13" s="185"/>
      <x:c r="E13" s="185"/>
    </x:row>
    <x:row r="14" ht="26" customHeight="1">
      <x:c r="A14" s="196" t="str">
        <x:v>Phone conflicts</x:v>
      </x:c>
      <x:c r="B14" s="196" t="n">
        <x:f>COUNTIF('Master Customer Data'!M5:M44,"Phone Conflict")</x:f>
        <x:v>3</x:v>
      </x:c>
      <x:c r="C14" s="185"/>
      <x:c r="D14" s="185"/>
      <x:c r="E14" s="185"/>
    </x:row>
    <x:row r="15" ht="26" customHeight="1">
      <x:c r="A15" s="196" t="str">
        <x:v>Invalid countries</x:v>
      </x:c>
      <x:c r="B15" s="196" t="n">
        <x:f>COUNTIF('Master Customer Data'!N5:N44,"Invalid Country")</x:f>
        <x:v>2</x:v>
      </x:c>
      <x:c r="C15" s="185"/>
      <x:c r="D15" s="185"/>
      <x:c r="E15" s="185"/>
    </x:row>
    <x:row r="16" ht="26" customHeight="1">
      <x:c r="A16" s="197" t="str">
        <x:v>Duplicate source keys</x:v>
      </x:c>
      <x:c r="B16" s="197" t="n">
        <x:f>COUNTIF('Master Customer Data'!O5:O44,"Duplicate Source Key")</x:f>
        <x:v>1</x:v>
      </x:c>
      <x:c r="C16" s="185"/>
      <x:c r="D16" s="185"/>
      <x:c r="E16" s="185"/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183" t="str">
        <x:v>PROJ-010 | MULTI-SOURCE MERGE DASHBOARD</x:v>
      </x:c>
      <x:c r="B1" s="183"/>
      <x:c r="C1" s="183"/>
      <x:c r="D1" s="183"/>
      <x:c r="E1" s="183"/>
      <x:c r="F1" s="183"/>
      <x:c r="G1" s="183"/>
      <x:c r="H1" s="183"/>
      <x:c r="I1" s="183"/>
      <x:c r="J1" s="183"/>
      <x:c r="K1" s="183"/>
    </x:row>
    <x:row r="2" ht="25" customHeight="1">
      <x:c r="A2" s="184" t="str">
        <x:v>Source reconciliation • master readiness • controlled exceptions</x:v>
      </x:c>
      <x:c r="B2" s="184"/>
      <x:c r="C2" s="184"/>
      <x:c r="D2" s="184"/>
      <x:c r="E2" s="184"/>
      <x:c r="F2" s="184"/>
      <x:c r="G2" s="184"/>
      <x:c r="H2" s="184"/>
      <x:c r="I2" s="184"/>
      <x:c r="J2" s="184"/>
      <x:c r="K2" s="184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</x:row>
    <x:row r="4">
      <x:c r="A4" s="209" t="str">
        <x:f>"SOURCE ROWS"&amp;CHAR(10)&amp;'QA Summary'!B8</x:f>
        <x:v>SOURCE ROWS
90</x:v>
      </x:c>
      <x:c r="B4" s="210"/>
      <x:c r="C4" s="211" t="str">
        <x:f>"MASTER CUSTOMERS"&amp;CHAR(10)&amp;'QA Summary'!B9</x:f>
        <x:v>MASTER CUSTOMERS
40</x:v>
      </x:c>
      <x:c r="D4" s="212"/>
      <x:c r="E4" s="211" t="str">
        <x:f>"READY"&amp;CHAR(10)&amp;'QA Summary'!B10</x:f>
        <x:v>READY
30</x:v>
      </x:c>
      <x:c r="F4" s="212"/>
      <x:c r="G4" s="213" t="str">
        <x:f>"REVIEW"&amp;CHAR(10)&amp;'QA Summary'!B11+'QA Summary'!B12</x:f>
        <x:v>REVIEW
10</x:v>
      </x:c>
      <x:c r="H4" s="214"/>
      <x:c r="I4" s="215" t="str">
        <x:f>"HIGH PRIORITY"&amp;CHAR(10)&amp;'QA Summary'!B12</x:f>
        <x:v>HIGH PRIORITY
1</x:v>
      </x:c>
      <x:c r="J4" s="216"/>
      <x:c r="K4" s="217"/>
    </x:row>
    <x:row r="5">
      <x:c r="A5" s="218"/>
      <x:c r="B5" s="219"/>
      <x:c r="C5" s="220"/>
      <x:c r="D5" s="221"/>
      <x:c r="E5" s="220"/>
      <x:c r="F5" s="221"/>
      <x:c r="G5" s="222"/>
      <x:c r="H5" s="223"/>
      <x:c r="I5" s="224"/>
      <x:c r="J5" s="225"/>
      <x:c r="K5" s="226"/>
    </x:row>
    <x:row r="6">
      <x:c r="A6" s="227"/>
      <x:c r="B6" s="228"/>
      <x:c r="C6" s="229"/>
      <x:c r="D6" s="230"/>
      <x:c r="E6" s="229"/>
      <x:c r="F6" s="230"/>
      <x:c r="G6" s="231"/>
      <x:c r="H6" s="232"/>
      <x:c r="I6" s="233"/>
      <x:c r="J6" s="234"/>
      <x:c r="K6" s="235"/>
    </x:row>
    <x:row r="7">
      <x:c r="A7" s="185"/>
      <x:c r="B7" s="185"/>
      <x:c r="C7" s="185"/>
      <x:c r="D7" s="185"/>
      <x:c r="E7" s="185"/>
      <x:c r="F7" s="185"/>
      <x:c r="G7" s="185"/>
      <x:c r="H7" s="185"/>
      <x:c r="I7" s="185"/>
      <x:c r="J7" s="185"/>
      <x:c r="K7" s="185"/>
    </x:row>
    <x:row r="8" ht="34" customHeight="1">
      <x:c r="A8" s="186" t="str">
        <x:v>CONFLICT TYPE</x:v>
      </x:c>
      <x:c r="B8" s="186" t="str">
        <x:v>COUNT</x:v>
      </x:c>
      <x:c r="C8" s="185"/>
      <x:c r="D8" s="185"/>
      <x:c r="E8" s="185"/>
      <x:c r="F8" s="185"/>
      <x:c r="G8" s="185"/>
      <x:c r="H8" s="185"/>
      <x:c r="I8" s="185"/>
      <x:c r="J8" s="185"/>
      <x:c r="K8" s="185"/>
    </x:row>
    <x:row r="9" ht="26" customHeight="1">
      <x:c r="A9" s="195" t="str">
        <x:v>Email conflicts</x:v>
      </x:c>
      <x:c r="B9" s="195" t="n">
        <x:f>'QA Summary'!B13</x:f>
        <x:v>4</x:v>
      </x:c>
      <x:c r="C9" s="185"/>
      <x:c r="D9" s="185"/>
      <x:c r="E9" s="185"/>
      <x:c r="F9" s="185"/>
      <x:c r="G9" s="185"/>
      <x:c r="H9" s="185"/>
      <x:c r="I9" s="185"/>
      <x:c r="J9" s="185"/>
      <x:c r="K9" s="185"/>
    </x:row>
    <x:row r="10" ht="26" customHeight="1">
      <x:c r="A10" s="196" t="str">
        <x:v>Phone conflicts</x:v>
      </x:c>
      <x:c r="B10" s="196" t="n">
        <x:f>'QA Summary'!B14</x:f>
        <x:v>3</x:v>
      </x:c>
      <x:c r="C10" s="185"/>
      <x:c r="D10" s="185"/>
      <x:c r="E10" s="185"/>
      <x:c r="F10" s="185"/>
      <x:c r="G10" s="185"/>
      <x:c r="H10" s="185"/>
      <x:c r="I10" s="185"/>
      <x:c r="J10" s="185"/>
      <x:c r="K10" s="185"/>
    </x:row>
    <x:row r="11" ht="26" customHeight="1">
      <x:c r="A11" s="196" t="str">
        <x:v>Invalid countries</x:v>
      </x:c>
      <x:c r="B11" s="196" t="n">
        <x:f>'QA Summary'!B15</x:f>
        <x:v>2</x:v>
      </x:c>
      <x:c r="C11" s="185"/>
      <x:c r="D11" s="185"/>
      <x:c r="E11" s="185"/>
      <x:c r="F11" s="185"/>
      <x:c r="G11" s="185"/>
      <x:c r="H11" s="185"/>
      <x:c r="I11" s="185"/>
      <x:c r="J11" s="185"/>
      <x:c r="K11" s="185"/>
    </x:row>
    <x:row r="12" ht="26" customHeight="1">
      <x:c r="A12" s="197" t="str">
        <x:v>Duplicate source keys</x:v>
      </x:c>
      <x:c r="B12" s="197" t="n">
        <x:f>'QA Summary'!B16</x:f>
        <x:v>1</x:v>
      </x:c>
      <x:c r="C12" s="185"/>
      <x:c r="D12" s="185"/>
      <x:c r="E12" s="185"/>
      <x:c r="F12" s="185"/>
      <x:c r="G12" s="185"/>
      <x:c r="H12" s="185"/>
      <x:c r="I12" s="185"/>
      <x:c r="J12" s="185"/>
      <x:c r="K12" s="185"/>
    </x:row>
    <x:row r="13">
      <x:c r="A13" s="185"/>
      <x:c r="B13" s="185"/>
      <x:c r="C13" s="185"/>
      <x:c r="D13" s="185"/>
      <x:c r="E13" s="185"/>
      <x:c r="F13" s="185"/>
      <x:c r="G13" s="185"/>
      <x:c r="H13" s="185"/>
      <x:c r="I13" s="185"/>
      <x:c r="J13" s="185"/>
      <x:c r="K13" s="185"/>
    </x:row>
    <x:row r="14">
      <x:c r="A14" s="185"/>
      <x:c r="B14" s="185"/>
      <x:c r="C14" s="185"/>
      <x:c r="D14" s="185"/>
      <x:c r="E14" s="185"/>
      <x:c r="F14" s="185"/>
      <x:c r="G14" s="185"/>
      <x:c r="H14" s="185"/>
      <x:c r="I14" s="185"/>
      <x:c r="J14" s="185"/>
      <x:c r="K14" s="185"/>
    </x:row>
    <x:row r="15" ht="34" customHeight="1">
      <x:c r="A15" s="186" t="str">
        <x:v>QA CHECK</x:v>
      </x:c>
      <x:c r="B15" s="186" t="str">
        <x:v>STATUS</x:v>
      </x:c>
      <x:c r="C15" s="185"/>
      <x:c r="D15" s="185"/>
      <x:c r="E15" s="185"/>
      <x:c r="F15" s="185"/>
      <x:c r="G15" s="185"/>
      <x:c r="H15" s="185"/>
      <x:c r="I15" s="185"/>
      <x:c r="J15" s="185"/>
      <x:c r="K15" s="185"/>
    </x:row>
    <x:row r="16" ht="26" customHeight="1">
      <x:c r="A16" s="195" t="str">
        <x:v>Source reconciliation</x:v>
      </x:c>
      <x:c r="B16" s="206" t="str">
        <x:f>'QA Summary'!E5</x:f>
        <x:v>OK</x:v>
      </x:c>
      <x:c r="C16" s="185"/>
      <x:c r="D16" s="185"/>
      <x:c r="E16" s="185"/>
      <x:c r="F16" s="185"/>
      <x:c r="G16" s="185"/>
      <x:c r="H16" s="185"/>
      <x:c r="I16" s="185"/>
      <x:c r="J16" s="185"/>
      <x:c r="K16" s="185"/>
    </x:row>
    <x:row r="17" ht="26" customHeight="1">
      <x:c r="A17" s="196" t="str">
        <x:v>Master reconciliation</x:v>
      </x:c>
      <x:c r="B17" s="207" t="str">
        <x:f>'QA Summary'!E6</x:f>
        <x:v>OK</x:v>
      </x:c>
      <x:c r="C17" s="185"/>
      <x:c r="D17" s="185"/>
      <x:c r="E17" s="185"/>
      <x:c r="F17" s="185"/>
      <x:c r="G17" s="185"/>
      <x:c r="H17" s="185"/>
      <x:c r="I17" s="185"/>
      <x:c r="J17" s="185"/>
      <x:c r="K17" s="185"/>
    </x:row>
    <x:row r="18" ht="26" customHeight="1">
      <x:c r="A18" s="196" t="str">
        <x:v>Queue reconciliation</x:v>
      </x:c>
      <x:c r="B18" s="207" t="str">
        <x:f>'QA Summary'!E7</x:f>
        <x:v>OK</x:v>
      </x:c>
      <x:c r="C18" s="185"/>
      <x:c r="D18" s="185"/>
      <x:c r="E18" s="185"/>
      <x:c r="F18" s="185"/>
      <x:c r="G18" s="185"/>
      <x:c r="H18" s="185"/>
      <x:c r="I18" s="185"/>
      <x:c r="J18" s="185"/>
      <x:c r="K18" s="185"/>
    </x:row>
    <x:row r="19" ht="26" customHeight="1">
      <x:c r="A19" s="196" t="str">
        <x:v>Source preservation</x:v>
      </x:c>
      <x:c r="B19" s="207" t="str">
        <x:f>'QA Summary'!E8</x:f>
        <x:v>OK</x:v>
      </x:c>
      <x:c r="C19" s="185"/>
      <x:c r="D19" s="185"/>
      <x:c r="E19" s="185"/>
      <x:c r="F19" s="185"/>
      <x:c r="G19" s="185"/>
      <x:c r="H19" s="185"/>
      <x:c r="I19" s="185"/>
      <x:c r="J19" s="185"/>
      <x:c r="K19" s="185"/>
    </x:row>
    <x:row r="20" ht="26" customHeight="1">
      <x:c r="A20" s="197" t="str">
        <x:v>Formula scan</x:v>
      </x:c>
      <x:c r="B20" s="208" t="str">
        <x:f>'QA Summary'!E9</x:f>
        <x:v>OK</x:v>
      </x:c>
      <x:c r="C20" s="185"/>
      <x:c r="D20" s="185"/>
      <x:c r="E20" s="185"/>
      <x:c r="F20" s="185"/>
      <x:c r="G20" s="185"/>
      <x:c r="H20" s="185"/>
      <x:c r="I20" s="185"/>
      <x:c r="J20" s="185"/>
      <x:c r="K20" s="185"/>
    </x:row>
    <x:row r="21">
      <x:c r="A21" s="185"/>
      <x:c r="B21" s="185"/>
      <x:c r="C21" s="185"/>
      <x:c r="D21" s="185"/>
      <x:c r="E21" s="185"/>
      <x:c r="F21" s="185"/>
      <x:c r="G21" s="185"/>
      <x:c r="H21" s="185"/>
      <x:c r="I21" s="185"/>
      <x:c r="J21" s="185"/>
      <x:c r="K21" s="185"/>
    </x:row>
    <x:row r="22">
      <x:c r="A22" s="185"/>
      <x:c r="B22" s="185"/>
      <x:c r="C22" s="185"/>
      <x:c r="D22" s="185"/>
      <x:c r="E22" s="185"/>
      <x:c r="F22" s="185"/>
      <x:c r="G22" s="185"/>
      <x:c r="H22" s="185"/>
      <x:c r="I22" s="185"/>
      <x:c r="J22" s="185"/>
      <x:c r="K22" s="185"/>
    </x:row>
    <x:row r="23">
      <x:c r="A23" s="185"/>
      <x:c r="B23" s="185"/>
      <x:c r="C23" s="185"/>
      <x:c r="D23" s="185"/>
      <x:c r="E23" s="185"/>
      <x:c r="F23" s="185"/>
      <x:c r="G23" s="185"/>
      <x:c r="H23" s="185"/>
      <x:c r="I23" s="185"/>
      <x:c r="J23" s="185"/>
      <x:c r="K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</x:row>
    <x:row r="25">
      <x:c r="A25" s="185"/>
      <x:c r="B25" s="185"/>
      <x:c r="C25" s="185"/>
      <x:c r="D25" s="236" t="str">
        <x:v>WRITTEN-FIRST ROLE BOUNDARY
Designed for spreadsheet updates, secure email/chat, task tracker, and documented handoff. No cold calling, phone support, sales calls, or frequent meetings are required.</x:v>
      </x:c>
      <x:c r="E25" s="237"/>
      <x:c r="F25" s="237"/>
      <x:c r="G25" s="237"/>
      <x:c r="H25" s="237"/>
      <x:c r="I25" s="237"/>
      <x:c r="J25" s="237"/>
      <x:c r="K25" s="238"/>
    </x:row>
    <x:row r="26">
      <x:c r="A26" s="185"/>
      <x:c r="B26" s="185"/>
      <x:c r="C26" s="185"/>
      <x:c r="D26" s="239"/>
      <x:c r="E26" s="240"/>
      <x:c r="F26" s="240"/>
      <x:c r="G26" s="240"/>
      <x:c r="H26" s="240"/>
      <x:c r="I26" s="240"/>
      <x:c r="J26" s="240"/>
      <x:c r="K26" s="241"/>
    </x:row>
    <x:row r="27">
      <x:c r="A27" s="185"/>
      <x:c r="B27" s="185"/>
      <x:c r="C27" s="185"/>
      <x:c r="D27" s="239"/>
      <x:c r="E27" s="240"/>
      <x:c r="F27" s="240"/>
      <x:c r="G27" s="240"/>
      <x:c r="H27" s="240"/>
      <x:c r="I27" s="240"/>
      <x:c r="J27" s="240"/>
      <x:c r="K27" s="241"/>
    </x:row>
    <x:row r="28">
      <x:c r="A28" s="185"/>
      <x:c r="B28" s="185"/>
      <x:c r="C28" s="185"/>
      <x:c r="D28" s="242"/>
      <x:c r="E28" s="243"/>
      <x:c r="F28" s="243"/>
      <x:c r="G28" s="243"/>
      <x:c r="H28" s="243"/>
      <x:c r="I28" s="243"/>
      <x:c r="J28" s="243"/>
      <x:c r="K28" s="244"/>
    </x:row>
  </x:sheetData>
  <x:mergeCells>
    <x:mergeCell ref="A1:K1"/>
    <x:mergeCell ref="A2:K2"/>
    <x:mergeCell ref="A4:B6"/>
    <x:mergeCell ref="C4:D6"/>
    <x:mergeCell ref="E4:F6"/>
    <x:mergeCell ref="G4:H6"/>
    <x:mergeCell ref="I4:K6"/>
    <x:mergeCell ref="D25:K28"/>
  </x:mergeCells>
  <x:pageMargins left="0.7" right="0.7" top="0.75" bottom="0.75" header="0.3" footer="0.3"/>
  <x:drawing xmlns:r="http://schemas.openxmlformats.org/officeDocument/2006/relationships" r:id="R6aaee640b8944991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1" hidden="0" customWidth="1"/>
    <x:col min="4" max="4" width="22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2" hidden="0" customWidth="1"/>
    <x:col min="11" max="11" width="22" hidden="0" customWidth="1"/>
    <x:col min="12" max="12" width="18" hidden="0" customWidth="1"/>
    <x:col min="13" max="13" width="14" hidden="0" customWidth="1"/>
    <x:col min="14" max="14" width="50" hidden="0" customWidth="1"/>
  </x:cols>
  <x:sheetData>
    <x:row r="1" ht="36" customHeight="1">
      <x:c r="A1" s="183" t="str">
        <x:v>PROJ-010 | MERGE EXCEPTION QUEUE</x:v>
      </x:c>
      <x:c r="B1" s="183"/>
      <x:c r="C1" s="183"/>
      <x:c r="D1" s="183"/>
      <x:c r="E1" s="183"/>
      <x:c r="F1" s="183"/>
      <x:c r="G1" s="183"/>
      <x:c r="H1" s="183"/>
      <x:c r="I1" s="183"/>
      <x:c r="J1" s="183"/>
      <x:c r="K1" s="183"/>
      <x:c r="L1" s="183"/>
      <x:c r="M1" s="183"/>
      <x:c r="N1" s="183"/>
    </x:row>
    <x:row r="2" ht="25" customHeight="1">
      <x:c r="A2" s="184" t="str">
        <x:v>One customer per unresolved merge conflict • owner • due date • evidence trail</x:v>
      </x:c>
      <x:c r="B2" s="184"/>
      <x:c r="C2" s="184"/>
      <x:c r="D2" s="184"/>
      <x:c r="E2" s="184"/>
      <x:c r="F2" s="184"/>
      <x:c r="G2" s="184"/>
      <x:c r="H2" s="184"/>
      <x:c r="I2" s="184"/>
      <x:c r="J2" s="184"/>
      <x:c r="K2" s="184"/>
      <x:c r="L2" s="184"/>
      <x:c r="M2" s="184"/>
      <x:c r="N2" s="184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</x:row>
    <x:row r="4" ht="34" customHeight="1">
      <x:c r="A4" s="186" t="str">
        <x:v>Case ID</x:v>
      </x:c>
      <x:c r="B4" s="186" t="str">
        <x:v>Customer ID</x:v>
      </x:c>
      <x:c r="C4" s="186" t="str">
        <x:v>Selected Email</x:v>
      </x:c>
      <x:c r="D4" s="186" t="str">
        <x:v>Selected Phone</x:v>
      </x:c>
      <x:c r="E4" s="186" t="str">
        <x:v>Selected Country</x:v>
      </x:c>
      <x:c r="F4" s="186" t="str">
        <x:v>Email Check</x:v>
      </x:c>
      <x:c r="G4" s="186" t="str">
        <x:v>Phone Check</x:v>
      </x:c>
      <x:c r="H4" s="186" t="str">
        <x:v>Country Check</x:v>
      </x:c>
      <x:c r="I4" s="186" t="str">
        <x:v>Source Key Check</x:v>
      </x:c>
      <x:c r="J4" s="186" t="str">
        <x:v>Priority</x:v>
      </x:c>
      <x:c r="K4" s="186" t="str">
        <x:v>Owner</x:v>
      </x:c>
      <x:c r="L4" s="186" t="str">
        <x:v>Case Status</x:v>
      </x:c>
      <x:c r="M4" s="186" t="str">
        <x:v>Due Date</x:v>
      </x:c>
      <x:c r="N4" s="186" t="str">
        <x:v>Written Next Action</x:v>
      </x:c>
    </x:row>
    <x:row r="5" ht="26" customHeight="1">
      <x:c r="A5" s="198" t="str">
        <x:f>"MERGE-CASE-001"</x:f>
        <x:v>MERGE-CASE-001</x:v>
      </x:c>
      <x:c r="B5" s="198" t="str">
        <x:f>'Master Customer Data'!A12</x:f>
        <x:v>CUST-008</x:v>
      </x:c>
      <x:c r="C5" s="198" t="str">
        <x:f>'Master Customer Data'!C12</x:f>
        <x:v>customer08@example.invalid</x:v>
      </x:c>
      <x:c r="D5" s="198" t="str">
        <x:f>'Master Customer Data'!D12</x:f>
        <x:v>+62-811-000-0008</x:v>
      </x:c>
      <x:c r="E5" s="198" t="str">
        <x:f>'Master Customer Data'!E12</x:f>
        <x:v>ID</x:v>
      </x:c>
      <x:c r="F5" s="198" t="str">
        <x:f>'Master Customer Data'!L12</x:f>
        <x:v>OK</x:v>
      </x:c>
      <x:c r="G5" s="198" t="str">
        <x:f>'Master Customer Data'!M12</x:f>
        <x:v>OK</x:v>
      </x:c>
      <x:c r="H5" s="198" t="str">
        <x:f>'Master Customer Data'!N12</x:f>
        <x:v>OK</x:v>
      </x:c>
      <x:c r="I5" s="198" t="str">
        <x:f>'Master Customer Data'!O12</x:f>
        <x:v>Duplicate Source Key</x:v>
      </x:c>
      <x:c r="J5" s="198" t="str">
        <x:f>IF(I5&lt;&gt;"OK","High","Medium")</x:f>
        <x:v>High</x:v>
      </x:c>
      <x:c r="K5" s="198" t="str">
        <x:v>Data Quality Admin</x:v>
      </x:c>
      <x:c r="L5" s="198" t="str">
        <x:v>Open</x:v>
      </x:c>
      <x:c r="M5" s="199" t="n">
        <x:f>IF(J5="High",DATE(2026,8,18),DATE(2026,8,20))</x:f>
        <x:v>46252</x:v>
      </x:c>
      <x:c r="N5" s="198" t="str">
        <x:v>Compare source evidence and obtain written approval before changing master data</x:v>
      </x:c>
    </x:row>
    <x:row r="6" ht="26" customHeight="1">
      <x:c r="A6" s="200" t="str">
        <x:f>"MERGE-CASE-002"</x:f>
        <x:v>MERGE-CASE-002</x:v>
      </x:c>
      <x:c r="B6" s="200" t="str">
        <x:f>'Master Customer Data'!A16</x:f>
        <x:v>CUST-012</x:v>
      </x:c>
      <x:c r="C6" s="200" t="str">
        <x:f>'Master Customer Data'!C16</x:f>
        <x:v>crm12@example.invalid</x:v>
      </x:c>
      <x:c r="D6" s="200" t="str">
        <x:f>'Master Customer Data'!D16</x:f>
        <x:v>+62-811-000-0012</x:v>
      </x:c>
      <x:c r="E6" s="200" t="str">
        <x:f>'Master Customer Data'!E16</x:f>
        <x:v>ID</x:v>
      </x:c>
      <x:c r="F6" s="200" t="str">
        <x:f>'Master Customer Data'!L16</x:f>
        <x:v>Email Conflict</x:v>
      </x:c>
      <x:c r="G6" s="200" t="str">
        <x:f>'Master Customer Data'!M16</x:f>
        <x:v>OK</x:v>
      </x:c>
      <x:c r="H6" s="200" t="str">
        <x:f>'Master Customer Data'!N16</x:f>
        <x:v>OK</x:v>
      </x:c>
      <x:c r="I6" s="200" t="str">
        <x:f>'Master Customer Data'!O16</x:f>
        <x:v>OK</x:v>
      </x:c>
      <x:c r="J6" s="200" t="str">
        <x:f>IF(I6&lt;&gt;"OK","High","Medium")</x:f>
        <x:v>Medium</x:v>
      </x:c>
      <x:c r="K6" s="200" t="str">
        <x:v>Data Quality Admin</x:v>
      </x:c>
      <x:c r="L6" s="200" t="str">
        <x:v>Open</x:v>
      </x:c>
      <x:c r="M6" s="201" t="n">
        <x:f>IF(J6="High",DATE(2026,8,18),DATE(2026,8,20))</x:f>
        <x:v>46254</x:v>
      </x:c>
      <x:c r="N6" s="200" t="str">
        <x:v>Compare source evidence and obtain written approval before changing master data</x:v>
      </x:c>
    </x:row>
    <x:row r="7" ht="26" customHeight="1">
      <x:c r="A7" s="202" t="str">
        <x:f>"MERGE-CASE-003"</x:f>
        <x:v>MERGE-CASE-003</x:v>
      </x:c>
      <x:c r="B7" s="202" t="str">
        <x:f>'Master Customer Data'!A19</x:f>
        <x:v>CUST-015</x:v>
      </x:c>
      <x:c r="C7" s="202" t="str">
        <x:f>'Master Customer Data'!C19</x:f>
        <x:v>customer15@example.invalid</x:v>
      </x:c>
      <x:c r="D7" s="202" t="str">
        <x:f>'Master Customer Data'!D19</x:f>
        <x:v>+62-812-CRM-15</x:v>
      </x:c>
      <x:c r="E7" s="202" t="str">
        <x:f>'Master Customer Data'!E19</x:f>
        <x:v>SG</x:v>
      </x:c>
      <x:c r="F7" s="202" t="str">
        <x:f>'Master Customer Data'!L19</x:f>
        <x:v>OK</x:v>
      </x:c>
      <x:c r="G7" s="202" t="str">
        <x:f>'Master Customer Data'!M19</x:f>
        <x:v>Phone Conflict</x:v>
      </x:c>
      <x:c r="H7" s="202" t="str">
        <x:f>'Master Customer Data'!N19</x:f>
        <x:v>OK</x:v>
      </x:c>
      <x:c r="I7" s="202" t="str">
        <x:f>'Master Customer Data'!O19</x:f>
        <x:v>OK</x:v>
      </x:c>
      <x:c r="J7" s="202" t="str">
        <x:f>IF(I7&lt;&gt;"OK","High","Medium")</x:f>
        <x:v>Medium</x:v>
      </x:c>
      <x:c r="K7" s="202" t="str">
        <x:v>Data Quality Admin</x:v>
      </x:c>
      <x:c r="L7" s="202" t="str">
        <x:v>Open</x:v>
      </x:c>
      <x:c r="M7" s="203" t="n">
        <x:f>IF(J7="High",DATE(2026,8,18),DATE(2026,8,20))</x:f>
        <x:v>46254</x:v>
      </x:c>
      <x:c r="N7" s="202" t="str">
        <x:v>Compare source evidence and obtain written approval before changing master data</x:v>
      </x:c>
    </x:row>
    <x:row r="8" ht="26" customHeight="1">
      <x:c r="A8" s="200" t="str">
        <x:f>"MERGE-CASE-004"</x:f>
        <x:v>MERGE-CASE-004</x:v>
      </x:c>
      <x:c r="B8" s="200" t="str">
        <x:f>'Master Customer Data'!A22</x:f>
        <x:v>CUST-018</x:v>
      </x:c>
      <x:c r="C8" s="200" t="str">
        <x:f>'Master Customer Data'!C22</x:f>
        <x:v>crm18@example.invalid</x:v>
      </x:c>
      <x:c r="D8" s="200" t="str">
        <x:f>'Master Customer Data'!D22</x:f>
        <x:v>+62-811-000-0018</x:v>
      </x:c>
      <x:c r="E8" s="200" t="str">
        <x:f>'Master Customer Data'!E22</x:f>
        <x:v>ID</x:v>
      </x:c>
      <x:c r="F8" s="200" t="str">
        <x:f>'Master Customer Data'!L22</x:f>
        <x:v>Email Conflict</x:v>
      </x:c>
      <x:c r="G8" s="200" t="str">
        <x:f>'Master Customer Data'!M22</x:f>
        <x:v>OK</x:v>
      </x:c>
      <x:c r="H8" s="200" t="str">
        <x:f>'Master Customer Data'!N22</x:f>
        <x:v>OK</x:v>
      </x:c>
      <x:c r="I8" s="200" t="str">
        <x:f>'Master Customer Data'!O22</x:f>
        <x:v>OK</x:v>
      </x:c>
      <x:c r="J8" s="200" t="str">
        <x:f>IF(I8&lt;&gt;"OK","High","Medium")</x:f>
        <x:v>Medium</x:v>
      </x:c>
      <x:c r="K8" s="200" t="str">
        <x:v>Data Quality Admin</x:v>
      </x:c>
      <x:c r="L8" s="200" t="str">
        <x:v>Open</x:v>
      </x:c>
      <x:c r="M8" s="201" t="n">
        <x:f>IF(J8="High",DATE(2026,8,18),DATE(2026,8,20))</x:f>
        <x:v>46254</x:v>
      </x:c>
      <x:c r="N8" s="200" t="str">
        <x:v>Compare source evidence and obtain written approval before changing master data</x:v>
      </x:c>
    </x:row>
    <x:row r="9" ht="26" customHeight="1">
      <x:c r="A9" s="202" t="str">
        <x:f>"MERGE-CASE-005"</x:f>
        <x:v>MERGE-CASE-005</x:v>
      </x:c>
      <x:c r="B9" s="202" t="str">
        <x:f>'Master Customer Data'!A24</x:f>
        <x:v>CUST-020</x:v>
      </x:c>
      <x:c r="C9" s="202" t="str">
        <x:f>'Master Customer Data'!C24</x:f>
        <x:v>customer20@example.invalid</x:v>
      </x:c>
      <x:c r="D9" s="202" t="str">
        <x:f>'Master Customer Data'!D24</x:f>
        <x:v>+62-811-000-0020</x:v>
      </x:c>
      <x:c r="E9" s="202" t="str">
        <x:f>'Master Customer Data'!E24</x:f>
        <x:v>XX</x:v>
      </x:c>
      <x:c r="F9" s="202" t="str">
        <x:f>'Master Customer Data'!L24</x:f>
        <x:v>OK</x:v>
      </x:c>
      <x:c r="G9" s="202" t="str">
        <x:f>'Master Customer Data'!M24</x:f>
        <x:v>OK</x:v>
      </x:c>
      <x:c r="H9" s="202" t="str">
        <x:f>'Master Customer Data'!N24</x:f>
        <x:v>Invalid Country</x:v>
      </x:c>
      <x:c r="I9" s="202" t="str">
        <x:f>'Master Customer Data'!O24</x:f>
        <x:v>OK</x:v>
      </x:c>
      <x:c r="J9" s="202" t="str">
        <x:f>IF(I9&lt;&gt;"OK","High","Medium")</x:f>
        <x:v>Medium</x:v>
      </x:c>
      <x:c r="K9" s="202" t="str">
        <x:v>Data Quality Admin</x:v>
      </x:c>
      <x:c r="L9" s="202" t="str">
        <x:v>Open</x:v>
      </x:c>
      <x:c r="M9" s="203" t="n">
        <x:f>IF(J9="High",DATE(2026,8,18),DATE(2026,8,20))</x:f>
        <x:v>46254</x:v>
      </x:c>
      <x:c r="N9" s="202" t="str">
        <x:v>Compare source evidence and obtain written approval before changing master data</x:v>
      </x:c>
    </x:row>
    <x:row r="10" ht="26" customHeight="1">
      <x:c r="A10" s="200" t="str">
        <x:f>"MERGE-CASE-006"</x:f>
        <x:v>MERGE-CASE-006</x:v>
      </x:c>
      <x:c r="B10" s="200" t="str">
        <x:f>'Master Customer Data'!A26</x:f>
        <x:v>CUST-022</x:v>
      </x:c>
      <x:c r="C10" s="200" t="str">
        <x:f>'Master Customer Data'!C26</x:f>
        <x:v>customer22@example.invalid</x:v>
      </x:c>
      <x:c r="D10" s="200" t="str">
        <x:f>'Master Customer Data'!D26</x:f>
        <x:v>+62-812-CRM-22</x:v>
      </x:c>
      <x:c r="E10" s="200" t="str">
        <x:f>'Master Customer Data'!E26</x:f>
        <x:v>ID</x:v>
      </x:c>
      <x:c r="F10" s="200" t="str">
        <x:f>'Master Customer Data'!L26</x:f>
        <x:v>OK</x:v>
      </x:c>
      <x:c r="G10" s="200" t="str">
        <x:f>'Master Customer Data'!M26</x:f>
        <x:v>Phone Conflict</x:v>
      </x:c>
      <x:c r="H10" s="200" t="str">
        <x:f>'Master Customer Data'!N26</x:f>
        <x:v>OK</x:v>
      </x:c>
      <x:c r="I10" s="200" t="str">
        <x:f>'Master Customer Data'!O26</x:f>
        <x:v>OK</x:v>
      </x:c>
      <x:c r="J10" s="200" t="str">
        <x:f>IF(I10&lt;&gt;"OK","High","Medium")</x:f>
        <x:v>Medium</x:v>
      </x:c>
      <x:c r="K10" s="200" t="str">
        <x:v>Data Quality Admin</x:v>
      </x:c>
      <x:c r="L10" s="200" t="str">
        <x:v>Open</x:v>
      </x:c>
      <x:c r="M10" s="201" t="n">
        <x:f>IF(J10="High",DATE(2026,8,18),DATE(2026,8,20))</x:f>
        <x:v>46254</x:v>
      </x:c>
      <x:c r="N10" s="200" t="str">
        <x:v>Compare source evidence and obtain written approval before changing master data</x:v>
      </x:c>
    </x:row>
    <x:row r="11" ht="26" customHeight="1">
      <x:c r="A11" s="202" t="str">
        <x:f>"MERGE-CASE-007"</x:f>
        <x:v>MERGE-CASE-007</x:v>
      </x:c>
      <x:c r="B11" s="202" t="str">
        <x:f>'Master Customer Data'!A29</x:f>
        <x:v>CUST-025</x:v>
      </x:c>
      <x:c r="C11" s="202" t="str">
        <x:f>'Master Customer Data'!C29</x:f>
        <x:v>crm25@example.invalid</x:v>
      </x:c>
      <x:c r="D11" s="202" t="str">
        <x:f>'Master Customer Data'!D29</x:f>
        <x:v>+62-811-000-0025</x:v>
      </x:c>
      <x:c r="E11" s="202" t="str">
        <x:f>'Master Customer Data'!E29</x:f>
        <x:v>SG</x:v>
      </x:c>
      <x:c r="F11" s="202" t="str">
        <x:f>'Master Customer Data'!L29</x:f>
        <x:v>Email Conflict</x:v>
      </x:c>
      <x:c r="G11" s="202" t="str">
        <x:f>'Master Customer Data'!M29</x:f>
        <x:v>OK</x:v>
      </x:c>
      <x:c r="H11" s="202" t="str">
        <x:f>'Master Customer Data'!N29</x:f>
        <x:v>OK</x:v>
      </x:c>
      <x:c r="I11" s="202" t="str">
        <x:f>'Master Customer Data'!O29</x:f>
        <x:v>OK</x:v>
      </x:c>
      <x:c r="J11" s="202" t="str">
        <x:f>IF(I11&lt;&gt;"OK","High","Medium")</x:f>
        <x:v>Medium</x:v>
      </x:c>
      <x:c r="K11" s="202" t="str">
        <x:v>Data Quality Admin</x:v>
      </x:c>
      <x:c r="L11" s="202" t="str">
        <x:v>Open</x:v>
      </x:c>
      <x:c r="M11" s="203" t="n">
        <x:f>IF(J11="High",DATE(2026,8,18),DATE(2026,8,20))</x:f>
        <x:v>46254</x:v>
      </x:c>
      <x:c r="N11" s="202" t="str">
        <x:v>Compare source evidence and obtain written approval before changing master data</x:v>
      </x:c>
    </x:row>
    <x:row r="12" ht="26" customHeight="1">
      <x:c r="A12" s="200" t="str">
        <x:f>"MERGE-CASE-008"</x:f>
        <x:v>MERGE-CASE-008</x:v>
      </x:c>
      <x:c r="B12" s="200" t="str">
        <x:f>'Master Customer Data'!A33</x:f>
        <x:v>CUST-029</x:v>
      </x:c>
      <x:c r="C12" s="200" t="str">
        <x:f>'Master Customer Data'!C33</x:f>
        <x:v>customer29@example.invalid</x:v>
      </x:c>
      <x:c r="D12" s="200" t="str">
        <x:f>'Master Customer Data'!D33</x:f>
        <x:v>+62-812-CRM-29</x:v>
      </x:c>
      <x:c r="E12" s="200" t="str">
        <x:f>'Master Customer Data'!E33</x:f>
        <x:v>ID</x:v>
      </x:c>
      <x:c r="F12" s="200" t="str">
        <x:f>'Master Customer Data'!L33</x:f>
        <x:v>OK</x:v>
      </x:c>
      <x:c r="G12" s="200" t="str">
        <x:f>'Master Customer Data'!M33</x:f>
        <x:v>Phone Conflict</x:v>
      </x:c>
      <x:c r="H12" s="200" t="str">
        <x:f>'Master Customer Data'!N33</x:f>
        <x:v>OK</x:v>
      </x:c>
      <x:c r="I12" s="200" t="str">
        <x:f>'Master Customer Data'!O33</x:f>
        <x:v>OK</x:v>
      </x:c>
      <x:c r="J12" s="200" t="str">
        <x:f>IF(I12&lt;&gt;"OK","High","Medium")</x:f>
        <x:v>Medium</x:v>
      </x:c>
      <x:c r="K12" s="200" t="str">
        <x:v>Data Quality Admin</x:v>
      </x:c>
      <x:c r="L12" s="200" t="str">
        <x:v>Open</x:v>
      </x:c>
      <x:c r="M12" s="201" t="n">
        <x:f>IF(J12="High",DATE(2026,8,18),DATE(2026,8,20))</x:f>
        <x:v>46254</x:v>
      </x:c>
      <x:c r="N12" s="200" t="str">
        <x:v>Compare source evidence and obtain written approval before changing master data</x:v>
      </x:c>
    </x:row>
    <x:row r="13" ht="26" customHeight="1">
      <x:c r="A13" s="202" t="str">
        <x:f>"MERGE-CASE-009"</x:f>
        <x:v>MERGE-CASE-009</x:v>
      </x:c>
      <x:c r="B13" s="202" t="str">
        <x:f>'Master Customer Data'!A36</x:f>
        <x:v>CUST-032</x:v>
      </x:c>
      <x:c r="C13" s="202" t="str">
        <x:f>'Master Customer Data'!C36</x:f>
        <x:v>web32@example.invalid</x:v>
      </x:c>
      <x:c r="D13" s="202" t="str">
        <x:f>'Master Customer Data'!D36</x:f>
        <x:v>+62-811-000-0032</x:v>
      </x:c>
      <x:c r="E13" s="202" t="str">
        <x:f>'Master Customer Data'!E36</x:f>
        <x:v>ID</x:v>
      </x:c>
      <x:c r="F13" s="202" t="str">
        <x:f>'Master Customer Data'!L36</x:f>
        <x:v>Email Conflict</x:v>
      </x:c>
      <x:c r="G13" s="202" t="str">
        <x:f>'Master Customer Data'!M36</x:f>
        <x:v>OK</x:v>
      </x:c>
      <x:c r="H13" s="202" t="str">
        <x:f>'Master Customer Data'!N36</x:f>
        <x:v>OK</x:v>
      </x:c>
      <x:c r="I13" s="202" t="str">
        <x:f>'Master Customer Data'!O36</x:f>
        <x:v>OK</x:v>
      </x:c>
      <x:c r="J13" s="202" t="str">
        <x:f>IF(I13&lt;&gt;"OK","High","Medium")</x:f>
        <x:v>Medium</x:v>
      </x:c>
      <x:c r="K13" s="202" t="str">
        <x:v>Data Quality Admin</x:v>
      </x:c>
      <x:c r="L13" s="202" t="str">
        <x:v>Open</x:v>
      </x:c>
      <x:c r="M13" s="203" t="n">
        <x:f>IF(J13="High",DATE(2026,8,18),DATE(2026,8,20))</x:f>
        <x:v>46254</x:v>
      </x:c>
      <x:c r="N13" s="202" t="str">
        <x:v>Compare source evidence and obtain written approval before changing master data</x:v>
      </x:c>
    </x:row>
    <x:row r="14" ht="26" customHeight="1">
      <x:c r="A14" s="204" t="str">
        <x:f>"MERGE-CASE-010"</x:f>
        <x:v>MERGE-CASE-010</x:v>
      </x:c>
      <x:c r="B14" s="204" t="str">
        <x:f>'Master Customer Data'!A42</x:f>
        <x:v>CUST-038</x:v>
      </x:c>
      <x:c r="C14" s="204" t="str">
        <x:f>'Master Customer Data'!C42</x:f>
        <x:v>customer38@example.invalid</x:v>
      </x:c>
      <x:c r="D14" s="204" t="str">
        <x:f>'Master Customer Data'!D42</x:f>
        <x:v>+62-811-000-0038</x:v>
      </x:c>
      <x:c r="E14" s="204" t="str">
        <x:f>'Master Customer Data'!E42</x:f>
        <x:v>ZZ</x:v>
      </x:c>
      <x:c r="F14" s="204" t="str">
        <x:f>'Master Customer Data'!L42</x:f>
        <x:v>OK</x:v>
      </x:c>
      <x:c r="G14" s="204" t="str">
        <x:f>'Master Customer Data'!M42</x:f>
        <x:v>OK</x:v>
      </x:c>
      <x:c r="H14" s="204" t="str">
        <x:f>'Master Customer Data'!N42</x:f>
        <x:v>Invalid Country</x:v>
      </x:c>
      <x:c r="I14" s="204" t="str">
        <x:f>'Master Customer Data'!O42</x:f>
        <x:v>OK</x:v>
      </x:c>
      <x:c r="J14" s="204" t="str">
        <x:f>IF(I14&lt;&gt;"OK","High","Medium")</x:f>
        <x:v>Medium</x:v>
      </x:c>
      <x:c r="K14" s="204" t="str">
        <x:v>Data Quality Admin</x:v>
      </x:c>
      <x:c r="L14" s="204" t="str">
        <x:v>Open</x:v>
      </x:c>
      <x:c r="M14" s="205" t="n">
        <x:f>IF(J14="High",DATE(2026,8,18),DATE(2026,8,20))</x:f>
        <x:v>46254</x:v>
      </x:c>
      <x:c r="N14" s="204" t="str">
        <x:v>Compare source evidence and obtain written approval before changing master data</x:v>
      </x:c>
    </x:row>
  </x:sheetData>
  <x:mergeCells>
    <x:mergeCell ref="A1:N1"/>
    <x:mergeCell ref="A2:N2"/>
  </x:mergeCells>
  <x:dataValidations count="3">
    <x:dataValidation type="list" sqref="J5:J14">
      <x:formula1>"High,Medium,Low"</x:formula1>
    </x:dataValidation>
    <x:dataValidation type="list" sqref="K5:K14">
      <x:formula1>"Data Quality Admin,Records Reviewer,Source Owner"</x:formula1>
    </x:dataValidation>
    <x:dataValidation type="list" sqref="L5:L14">
      <x:formula1>"Open,In Progress,Waiting for Source,Resolved"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28" hidden="0" customWidth="1"/>
    <x:col min="4" max="4" width="35" hidden="0" customWidth="1"/>
    <x:col min="5" max="5" width="25" hidden="0" customWidth="1"/>
    <x:col min="6" max="6" width="27" hidden="0" customWidth="1"/>
    <x:col min="7" max="7" width="31" hidden="0" customWidth="1"/>
  </x:cols>
  <x:sheetData>
    <x:row r="1" ht="36" customHeight="1">
      <x:c r="A1" s="183" t="str">
        <x:v>PROJ-010 | MERGE ADMIN SOP</x:v>
      </x:c>
      <x:c r="B1" s="183"/>
      <x:c r="C1" s="183"/>
      <x:c r="D1" s="183"/>
      <x:c r="E1" s="183"/>
      <x:c r="F1" s="183"/>
      <x:c r="G1" s="183"/>
    </x:row>
    <x:row r="2" ht="25" customHeight="1">
      <x:c r="A2" s="184" t="str">
        <x:v>Preserve • normalize • match • compare • approve • publish</x:v>
      </x:c>
      <x:c r="B2" s="184"/>
      <x:c r="C2" s="184"/>
      <x:c r="D2" s="184"/>
      <x:c r="E2" s="184"/>
      <x:c r="F2" s="184"/>
      <x:c r="G2" s="184"/>
    </x:row>
    <x:row r="3">
      <x:c r="A3" s="185"/>
      <x:c r="B3" s="185"/>
      <x:c r="C3" s="185"/>
      <x:c r="D3" s="185"/>
      <x:c r="E3" s="185"/>
      <x:c r="F3" s="185"/>
      <x:c r="G3" s="185"/>
    </x:row>
    <x:row r="4" ht="34" customHeight="1">
      <x:c r="A4" s="186" t="str">
        <x:v>Step</x:v>
      </x:c>
      <x:c r="B4" s="186" t="str">
        <x:v>Activity</x:v>
      </x:c>
      <x:c r="C4" s="186" t="str">
        <x:v>Input</x:v>
      </x:c>
      <x:c r="D4" s="186" t="str">
        <x:v>Control</x:v>
      </x:c>
      <x:c r="E4" s="186" t="str">
        <x:v>Output</x:v>
      </x:c>
      <x:c r="F4" s="186" t="str">
        <x:v>Escalate When</x:v>
      </x:c>
      <x:c r="G4" s="186" t="str">
        <x:v>Boundary</x:v>
      </x:c>
    </x:row>
    <x:row r="5" ht="52" customHeight="1">
      <x:c r="A5" s="198" t="n">
        <x:v>1</x:v>
      </x:c>
      <x:c r="B5" s="245" t="str">
        <x:v>Receive source files</x:v>
      </x:c>
      <x:c r="C5" s="245" t="str">
        <x:v>Approved CRM, web, support exports</x:v>
      </x:c>
      <x:c r="D5" s="245" t="str">
        <x:v>Log source and preserve raw tabs</x:v>
      </x:c>
      <x:c r="E5" s="245" t="str">
        <x:v>Traceable inputs</x:v>
      </x:c>
      <x:c r="F5" s="245" t="str">
        <x:v>File is incomplete</x:v>
      </x:c>
      <x:c r="G5" s="245" t="str">
        <x:v>No deletion of raw data</x:v>
      </x:c>
    </x:row>
    <x:row r="6" ht="52" customHeight="1">
      <x:c r="A6" s="200" t="n">
        <x:v>2</x:v>
      </x:c>
      <x:c r="B6" s="246" t="str">
        <x:v>Normalize structure</x:v>
      </x:c>
      <x:c r="C6" s="246" t="str">
        <x:v>Source fields</x:v>
      </x:c>
      <x:c r="D6" s="246" t="str">
        <x:v>Standard field names and formats</x:v>
      </x:c>
      <x:c r="E6" s="246" t="str">
        <x:v>Combined dataset</x:v>
      </x:c>
      <x:c r="F6" s="246" t="str">
        <x:v>Field meaning is unclear</x:v>
      </x:c>
      <x:c r="G6" s="246" t="str">
        <x:v>Do not guess mapping</x:v>
      </x:c>
    </x:row>
    <x:row r="7" ht="52" customHeight="1">
      <x:c r="A7" s="202" t="n">
        <x:v>3</x:v>
      </x:c>
      <x:c r="B7" s="247" t="str">
        <x:v>Match keys</x:v>
      </x:c>
      <x:c r="C7" s="247" t="str">
        <x:v>Customer ID</x:v>
      </x:c>
      <x:c r="D7" s="247" t="str">
        <x:v>Count each source occurrence</x:v>
      </x:c>
      <x:c r="E7" s="247" t="str">
        <x:v>Match counts</x:v>
      </x:c>
      <x:c r="F7" s="247" t="str">
        <x:v>Duplicate key found</x:v>
      </x:c>
      <x:c r="G7" s="247" t="str">
        <x:v>No silent deduplication</x:v>
      </x:c>
    </x:row>
    <x:row r="8" ht="52" customHeight="1">
      <x:c r="A8" s="200" t="n">
        <x:v>4</x:v>
      </x:c>
      <x:c r="B8" s="246" t="str">
        <x:v>Select candidate values</x:v>
      </x:c>
      <x:c r="C8" s="246" t="str">
        <x:v>Merge priority rules</x:v>
      </x:c>
      <x:c r="D8" s="246" t="str">
        <x:v>Apply visible priority</x:v>
      </x:c>
      <x:c r="E8" s="246" t="str">
        <x:v>Proposed master</x:v>
      </x:c>
      <x:c r="F8" s="246" t="str">
        <x:v>All sources blank</x:v>
      </x:c>
      <x:c r="G8" s="246" t="str">
        <x:v>Selection is not approval</x:v>
      </x:c>
    </x:row>
    <x:row r="9" ht="52" customHeight="1">
      <x:c r="A9" s="202" t="n">
        <x:v>5</x:v>
      </x:c>
      <x:c r="B9" s="247" t="str">
        <x:v>Compare values</x:v>
      </x:c>
      <x:c r="C9" s="247" t="str">
        <x:v>Email, phone, country</x:v>
      </x:c>
      <x:c r="D9" s="247" t="str">
        <x:v>Flag disagreements</x:v>
      </x:c>
      <x:c r="E9" s="247" t="str">
        <x:v>Conflict result</x:v>
      </x:c>
      <x:c r="F9" s="247" t="str">
        <x:v>Sources disagree</x:v>
      </x:c>
      <x:c r="G9" s="247" t="str">
        <x:v>No silent overwrite</x:v>
      </x:c>
    </x:row>
    <x:row r="10" ht="52" customHeight="1">
      <x:c r="A10" s="200" t="n">
        <x:v>6</x:v>
      </x:c>
      <x:c r="B10" s="246" t="str">
        <x:v>Create exception</x:v>
      </x:c>
      <x:c r="C10" s="246" t="str">
        <x:v>Conflict outputs</x:v>
      </x:c>
      <x:c r="D10" s="246" t="str">
        <x:v>Assign owner and due date</x:v>
      </x:c>
      <x:c r="E10" s="246" t="str">
        <x:v>Exception queue</x:v>
      </x:c>
      <x:c r="F10" s="246" t="str">
        <x:v>High priority exists</x:v>
      </x:c>
      <x:c r="G10" s="246" t="str">
        <x:v>Written trail required</x:v>
      </x:c>
    </x:row>
    <x:row r="11" ht="52" customHeight="1">
      <x:c r="A11" s="202" t="n">
        <x:v>7</x:v>
      </x:c>
      <x:c r="B11" s="247" t="str">
        <x:v>Resolve</x:v>
      </x:c>
      <x:c r="C11" s="247" t="str">
        <x:v>Approved source evidence</x:v>
      </x:c>
      <x:c r="D11" s="247" t="str">
        <x:v>Record approval and verifier</x:v>
      </x:c>
      <x:c r="E11" s="247" t="str">
        <x:v>Resolved value</x:v>
      </x:c>
      <x:c r="F11" s="247" t="str">
        <x:v>Evidence conflicts</x:v>
      </x:c>
      <x:c r="G11" s="247" t="str">
        <x:v>Reviewer decides</x:v>
      </x:c>
    </x:row>
    <x:row r="12" ht="52" customHeight="1">
      <x:c r="A12" s="204" t="n">
        <x:v>8</x:v>
      </x:c>
      <x:c r="B12" s="248" t="str">
        <x:v>Publish master</x:v>
      </x:c>
      <x:c r="C12" s="248" t="str">
        <x:v>Verified records</x:v>
      </x:c>
      <x:c r="D12" s="248" t="str">
        <x:v>Reconcile totals and formula scan</x:v>
      </x:c>
      <x:c r="E12" s="248" t="str">
        <x:v>Final master</x:v>
      </x:c>
      <x:c r="F12" s="248" t="str">
        <x:v>QA check fails</x:v>
      </x:c>
      <x:c r="G12" s="248" t="str">
        <x:v>Do not publish failed QA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6" customHeight="1">
      <x:c r="A1" s="183" t="str">
        <x:v>PROJ-010 | PROJECT NOTES</x:v>
      </x:c>
      <x:c r="B1" s="183"/>
    </x:row>
    <x:row r="2" ht="25" customHeight="1">
      <x:c r="A2" s="184" t="str">
        <x:v>Assumptions • definitions • portfolio integrity</x:v>
      </x:c>
      <x:c r="B2" s="184"/>
    </x:row>
    <x:row r="3">
      <x:c r="A3" s="185"/>
      <x:c r="B3" s="185"/>
    </x:row>
    <x:row r="4" ht="34" customHeight="1">
      <x:c r="A4" s="186" t="str">
        <x:v>Topic</x:v>
      </x:c>
      <x:c r="B4" s="186" t="str">
        <x:v>Detail</x:v>
      </x:c>
    </x:row>
    <x:row r="5" ht="48" customHeight="1">
      <x:c r="A5" s="198" t="str">
        <x:v>Portfolio status</x:v>
      </x:c>
      <x:c r="B5" s="245" t="str">
        <x:v>Independent simulated portfolio project; not client work or employment evidence.</x:v>
      </x:c>
    </x:row>
    <x:row r="6" ht="48" customHeight="1">
      <x:c r="A6" s="200" t="str">
        <x:v>Data status</x:v>
      </x:c>
      <x:c r="B6" s="246" t="str">
        <x:v>All customers, contacts, source IDs, and conflicts are fictional.</x:v>
      </x:c>
    </x:row>
    <x:row r="7" ht="48" customHeight="1">
      <x:c r="A7" s="202" t="str">
        <x:v>Purpose</x:v>
      </x:c>
      <x:c r="B7" s="247" t="str">
        <x:v>Demonstrate multi-source data entry, normalization, matching, conflict handling, and master-data administration.</x:v>
      </x:c>
    </x:row>
    <x:row r="8" ht="48" customHeight="1">
      <x:c r="A8" s="200" t="str">
        <x:v>Source priority</x:v>
      </x:c>
      <x:c r="B8" s="246" t="str">
        <x:v>CRM, then Web Orders, then Support for candidate values.</x:v>
      </x:c>
    </x:row>
    <x:row r="9" ht="48" customHeight="1">
      <x:c r="A9" s="202" t="str">
        <x:v>Conflict rule</x:v>
      </x:c>
      <x:c r="B9" s="247" t="str">
        <x:v>Different populated values are flagged; priority never hides disagreement.</x:v>
      </x:c>
    </x:row>
    <x:row r="10" ht="48" customHeight="1">
      <x:c r="A10" s="200" t="str">
        <x:v>Ready definition</x:v>
      </x:c>
      <x:c r="B10" s="246" t="str">
        <x:v>Customer has no email, phone, country, or duplicate-key conflict.</x:v>
      </x:c>
    </x:row>
    <x:row r="11" ht="48" customHeight="1">
      <x:c r="A11" s="202" t="str">
        <x:v>Open cases</x:v>
      </x:c>
      <x:c r="B11" s="247" t="str">
        <x:v>Resolution is not fabricated; cases stay Open until written evidence and verification exist.</x:v>
      </x:c>
    </x:row>
    <x:row r="12" ht="48" customHeight="1">
      <x:c r="A12" s="200" t="str">
        <x:v>Authority boundary</x:v>
      </x:c>
      <x:c r="B12" s="246" t="str">
        <x:v>Admin proposes and documents; approved reviewer authorizes master-data changes.</x:v>
      </x:c>
    </x:row>
    <x:row r="13" ht="48" customHeight="1">
      <x:c r="A13" s="202" t="str">
        <x:v>Communication</x:v>
      </x:c>
      <x:c r="B13" s="247" t="str">
        <x:v>Spreadsheet, secure email/chat, task tracker, and documented handoff.</x:v>
      </x:c>
    </x:row>
    <x:row r="14" ht="48" customHeight="1">
      <x:c r="A14" s="204" t="str">
        <x:v>Accessibility</x:v>
      </x:c>
      <x:c r="B14" s="248" t="str">
        <x:v>No cold calling, phone support, sales calls, or frequent English meetings required.</x:v>
      </x:c>
    </x:row>
  </x:sheetData>
  <x:mergeCells>
    <x:mergeCell ref="A1:B1"/>
    <x:mergeCell ref="A2:B2"/>
  </x:mergeCells>
  <x:pageMargins left="0.7" right="0.7" top="0.75" bottom="0.75" header="0.3" footer="0.3"/>
</x:worksheet>
</file>