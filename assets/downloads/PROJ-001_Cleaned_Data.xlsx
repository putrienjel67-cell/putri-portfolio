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Mapping" sheetId="1" state="visible" r:id="rId3"/>
    <sheet name="Size Mapping" sheetId="2" state="visible" r:id="rId4"/>
    <sheet name="Cleaned Catalog" sheetId="3" state="visible" r:id="rId5"/>
    <sheet name="Cleaning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<sst xmlns="http://schemas.openxmlformats.org/spreadsheetml/2006/main" count="381" uniqueCount="201">
  <si>
    <t xml:space="preserve">Raw Value (exact)</t>
  </si>
  <si>
    <t xml:space="preserve">Standardized Category</t>
  </si>
  <si>
    <t xml:space="preserve">ABAYA</t>
  </si>
  <si>
    <t xml:space="preserve">Abaya</t>
  </si>
  <si>
    <t xml:space="preserve">prayer set</t>
  </si>
  <si>
    <t xml:space="preserve">Prayer Set</t>
  </si>
  <si>
    <t xml:space="preserve">Hijabs</t>
  </si>
  <si>
    <t xml:space="preserve">Hijab</t>
  </si>
  <si>
    <t xml:space="preserve">Accessories</t>
  </si>
  <si>
    <t xml:space="preserve">Abaya </t>
  </si>
  <si>
    <t xml:space="preserve">Hijab </t>
  </si>
  <si>
    <t xml:space="preserve">Accesories</t>
  </si>
  <si>
    <t xml:space="preserve">PrayerSet</t>
  </si>
  <si>
    <t xml:space="preserve"> Hijab</t>
  </si>
  <si>
    <t xml:space="preserve">Prayer set</t>
  </si>
  <si>
    <t xml:space="preserve">Accessory</t>
  </si>
  <si>
    <t xml:space="preserve">ACCESSORIES</t>
  </si>
  <si>
    <t xml:space="preserve">accessories</t>
  </si>
  <si>
    <t xml:space="preserve">hijab</t>
  </si>
  <si>
    <t xml:space="preserve">Abayas</t>
  </si>
  <si>
    <t xml:space="preserve">Misc</t>
  </si>
  <si>
    <t xml:space="preserve">NOT MAPPED - INVALID</t>
  </si>
  <si>
    <t xml:space="preserve">abaya</t>
  </si>
  <si>
    <t xml:space="preserve">HIJAB</t>
  </si>
  <si>
    <t xml:space="preserve">New Arrival</t>
  </si>
  <si>
    <t xml:space="preserve">Standardized Size</t>
  </si>
  <si>
    <t xml:space="preserve"> M</t>
  </si>
  <si>
    <t xml:space="preserve">M</t>
  </si>
  <si>
    <t xml:space="preserve">All Size</t>
  </si>
  <si>
    <t xml:space="preserve">All size</t>
  </si>
  <si>
    <t xml:space="preserve">Free Size</t>
  </si>
  <si>
    <t xml:space="preserve">m</t>
  </si>
  <si>
    <t xml:space="preserve">AllSize</t>
  </si>
  <si>
    <t xml:space="preserve">ALLSIZE</t>
  </si>
  <si>
    <t xml:space="preserve"> XL</t>
  </si>
  <si>
    <t xml:space="preserve">XL</t>
  </si>
  <si>
    <t xml:space="preserve">L </t>
  </si>
  <si>
    <t xml:space="preserve">L</t>
  </si>
  <si>
    <t xml:space="preserve">all size</t>
  </si>
  <si>
    <t xml:space="preserve">M </t>
  </si>
  <si>
    <t xml:space="preserve">l</t>
  </si>
  <si>
    <t xml:space="preserve"> L</t>
  </si>
  <si>
    <t xml:space="preserve"> S</t>
  </si>
  <si>
    <t xml:space="preserve">S</t>
  </si>
  <si>
    <t xml:space="preserve">Raw Row #</t>
  </si>
  <si>
    <t xml:space="preserve">SKU</t>
  </si>
  <si>
    <t xml:space="preserve">Duplicate SKU Flag</t>
  </si>
  <si>
    <t xml:space="preserve">Product Name</t>
  </si>
  <si>
    <t xml:space="preserve">Category (Raw)</t>
  </si>
  <si>
    <t xml:space="preserve">Category (Standardized)</t>
  </si>
  <si>
    <t xml:space="preserve">Color (Raw)</t>
  </si>
  <si>
    <t xml:space="preserve">Color (Standardized)</t>
  </si>
  <si>
    <t xml:space="preserve">Size (Raw)</t>
  </si>
  <si>
    <t xml:space="preserve">Size (Standardized)</t>
  </si>
  <si>
    <t xml:space="preserve">Price</t>
  </si>
  <si>
    <t xml:space="preserve">Price Check</t>
  </si>
  <si>
    <t xml:space="preserve">Stock Quantity</t>
  </si>
  <si>
    <t xml:space="preserve">Stock Check</t>
  </si>
  <si>
    <t xml:space="preserve">Issue Count</t>
  </si>
  <si>
    <t xml:space="preserve">Issue / Reason</t>
  </si>
  <si>
    <t xml:space="preserve">Marketplace Status</t>
  </si>
  <si>
    <t xml:space="preserve">AMC-127</t>
  </si>
  <si>
    <t xml:space="preserve">Abaya Nida Basic</t>
  </si>
  <si>
    <t xml:space="preserve">NAVY</t>
  </si>
  <si>
    <t xml:space="preserve">AMC-136</t>
  </si>
  <si>
    <t xml:space="preserve">Sajadah Travel Roll</t>
  </si>
  <si>
    <t xml:space="preserve">navy</t>
  </si>
  <si>
    <t xml:space="preserve">AMC-122</t>
  </si>
  <si>
    <t xml:space="preserve">Pashmina Diamond Italiano</t>
  </si>
  <si>
    <t xml:space="preserve">ivory</t>
  </si>
  <si>
    <t xml:space="preserve">AMC-145</t>
  </si>
  <si>
    <t xml:space="preserve">Manset Baju Kaos</t>
  </si>
  <si>
    <t xml:space="preserve">Black</t>
  </si>
  <si>
    <t xml:space="preserve">AMC-141</t>
  </si>
  <si>
    <t xml:space="preserve">sage green</t>
  </si>
  <si>
    <t xml:space="preserve">AMC-108</t>
  </si>
  <si>
    <t xml:space="preserve">Khimar Jersey 2 Layer</t>
  </si>
  <si>
    <t xml:space="preserve"> Black</t>
  </si>
  <si>
    <t xml:space="preserve">AMC-103</t>
  </si>
  <si>
    <t xml:space="preserve">Pashmina Ceruty Premium</t>
  </si>
  <si>
    <t xml:space="preserve"> Navy Blue</t>
  </si>
  <si>
    <t xml:space="preserve">AMC-113</t>
  </si>
  <si>
    <t xml:space="preserve">Abaya Embroidered Kimono</t>
  </si>
  <si>
    <t xml:space="preserve"> Dusty Blue</t>
  </si>
  <si>
    <t xml:space="preserve">AMC-114</t>
  </si>
  <si>
    <t xml:space="preserve">Mukena Katun Jepang</t>
  </si>
  <si>
    <t xml:space="preserve">Dusty Pink</t>
  </si>
  <si>
    <t xml:space="preserve">AMC-124</t>
  </si>
  <si>
    <t xml:space="preserve">Gold </t>
  </si>
  <si>
    <t xml:space="preserve">AMC-117</t>
  </si>
  <si>
    <t xml:space="preserve">mukena rayon premium</t>
  </si>
  <si>
    <t xml:space="preserve">LAVENDER</t>
  </si>
  <si>
    <t xml:space="preserve">AMC-120</t>
  </si>
  <si>
    <t xml:space="preserve">Ciput Antem Rajut</t>
  </si>
  <si>
    <t xml:space="preserve">AMC-115</t>
  </si>
  <si>
    <t xml:space="preserve">Open Abaya Cardigan Style</t>
  </si>
  <si>
    <t xml:space="preserve">Sand</t>
  </si>
  <si>
    <t xml:space="preserve">AMC-104</t>
  </si>
  <si>
    <t xml:space="preserve">Bergo Instan Ceruty</t>
  </si>
  <si>
    <t xml:space="preserve">Black </t>
  </si>
  <si>
    <t xml:space="preserve">AMC-118</t>
  </si>
  <si>
    <t xml:space="preserve"> Grey</t>
  </si>
  <si>
    <t xml:space="preserve">NUDE</t>
  </si>
  <si>
    <t xml:space="preserve">AMC-123</t>
  </si>
  <si>
    <t xml:space="preserve"> White</t>
  </si>
  <si>
    <t xml:space="preserve">AMC-121</t>
  </si>
  <si>
    <t xml:space="preserve">cream</t>
  </si>
  <si>
    <t xml:space="preserve">AMC-131</t>
  </si>
  <si>
    <t xml:space="preserve">Bergo Rabbani Syari</t>
  </si>
  <si>
    <t xml:space="preserve">brown</t>
  </si>
  <si>
    <t xml:space="preserve">Dusty Blue </t>
  </si>
  <si>
    <t xml:space="preserve">AMC-129</t>
  </si>
  <si>
    <t xml:space="preserve">Ivory </t>
  </si>
  <si>
    <t xml:space="preserve">AMC-144</t>
  </si>
  <si>
    <t xml:space="preserve">Inner Ninja Ciput</t>
  </si>
  <si>
    <t xml:space="preserve">Nude </t>
  </si>
  <si>
    <t xml:space="preserve">AMC-107</t>
  </si>
  <si>
    <t xml:space="preserve">Segiempat Katun Polos</t>
  </si>
  <si>
    <t xml:space="preserve">MUSTARD</t>
  </si>
  <si>
    <t xml:space="preserve">AMC-143</t>
  </si>
  <si>
    <t xml:space="preserve"> Sage Green</t>
  </si>
  <si>
    <t xml:space="preserve">AMC-133</t>
  </si>
  <si>
    <t xml:space="preserve">Segiempat Voal Motif Polkadot</t>
  </si>
  <si>
    <t xml:space="preserve"> Blue</t>
  </si>
  <si>
    <t xml:space="preserve">TBD</t>
  </si>
  <si>
    <t xml:space="preserve">AMC-101</t>
  </si>
  <si>
    <t xml:space="preserve">mocha brown</t>
  </si>
  <si>
    <t xml:space="preserve">AMC-135</t>
  </si>
  <si>
    <t xml:space="preserve">AMC-116</t>
  </si>
  <si>
    <t xml:space="preserve">AMC-126</t>
  </si>
  <si>
    <t xml:space="preserve">olive</t>
  </si>
  <si>
    <t xml:space="preserve">AMC-100</t>
  </si>
  <si>
    <t xml:space="preserve">pashmina diamond italiano</t>
  </si>
  <si>
    <t xml:space="preserve">AMC-138</t>
  </si>
  <si>
    <t xml:space="preserve">Bros Hijab Magnet Set</t>
  </si>
  <si>
    <t xml:space="preserve"> Silver</t>
  </si>
  <si>
    <t xml:space="preserve">AMC-110</t>
  </si>
  <si>
    <t xml:space="preserve">Olive</t>
  </si>
  <si>
    <t xml:space="preserve">AMC-142</t>
  </si>
  <si>
    <t xml:space="preserve">AMC-125</t>
  </si>
  <si>
    <t xml:space="preserve">AMC-102</t>
  </si>
  <si>
    <t xml:space="preserve">SAGE GREEN</t>
  </si>
  <si>
    <t xml:space="preserve">AMC-134</t>
  </si>
  <si>
    <t xml:space="preserve">open abaya cardigan style</t>
  </si>
  <si>
    <t xml:space="preserve">Charcoal </t>
  </si>
  <si>
    <t xml:space="preserve">AMC-105</t>
  </si>
  <si>
    <t xml:space="preserve">Maroon</t>
  </si>
  <si>
    <t xml:space="preserve">AMC-109</t>
  </si>
  <si>
    <t xml:space="preserve">AMC-119</t>
  </si>
  <si>
    <t xml:space="preserve">Tasbih Digital Counter</t>
  </si>
  <si>
    <t xml:space="preserve">AMC-128</t>
  </si>
  <si>
    <t xml:space="preserve"> Navy</t>
  </si>
  <si>
    <t xml:space="preserve">AMC-106</t>
  </si>
  <si>
    <t xml:space="preserve">Segiempat Voal Motif Bunga</t>
  </si>
  <si>
    <t xml:space="preserve">multicolor</t>
  </si>
  <si>
    <t xml:space="preserve">Navy </t>
  </si>
  <si>
    <t xml:space="preserve">AMC-139</t>
  </si>
  <si>
    <t xml:space="preserve">Navy</t>
  </si>
  <si>
    <t xml:space="preserve">AMC-130</t>
  </si>
  <si>
    <t xml:space="preserve">Peach</t>
  </si>
  <si>
    <t xml:space="preserve">AMC-132</t>
  </si>
  <si>
    <t xml:space="preserve">BLACK</t>
  </si>
  <si>
    <t xml:space="preserve">AMC-111</t>
  </si>
  <si>
    <t xml:space="preserve">black</t>
  </si>
  <si>
    <t xml:space="preserve">AMC-112</t>
  </si>
  <si>
    <t xml:space="preserve">AMC-137</t>
  </si>
  <si>
    <t xml:space="preserve">SILVER</t>
  </si>
  <si>
    <t xml:space="preserve">PROJ-001 — Cleaning Log</t>
  </si>
  <si>
    <t xml:space="preserve">Transformation Rules Applied</t>
  </si>
  <si>
    <t xml:space="preserve">Category</t>
  </si>
  <si>
    <t xml:space="preserve">Standardized via explicit lookup table ('Category Mapping' sheet) using exact-match VLOOKUP. Values not present in the table return "NOT MAPPED" — never guessed.</t>
  </si>
  <si>
    <t xml:space="preserve">Size</t>
  </si>
  <si>
    <t xml:space="preserve">Standardized via explicit lookup table ('Size Mapping' sheet) using exact-match VLOOKUP. Unlisted values would return "NOT MAPPED" (none occurred in this dataset).</t>
  </si>
  <si>
    <t xml:space="preserve">Color</t>
  </si>
  <si>
    <t xml:space="preserve">Standardized with formula-driven TRIM + PROPER — no lookup table needed since this is casing/spacing only, not a controlled vocabulary.</t>
  </si>
  <si>
    <t xml:space="preserve">Duplicate SKU</t>
  </si>
  <si>
    <t xml:space="preserve">Flagged via COUNTIF against the full SKU column. Duplicate rows are preserved, not merged or deleted.</t>
  </si>
  <si>
    <t xml:space="preserve">Missing/invalid SKU, Name, Category, Price, Stock</t>
  </si>
  <si>
    <t xml:space="preserve">Preserved as-is and flagged. No replacement values were invented.</t>
  </si>
  <si>
    <t xml:space="preserve">Unresolved Issues (require manual resolution — not fixable by formula)</t>
  </si>
  <si>
    <t xml:space="preserve">Count (formula-driven)</t>
  </si>
  <si>
    <t xml:space="preserve">Detail</t>
  </si>
  <si>
    <t xml:space="preserve">Missing SKU</t>
  </si>
  <si>
    <t xml:space="preserve">Row 48 in Raw_Data.xlsx — no identifier, cannot be listed.</t>
  </si>
  <si>
    <t xml:space="preserve">Missing Product Name</t>
  </si>
  <si>
    <t xml:space="preserve">Row 14 (SKU AMC-124).</t>
  </si>
  <si>
    <t xml:space="preserve">AMC-122, AMC-114, AMC-105 — each appears twice; needs manual decision on which record is correct.</t>
  </si>
  <si>
    <t xml:space="preserve">Invalid Category (NOT MAPPED)</t>
  </si>
  <si>
    <t xml:space="preserve">"Misc" and "New Arrival" are not on the approved category list.</t>
  </si>
  <si>
    <t xml:space="preserve">Invalid Size (NOT MAPPED)</t>
  </si>
  <si>
    <t xml:space="preserve">None found — all raw size variants mapped successfully.</t>
  </si>
  <si>
    <t xml:space="preserve">Invalid Price</t>
  </si>
  <si>
    <t xml:space="preserve">Blank, "TBD", and 0 — cannot be auto-corrected.</t>
  </si>
  <si>
    <t xml:space="preserve">Invalid Stock Quantity</t>
  </si>
  <si>
    <t xml:space="preserve">Blank x2, one negative value — cannot be auto-corrected.</t>
  </si>
  <si>
    <t xml:space="preserve">Marketplace Status — Final Counts (formula-driven)</t>
  </si>
  <si>
    <t xml:space="preserve">Status</t>
  </si>
  <si>
    <t xml:space="preserve">Count</t>
  </si>
  <si>
    <t xml:space="preserve">Ready to List</t>
  </si>
  <si>
    <t xml:space="preserve">Needs Review</t>
  </si>
  <si>
    <t xml:space="preserve">Incomplete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</si>
</sst>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onsolas"/>
      <family val="0"/>
      <charset val="1"/>
    </font>
    <font>
      <sz val="10"/>
      <name val="Cambria"/>
      <family val="0"/>
      <charset val="1"/>
    </font>
    <font>
      <b val="true"/>
      <sz val="10"/>
      <color rgb="FFB3261E"/>
      <name val="Cambria"/>
      <family val="0"/>
      <charset val="1"/>
    </font>
    <font>
      <sz val="9.5"/>
      <name val="Cambria"/>
      <family val="0"/>
      <charset val="1"/>
    </font>
    <font>
      <b val="true"/>
      <sz val="13"/>
      <color rgb="FF1E212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2455C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124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F8A5F"/>
      </font>
    </dxf>
    <dxf>
      <font>
        <b val="1"/>
        <color rgb="FFB3261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455C4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F8A5F"/>
      <rgbColor rgb="FF003300"/>
      <rgbColor rgb="FF333300"/>
      <rgbColor rgb="FFB3261E"/>
      <rgbColor rgb="FF993366"/>
      <rgbColor rgb="FF333399"/>
      <rgbColor rgb="FF1E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4"/>
  </cols>
  <sheetData>
    <row r="1" customFormat="false" ht="19.5" hidden="false" customHeight="tru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4" t="s">
        <v>5</v>
      </c>
    </row>
    <row r="4" customFormat="false" ht="15" hidden="false" customHeight="false" outlineLevel="0" collapsed="false">
      <c r="A4" s="3" t="s">
        <v>6</v>
      </c>
      <c r="B4" s="4" t="s">
        <v>7</v>
      </c>
    </row>
    <row r="5" customFormat="false" ht="15" hidden="false" customHeight="false" outlineLevel="0" collapsed="false">
      <c r="A5" s="3" t="s">
        <v>8</v>
      </c>
      <c r="B5" s="4" t="s">
        <v>8</v>
      </c>
    </row>
    <row r="6" customFormat="false" ht="15" hidden="false" customHeight="false" outlineLevel="0" collapsed="false">
      <c r="A6" s="3" t="s">
        <v>9</v>
      </c>
      <c r="B6" s="4" t="s">
        <v>3</v>
      </c>
    </row>
    <row r="7" customFormat="false" ht="15" hidden="false" customHeight="false" outlineLevel="0" collapsed="false">
      <c r="A7" s="3" t="s">
        <v>10</v>
      </c>
      <c r="B7" s="4" t="s">
        <v>7</v>
      </c>
    </row>
    <row r="8" customFormat="false" ht="15" hidden="false" customHeight="false" outlineLevel="0" collapsed="false">
      <c r="A8" s="3" t="s">
        <v>5</v>
      </c>
      <c r="B8" s="4" t="s">
        <v>5</v>
      </c>
    </row>
    <row r="9" customFormat="false" ht="15" hidden="false" customHeight="false" outlineLevel="0" collapsed="false">
      <c r="A9" s="3" t="s">
        <v>11</v>
      </c>
      <c r="B9" s="4" t="s">
        <v>8</v>
      </c>
    </row>
    <row r="10" customFormat="false" ht="15" hidden="false" customHeight="false" outlineLevel="0" collapsed="false">
      <c r="A10" s="3" t="s">
        <v>12</v>
      </c>
      <c r="B10" s="4" t="s">
        <v>5</v>
      </c>
    </row>
    <row r="11" customFormat="false" ht="15" hidden="false" customHeight="false" outlineLevel="0" collapsed="false">
      <c r="A11" s="3" t="s">
        <v>3</v>
      </c>
      <c r="B11" s="4" t="s">
        <v>3</v>
      </c>
    </row>
    <row r="12" customFormat="false" ht="15" hidden="false" customHeight="false" outlineLevel="0" collapsed="false">
      <c r="A12" s="3" t="s">
        <v>13</v>
      </c>
      <c r="B12" s="4" t="s">
        <v>7</v>
      </c>
    </row>
    <row r="13" customFormat="false" ht="15" hidden="false" customHeight="false" outlineLevel="0" collapsed="false">
      <c r="A13" s="3" t="s">
        <v>14</v>
      </c>
      <c r="B13" s="4" t="s">
        <v>5</v>
      </c>
    </row>
    <row r="14" customFormat="false" ht="15" hidden="false" customHeight="false" outlineLevel="0" collapsed="false">
      <c r="A14" s="3" t="s">
        <v>15</v>
      </c>
      <c r="B14" s="4" t="s">
        <v>8</v>
      </c>
    </row>
    <row r="15" customFormat="false" ht="15" hidden="false" customHeight="false" outlineLevel="0" collapsed="false">
      <c r="A15" s="3" t="s">
        <v>16</v>
      </c>
      <c r="B15" s="4" t="s">
        <v>8</v>
      </c>
    </row>
    <row r="16" customFormat="false" ht="15" hidden="false" customHeight="false" outlineLevel="0" collapsed="false">
      <c r="A16" s="3" t="s">
        <v>17</v>
      </c>
      <c r="B16" s="4" t="s">
        <v>8</v>
      </c>
    </row>
    <row r="17" customFormat="false" ht="15" hidden="false" customHeight="false" outlineLevel="0" collapsed="false">
      <c r="A17" s="3" t="s">
        <v>18</v>
      </c>
      <c r="B17" s="4" t="s">
        <v>7</v>
      </c>
    </row>
    <row r="18" customFormat="false" ht="15" hidden="false" customHeight="false" outlineLevel="0" collapsed="false">
      <c r="A18" s="3" t="s">
        <v>19</v>
      </c>
      <c r="B18" s="4" t="s">
        <v>3</v>
      </c>
    </row>
    <row r="19" customFormat="false" ht="15" hidden="false" customHeight="false" outlineLevel="0" collapsed="false">
      <c r="A19" s="3" t="s">
        <v>20</v>
      </c>
      <c r="B19" s="5" t="s">
        <v>21</v>
      </c>
    </row>
    <row r="20" customFormat="false" ht="15" hidden="false" customHeight="false" outlineLevel="0" collapsed="false">
      <c r="A20" s="3" t="s">
        <v>22</v>
      </c>
      <c r="B20" s="4" t="s">
        <v>3</v>
      </c>
    </row>
    <row r="21" customFormat="false" ht="15" hidden="false" customHeight="false" outlineLevel="0" collapsed="false">
      <c r="A21" s="3" t="s">
        <v>7</v>
      </c>
      <c r="B21" s="4" t="s">
        <v>7</v>
      </c>
    </row>
    <row r="22" customFormat="false" ht="15" hidden="false" customHeight="false" outlineLevel="0" collapsed="false">
      <c r="A22" s="3" t="s">
        <v>23</v>
      </c>
      <c r="B22" s="4" t="s">
        <v>7</v>
      </c>
    </row>
    <row r="23" customFormat="false" ht="15" hidden="false" customHeight="false" outlineLevel="0" collapsed="false">
      <c r="A23" s="3" t="s">
        <v>24</v>
      </c>
      <c r="B23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</cols>
  <sheetData>
    <row r="1" customFormat="false" ht="19.5" hidden="false" customHeight="true" outlineLevel="0" collapsed="false">
      <c r="A1" s="2" t="s">
        <v>0</v>
      </c>
      <c r="B1" s="2" t="s">
        <v>25</v>
      </c>
    </row>
    <row r="2" customFormat="false" ht="15" hidden="false" customHeight="false" outlineLevel="0" collapsed="false">
      <c r="A2" s="3" t="s">
        <v>26</v>
      </c>
      <c r="B2" s="4" t="s">
        <v>27</v>
      </c>
    </row>
    <row r="3" customFormat="false" ht="15" hidden="false" customHeight="false" outlineLevel="0" collapsed="false">
      <c r="A3" s="3" t="s">
        <v>28</v>
      </c>
      <c r="B3" s="4" t="s">
        <v>28</v>
      </c>
    </row>
    <row r="4" customFormat="false" ht="15" hidden="false" customHeight="false" outlineLevel="0" collapsed="false">
      <c r="A4" s="3" t="s">
        <v>29</v>
      </c>
      <c r="B4" s="4" t="s">
        <v>28</v>
      </c>
    </row>
    <row r="5" customFormat="false" ht="15" hidden="false" customHeight="false" outlineLevel="0" collapsed="false">
      <c r="A5" s="3" t="s">
        <v>30</v>
      </c>
      <c r="B5" s="4" t="s">
        <v>28</v>
      </c>
    </row>
    <row r="6" customFormat="false" ht="15" hidden="false" customHeight="false" outlineLevel="0" collapsed="false">
      <c r="A6" s="3" t="s">
        <v>27</v>
      </c>
      <c r="B6" s="4" t="s">
        <v>27</v>
      </c>
    </row>
    <row r="7" customFormat="false" ht="15" hidden="false" customHeight="false" outlineLevel="0" collapsed="false">
      <c r="A7" s="3" t="s">
        <v>31</v>
      </c>
      <c r="B7" s="4" t="s">
        <v>27</v>
      </c>
    </row>
    <row r="8" customFormat="false" ht="15" hidden="false" customHeight="false" outlineLevel="0" collapsed="false">
      <c r="A8" s="3" t="s">
        <v>32</v>
      </c>
      <c r="B8" s="4" t="s">
        <v>28</v>
      </c>
    </row>
    <row r="9" customFormat="false" ht="15" hidden="false" customHeight="false" outlineLevel="0" collapsed="false">
      <c r="A9" s="3" t="s">
        <v>33</v>
      </c>
      <c r="B9" s="4" t="s">
        <v>28</v>
      </c>
    </row>
    <row r="10" customFormat="false" ht="15" hidden="false" customHeight="false" outlineLevel="0" collapsed="false">
      <c r="A10" s="3" t="s">
        <v>34</v>
      </c>
      <c r="B10" s="4" t="s">
        <v>35</v>
      </c>
    </row>
    <row r="11" customFormat="false" ht="15" hidden="false" customHeight="false" outlineLevel="0" collapsed="false">
      <c r="A11" s="3" t="s">
        <v>36</v>
      </c>
      <c r="B11" s="4" t="s">
        <v>37</v>
      </c>
    </row>
    <row r="12" customFormat="false" ht="15" hidden="false" customHeight="false" outlineLevel="0" collapsed="false">
      <c r="A12" s="3" t="s">
        <v>38</v>
      </c>
      <c r="B12" s="4" t="s">
        <v>28</v>
      </c>
    </row>
    <row r="13" customFormat="false" ht="15" hidden="false" customHeight="false" outlineLevel="0" collapsed="false">
      <c r="A13" s="3" t="s">
        <v>39</v>
      </c>
      <c r="B13" s="4" t="s">
        <v>27</v>
      </c>
    </row>
    <row r="14" customFormat="false" ht="15" hidden="false" customHeight="false" outlineLevel="0" collapsed="false">
      <c r="A14" s="3" t="s">
        <v>40</v>
      </c>
      <c r="B14" s="4" t="s">
        <v>37</v>
      </c>
    </row>
    <row r="15" customFormat="false" ht="15" hidden="false" customHeight="false" outlineLevel="0" collapsed="false">
      <c r="A15" s="3" t="s">
        <v>37</v>
      </c>
      <c r="B15" s="4" t="s">
        <v>37</v>
      </c>
    </row>
    <row r="16" customFormat="false" ht="15" hidden="false" customHeight="false" outlineLevel="0" collapsed="false">
      <c r="A16" s="3" t="s">
        <v>41</v>
      </c>
      <c r="B16" s="4" t="s">
        <v>37</v>
      </c>
    </row>
    <row r="17" customFormat="false" ht="15" hidden="false" customHeight="false" outlineLevel="0" collapsed="false">
      <c r="A17" s="3" t="s">
        <v>42</v>
      </c>
      <c r="B17" s="4" t="s">
        <v>43</v>
      </c>
    </row>
    <row r="18" customFormat="false" ht="15" hidden="false" customHeight="false" outlineLevel="0" collapsed="false">
      <c r="A18" s="3" t="s">
        <v>43</v>
      </c>
      <c r="B18" s="4" t="s">
        <v>43</v>
      </c>
    </row>
    <row r="19" customFormat="false" ht="15" hidden="false" customHeight="false" outlineLevel="0" collapsed="false">
      <c r="A19" s="3" t="s">
        <v>35</v>
      </c>
      <c r="B19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5C4"/>
    <pageSetUpPr fitToPage="false"/>
  </sheetPr>
  <dimension ref="A1:Q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24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9"/>
    <col collapsed="false" customWidth="true" hidden="false" outlineLevel="0" max="12" min="12" style="1" width="11"/>
    <col collapsed="false" customWidth="true" hidden="false" outlineLevel="0" max="13" min="13" style="1" width="9"/>
    <col collapsed="false" customWidth="true" hidden="false" outlineLevel="0" max="14" min="14" style="1" width="11"/>
    <col collapsed="false" customWidth="true" hidden="false" outlineLevel="0" max="15" min="15" style="1" width="8"/>
    <col collapsed="false" customWidth="true" hidden="false" outlineLevel="0" max="16" min="16" style="1" width="40"/>
    <col collapsed="false" customWidth="true" hidden="false" outlineLevel="0" max="17" min="17" style="1" width="14"/>
  </cols>
  <sheetData>
    <row r="1" customFormat="false" ht="33.75" hidden="false" customHeight="true" outlineLevel="0" collapsed="false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</row>
    <row r="2" customFormat="false" ht="15" hidden="false" customHeight="false" outlineLevel="0" collapsed="false">
      <c r="A2" s="6" t="n">
        <v>5</v>
      </c>
      <c r="B2" s="6" t="s">
        <v>61</v>
      </c>
      <c r="C2" s="6" t="str">
        <f aca="false">IF(B2="","",IF(COUNTIF($B$2:$B$50,B2)&gt;1,"Duplicate SKU",""))</f>
        <v/>
      </c>
      <c r="D2" s="7" t="s">
        <v>62</v>
      </c>
      <c r="E2" s="7" t="s">
        <v>2</v>
      </c>
      <c r="F2" s="7" t="str">
        <f aca="false">IFERROR(VLOOKUP(E2,'Category Mapping'!$A$2:$B$23,2,FALSE()),"NOT MAPPED")</f>
        <v>Abaya</v>
      </c>
      <c r="G2" s="7" t="s">
        <v>63</v>
      </c>
      <c r="H2" s="7" t="str">
        <f aca="false">IF(TRIM(G2)="","",PROPER(TRIM(G2)))</f>
        <v>Navy</v>
      </c>
      <c r="I2" s="6" t="s">
        <v>26</v>
      </c>
      <c r="J2" s="6" t="str">
        <f aca="false">IFERROR(VLOOKUP(I2,'Size Mapping'!$A$2:$B$19,2,FALSE()),"NOT MAPPED")</f>
        <v>M</v>
      </c>
      <c r="K2" s="6" t="n">
        <v>38</v>
      </c>
      <c r="L2" s="6" t="str">
        <f aca="false">IF(ISBLANK(K2),"Missing",IF(NOT(ISNUMBER(K2)),"Non-numeric",IF(K2&lt;=0,"Invalid (&lt;=0)","OK")))</f>
        <v>OK</v>
      </c>
      <c r="M2" s="6" t="n">
        <v>8</v>
      </c>
      <c r="N2" s="6" t="str">
        <f aca="false">IF(ISBLANK(M2),"Missing",IF(NOT(ISNUMBER(M2)),"Non-numeric",IF(M2&lt;0,"Invalid (negative)","OK")))</f>
        <v>OK</v>
      </c>
      <c r="O2" s="6" t="n">
        <f aca="false">IF(B2="",1,0)+IF(C2="Duplicate SKU",1,0)+IF(D2="",1,0)+IF(LEFT(F2,10)="NOT MAPPED",1,0)+IF(LEFT(J2,10)="NOT MAPPED",1,0)+IF(L2="OK",0,1)+IF(N2="OK",0,1)</f>
        <v>0</v>
      </c>
      <c r="P2" s="8" t="str">
        <f aca="false">IF(RIGHT(IF(B2="","Missing SKU; ","")&amp;IF(C2="Duplicate SKU","Duplicate SKU; ","")&amp;IF(D2="","Missing Product Name; ","")&amp;IF(LEFT(F2,10)="NOT MAPPED","Invalid Category ("&amp;E2&amp;"); ","")&amp;IF(LEFT(J2,10)="NOT MAPPED","Invalid Size ("&amp;I2&amp;"); ","")&amp;IF(L2&lt;&gt;"OK","Invalid Price ("&amp;L2&amp;"); ","")&amp;IF(N2&lt;&gt;"OK","Invalid Stock ("&amp;N2&amp;"); ",""),2)="; ",LEFT(IF(B2="","Missing SKU; ","")&amp;IF(C2="Duplicate SKU","Duplicate SKU; ","")&amp;IF(D2="","Missing Product Name; ","")&amp;IF(LEFT(F2,10)="NOT MAPPED","Invalid Category ("&amp;E2&amp;"); ","")&amp;IF(LEFT(J2,10)="NOT MAPPED","Invalid Size ("&amp;I2&amp;"); ","")&amp;IF(L2&lt;&gt;"OK","Invalid Price ("&amp;L2&amp;"); ","")&amp;IF(N2&lt;&gt;"OK","Invalid Stock ("&amp;N2&amp;"); ",""),LEN(IF(B2="","Missing SKU; ","")&amp;IF(C2="Duplicate SKU","Duplicate SKU; ","")&amp;IF(D2="","Missing Product Name; ","")&amp;IF(LEFT(F2,10)="NOT MAPPED","Invalid Category ("&amp;E2&amp;"); ","")&amp;IF(LEFT(J2,10)="NOT MAPPED","Invalid Size ("&amp;I2&amp;"); ","")&amp;IF(L2&lt;&gt;"OK","Invalid Price ("&amp;L2&amp;"); ","")&amp;IF(N2&lt;&gt;"OK","Invalid Stock ("&amp;N2&amp;"); ",""))-2),IF(B2="","Missing SKU; ","")&amp;IF(C2="Duplicate SKU","Duplicate SKU; ","")&amp;IF(D2="","Missing Product Name; ","")&amp;IF(LEFT(F2,10)="NOT MAPPED","Invalid Category ("&amp;E2&amp;"); ","")&amp;IF(LEFT(J2,10)="NOT MAPPED","Invalid Size ("&amp;I2&amp;"); ","")&amp;IF(L2&lt;&gt;"OK","Invalid Price ("&amp;L2&amp;"); ","")&amp;IF(N2&lt;&gt;"OK","Invalid Stock ("&amp;N2&amp;"); ",""))</f>
        <v/>
      </c>
      <c r="Q2" s="6" t="str">
        <f aca="false">IF(O2=0,"Ready to List",IF(O2=1,"Needs Review","Incomplete"))</f>
        <v>Ready to List</v>
      </c>
    </row>
    <row r="3" customFormat="false" ht="15" hidden="false" customHeight="false" outlineLevel="0" collapsed="false">
      <c r="A3" s="6" t="n">
        <v>6</v>
      </c>
      <c r="B3" s="6" t="s">
        <v>64</v>
      </c>
      <c r="C3" s="6" t="str">
        <f aca="false">IF(B3="","",IF(COUNTIF($B$2:$B$50,B3)&gt;1,"Duplicate SKU",""))</f>
        <v/>
      </c>
      <c r="D3" s="7" t="s">
        <v>65</v>
      </c>
      <c r="E3" s="7" t="s">
        <v>4</v>
      </c>
      <c r="F3" s="7" t="str">
        <f aca="false">IFERROR(VLOOKUP(E3,'Category Mapping'!$A$2:$B$23,2,FALSE()),"NOT MAPPED")</f>
        <v>Prayer Set</v>
      </c>
      <c r="G3" s="7" t="s">
        <v>66</v>
      </c>
      <c r="H3" s="7" t="str">
        <f aca="false">IF(TRIM(G3)="","",PROPER(TRIM(G3)))</f>
        <v>Navy</v>
      </c>
      <c r="I3" s="6" t="s">
        <v>28</v>
      </c>
      <c r="J3" s="6" t="str">
        <f aca="false">IFERROR(VLOOKUP(I3,'Size Mapping'!$A$2:$B$19,2,FALSE()),"NOT MAPPED")</f>
        <v>All Size</v>
      </c>
      <c r="K3" s="6" t="n">
        <v>9</v>
      </c>
      <c r="L3" s="6" t="str">
        <f aca="false">IF(ISBLANK(K3),"Missing",IF(NOT(ISNUMBER(K3)),"Non-numeric",IF(K3&lt;=0,"Invalid (&lt;=0)","OK")))</f>
        <v>OK</v>
      </c>
      <c r="M3" s="6"/>
      <c r="N3" s="6" t="str">
        <f aca="false">IF(ISBLANK(M3),"Missing",IF(NOT(ISNUMBER(M3)),"Non-numeric",IF(M3&lt;0,"Invalid (negative)","OK")))</f>
        <v>Missing</v>
      </c>
      <c r="O3" s="6" t="n">
        <f aca="false">IF(B3="",1,0)+IF(C3="Duplicate SKU",1,0)+IF(D3="",1,0)+IF(LEFT(F3,10)="NOT MAPPED",1,0)+IF(LEFT(J3,10)="NOT MAPPED",1,0)+IF(L3="OK",0,1)+IF(N3="OK",0,1)</f>
        <v>1</v>
      </c>
      <c r="P3" s="8" t="str">
        <f aca="false">IF(RIGHT(IF(B3="","Missing SKU; ","")&amp;IF(C3="Duplicate SKU","Duplicate SKU; ","")&amp;IF(D3="","Missing Product Name; ","")&amp;IF(LEFT(F3,10)="NOT MAPPED","Invalid Category ("&amp;E3&amp;"); ","")&amp;IF(LEFT(J3,10)="NOT MAPPED","Invalid Size ("&amp;I3&amp;"); ","")&amp;IF(L3&lt;&gt;"OK","Invalid Price ("&amp;L3&amp;"); ","")&amp;IF(N3&lt;&gt;"OK","Invalid Stock ("&amp;N3&amp;"); ",""),2)="; ",LEFT(IF(B3="","Missing SKU; ","")&amp;IF(C3="Duplicate SKU","Duplicate SKU; ","")&amp;IF(D3="","Missing Product Name; ","")&amp;IF(LEFT(F3,10)="NOT MAPPED","Invalid Category ("&amp;E3&amp;"); ","")&amp;IF(LEFT(J3,10)="NOT MAPPED","Invalid Size ("&amp;I3&amp;"); ","")&amp;IF(L3&lt;&gt;"OK","Invalid Price ("&amp;L3&amp;"); ","")&amp;IF(N3&lt;&gt;"OK","Invalid Stock ("&amp;N3&amp;"); ",""),LEN(IF(B3="","Missing SKU; ","")&amp;IF(C3="Duplicate SKU","Duplicate SKU; ","")&amp;IF(D3="","Missing Product Name; ","")&amp;IF(LEFT(F3,10)="NOT MAPPED","Invalid Category ("&amp;E3&amp;"); ","")&amp;IF(LEFT(J3,10)="NOT MAPPED","Invalid Size ("&amp;I3&amp;"); ","")&amp;IF(L3&lt;&gt;"OK","Invalid Price ("&amp;L3&amp;"); ","")&amp;IF(N3&lt;&gt;"OK","Invalid Stock ("&amp;N3&amp;"); ",""))-2),IF(B3="","Missing SKU; ","")&amp;IF(C3="Duplicate SKU","Duplicate SKU; ","")&amp;IF(D3="","Missing Product Name; ","")&amp;IF(LEFT(F3,10)="NOT MAPPED","Invalid Category ("&amp;E3&amp;"); ","")&amp;IF(LEFT(J3,10)="NOT MAPPED","Invalid Size ("&amp;I3&amp;"); ","")&amp;IF(L3&lt;&gt;"OK","Invalid Price ("&amp;L3&amp;"); ","")&amp;IF(N3&lt;&gt;"OK","Invalid Stock ("&amp;N3&amp;"); ",""))</f>
        <v>Invalid Stock (Missing)</v>
      </c>
      <c r="Q3" s="6" t="str">
        <f aca="false">IF(O3=0,"Ready to List",IF(O3=1,"Needs Review","Incomplete"))</f>
        <v>Needs Review</v>
      </c>
    </row>
    <row r="4" customFormat="false" ht="15" hidden="false" customHeight="false" outlineLevel="0" collapsed="false">
      <c r="A4" s="6" t="n">
        <v>7</v>
      </c>
      <c r="B4" s="6" t="s">
        <v>67</v>
      </c>
      <c r="C4" s="6" t="str">
        <f aca="false">IF(B4="","",IF(COUNTIF($B$2:$B$50,B4)&gt;1,"Duplicate SKU",""))</f>
        <v>Duplicate SKU</v>
      </c>
      <c r="D4" s="7" t="s">
        <v>68</v>
      </c>
      <c r="E4" s="7" t="s">
        <v>6</v>
      </c>
      <c r="F4" s="7" t="str">
        <f aca="false">IFERROR(VLOOKUP(E4,'Category Mapping'!$A$2:$B$23,2,FALSE()),"NOT MAPPED")</f>
        <v>Hijab</v>
      </c>
      <c r="G4" s="7" t="s">
        <v>69</v>
      </c>
      <c r="H4" s="7" t="str">
        <f aca="false">IF(TRIM(G4)="","",PROPER(TRIM(G4)))</f>
        <v>Ivory</v>
      </c>
      <c r="I4" s="6" t="s">
        <v>29</v>
      </c>
      <c r="J4" s="6" t="str">
        <f aca="false">IFERROR(VLOOKUP(I4,'Size Mapping'!$A$2:$B$19,2,FALSE()),"NOT MAPPED")</f>
        <v>All Size</v>
      </c>
      <c r="K4" s="6" t="n">
        <v>12.5</v>
      </c>
      <c r="L4" s="6" t="str">
        <f aca="false">IF(ISBLANK(K4),"Missing",IF(NOT(ISNUMBER(K4)),"Non-numeric",IF(K4&lt;=0,"Invalid (&lt;=0)","OK")))</f>
        <v>OK</v>
      </c>
      <c r="M4" s="6" t="n">
        <v>20</v>
      </c>
      <c r="N4" s="6" t="str">
        <f aca="false">IF(ISBLANK(M4),"Missing",IF(NOT(ISNUMBER(M4)),"Non-numeric",IF(M4&lt;0,"Invalid (negative)","OK")))</f>
        <v>OK</v>
      </c>
      <c r="O4" s="6" t="n">
        <f aca="false">IF(B4="",1,0)+IF(C4="Duplicate SKU",1,0)+IF(D4="",1,0)+IF(LEFT(F4,10)="NOT MAPPED",1,0)+IF(LEFT(J4,10)="NOT MAPPED",1,0)+IF(L4="OK",0,1)+IF(N4="OK",0,1)</f>
        <v>1</v>
      </c>
      <c r="P4" s="8" t="str">
        <f aca="false">IF(RIGHT(IF(B4="","Missing SKU; ","")&amp;IF(C4="Duplicate SKU","Duplicate SKU; ","")&amp;IF(D4="","Missing Product Name; ","")&amp;IF(LEFT(F4,10)="NOT MAPPED","Invalid Category ("&amp;E4&amp;"); ","")&amp;IF(LEFT(J4,10)="NOT MAPPED","Invalid Size ("&amp;I4&amp;"); ","")&amp;IF(L4&lt;&gt;"OK","Invalid Price ("&amp;L4&amp;"); ","")&amp;IF(N4&lt;&gt;"OK","Invalid Stock ("&amp;N4&amp;"); ",""),2)="; ",LEFT(IF(B4="","Missing SKU; ","")&amp;IF(C4="Duplicate SKU","Duplicate SKU; ","")&amp;IF(D4="","Missing Product Name; ","")&amp;IF(LEFT(F4,10)="NOT MAPPED","Invalid Category ("&amp;E4&amp;"); ","")&amp;IF(LEFT(J4,10)="NOT MAPPED","Invalid Size ("&amp;I4&amp;"); ","")&amp;IF(L4&lt;&gt;"OK","Invalid Price ("&amp;L4&amp;"); ","")&amp;IF(N4&lt;&gt;"OK","Invalid Stock ("&amp;N4&amp;"); ",""),LEN(IF(B4="","Missing SKU; ","")&amp;IF(C4="Duplicate SKU","Duplicate SKU; ","")&amp;IF(D4="","Missing Product Name; ","")&amp;IF(LEFT(F4,10)="NOT MAPPED","Invalid Category ("&amp;E4&amp;"); ","")&amp;IF(LEFT(J4,10)="NOT MAPPED","Invalid Size ("&amp;I4&amp;"); ","")&amp;IF(L4&lt;&gt;"OK","Invalid Price ("&amp;L4&amp;"); ","")&amp;IF(N4&lt;&gt;"OK","Invalid Stock ("&amp;N4&amp;"); ",""))-2),IF(B4="","Missing SKU; ","")&amp;IF(C4="Duplicate SKU","Duplicate SKU; ","")&amp;IF(D4="","Missing Product Name; ","")&amp;IF(LEFT(F4,10)="NOT MAPPED","Invalid Category ("&amp;E4&amp;"); ","")&amp;IF(LEFT(J4,10)="NOT MAPPED","Invalid Size ("&amp;I4&amp;"); ","")&amp;IF(L4&lt;&gt;"OK","Invalid Price ("&amp;L4&amp;"); ","")&amp;IF(N4&lt;&gt;"OK","Invalid Stock ("&amp;N4&amp;"); ",""))</f>
        <v>Duplicate SKU</v>
      </c>
      <c r="Q4" s="6" t="str">
        <f aca="false">IF(O4=0,"Ready to List",IF(O4=1,"Needs Review","Incomplete"))</f>
        <v>Needs Review</v>
      </c>
    </row>
    <row r="5" customFormat="false" ht="15" hidden="false" customHeight="false" outlineLevel="0" collapsed="false">
      <c r="A5" s="6" t="n">
        <v>8</v>
      </c>
      <c r="B5" s="6" t="s">
        <v>70</v>
      </c>
      <c r="C5" s="6" t="str">
        <f aca="false">IF(B5="","",IF(COUNTIF($B$2:$B$50,B5)&gt;1,"Duplicate SKU",""))</f>
        <v/>
      </c>
      <c r="D5" s="7" t="s">
        <v>71</v>
      </c>
      <c r="E5" s="7" t="s">
        <v>8</v>
      </c>
      <c r="F5" s="7" t="str">
        <f aca="false">IFERROR(VLOOKUP(E5,'Category Mapping'!$A$2:$B$23,2,FALSE()),"NOT MAPPED")</f>
        <v>Accessories</v>
      </c>
      <c r="G5" s="7" t="s">
        <v>72</v>
      </c>
      <c r="H5" s="7" t="str">
        <f aca="false">IF(TRIM(G5)="","",PROPER(TRIM(G5)))</f>
        <v>Black</v>
      </c>
      <c r="I5" s="6" t="s">
        <v>30</v>
      </c>
      <c r="J5" s="6" t="str">
        <f aca="false">IFERROR(VLOOKUP(I5,'Size Mapping'!$A$2:$B$19,2,FALSE()),"NOT MAPPED")</f>
        <v>All Size</v>
      </c>
      <c r="K5" s="6" t="n">
        <v>5</v>
      </c>
      <c r="L5" s="6" t="str">
        <f aca="false">IF(ISBLANK(K5),"Missing",IF(NOT(ISNUMBER(K5)),"Non-numeric",IF(K5&lt;=0,"Invalid (&lt;=0)","OK")))</f>
        <v>OK</v>
      </c>
      <c r="M5" s="6" t="n">
        <v>31</v>
      </c>
      <c r="N5" s="6" t="str">
        <f aca="false">IF(ISBLANK(M5),"Missing",IF(NOT(ISNUMBER(M5)),"Non-numeric",IF(M5&lt;0,"Invalid (negative)","OK")))</f>
        <v>OK</v>
      </c>
      <c r="O5" s="6" t="n">
        <f aca="false">IF(B5="",1,0)+IF(C5="Duplicate SKU",1,0)+IF(D5="",1,0)+IF(LEFT(F5,10)="NOT MAPPED",1,0)+IF(LEFT(J5,10)="NOT MAPPED",1,0)+IF(L5="OK",0,1)+IF(N5="OK",0,1)</f>
        <v>0</v>
      </c>
      <c r="P5" s="8" t="str">
        <f aca="false">IF(RIGHT(IF(B5="","Missing SKU; ","")&amp;IF(C5="Duplicate SKU","Duplicate SKU; ","")&amp;IF(D5="","Missing Product Name; ","")&amp;IF(LEFT(F5,10)="NOT MAPPED","Invalid Category ("&amp;E5&amp;"); ","")&amp;IF(LEFT(J5,10)="NOT MAPPED","Invalid Size ("&amp;I5&amp;"); ","")&amp;IF(L5&lt;&gt;"OK","Invalid Price ("&amp;L5&amp;"); ","")&amp;IF(N5&lt;&gt;"OK","Invalid Stock ("&amp;N5&amp;"); ",""),2)="; ",LEFT(IF(B5="","Missing SKU; ","")&amp;IF(C5="Duplicate SKU","Duplicate SKU; ","")&amp;IF(D5="","Missing Product Name; ","")&amp;IF(LEFT(F5,10)="NOT MAPPED","Invalid Category ("&amp;E5&amp;"); ","")&amp;IF(LEFT(J5,10)="NOT MAPPED","Invalid Size ("&amp;I5&amp;"); ","")&amp;IF(L5&lt;&gt;"OK","Invalid Price ("&amp;L5&amp;"); ","")&amp;IF(N5&lt;&gt;"OK","Invalid Stock ("&amp;N5&amp;"); ",""),LEN(IF(B5="","Missing SKU; ","")&amp;IF(C5="Duplicate SKU","Duplicate SKU; ","")&amp;IF(D5="","Missing Product Name; ","")&amp;IF(LEFT(F5,10)="NOT MAPPED","Invalid Category ("&amp;E5&amp;"); ","")&amp;IF(LEFT(J5,10)="NOT MAPPED","Invalid Size ("&amp;I5&amp;"); ","")&amp;IF(L5&lt;&gt;"OK","Invalid Price ("&amp;L5&amp;"); ","")&amp;IF(N5&lt;&gt;"OK","Invalid Stock ("&amp;N5&amp;"); ",""))-2),IF(B5="","Missing SKU; ","")&amp;IF(C5="Duplicate SKU","Duplicate SKU; ","")&amp;IF(D5="","Missing Product Name; ","")&amp;IF(LEFT(F5,10)="NOT MAPPED","Invalid Category ("&amp;E5&amp;"); ","")&amp;IF(LEFT(J5,10)="NOT MAPPED","Invalid Size ("&amp;I5&amp;"); ","")&amp;IF(L5&lt;&gt;"OK","Invalid Price ("&amp;L5&amp;"); ","")&amp;IF(N5&lt;&gt;"OK","Invalid Stock ("&amp;N5&amp;"); ",""))</f>
        <v/>
      </c>
      <c r="Q5" s="6" t="str">
        <f aca="false">IF(O5=0,"Ready to List",IF(O5=1,"Needs Review","Incomplete"))</f>
        <v>Ready to List</v>
      </c>
    </row>
    <row r="6" customFormat="false" ht="15" hidden="false" customHeight="false" outlineLevel="0" collapsed="false">
      <c r="A6" s="6" t="n">
        <v>9</v>
      </c>
      <c r="B6" s="6" t="s">
        <v>73</v>
      </c>
      <c r="C6" s="6" t="str">
        <f aca="false">IF(B6="","",IF(COUNTIF($B$2:$B$50,B6)&gt;1,"Duplicate SKU",""))</f>
        <v/>
      </c>
      <c r="D6" s="7" t="s">
        <v>68</v>
      </c>
      <c r="E6" s="7" t="s">
        <v>6</v>
      </c>
      <c r="F6" s="7" t="str">
        <f aca="false">IFERROR(VLOOKUP(E6,'Category Mapping'!$A$2:$B$23,2,FALSE()),"NOT MAPPED")</f>
        <v>Hijab</v>
      </c>
      <c r="G6" s="7" t="s">
        <v>74</v>
      </c>
      <c r="H6" s="7" t="str">
        <f aca="false">IF(TRIM(G6)="","",PROPER(TRIM(G6)))</f>
        <v>Sage Green</v>
      </c>
      <c r="I6" s="6" t="s">
        <v>29</v>
      </c>
      <c r="J6" s="6" t="str">
        <f aca="false">IFERROR(VLOOKUP(I6,'Size Mapping'!$A$2:$B$19,2,FALSE()),"NOT MAPPED")</f>
        <v>All Size</v>
      </c>
      <c r="K6" s="6" t="n">
        <v>12.5</v>
      </c>
      <c r="L6" s="6" t="str">
        <f aca="false">IF(ISBLANK(K6),"Missing",IF(NOT(ISNUMBER(K6)),"Non-numeric",IF(K6&lt;=0,"Invalid (&lt;=0)","OK")))</f>
        <v>OK</v>
      </c>
      <c r="M6" s="6" t="n">
        <v>24</v>
      </c>
      <c r="N6" s="6" t="str">
        <f aca="false">IF(ISBLANK(M6),"Missing",IF(NOT(ISNUMBER(M6)),"Non-numeric",IF(M6&lt;0,"Invalid (negative)","OK")))</f>
        <v>OK</v>
      </c>
      <c r="O6" s="6" t="n">
        <f aca="false">IF(B6="",1,0)+IF(C6="Duplicate SKU",1,0)+IF(D6="",1,0)+IF(LEFT(F6,10)="NOT MAPPED",1,0)+IF(LEFT(J6,10)="NOT MAPPED",1,0)+IF(L6="OK",0,1)+IF(N6="OK",0,1)</f>
        <v>0</v>
      </c>
      <c r="P6" s="8" t="str">
        <f aca="false">IF(RIGHT(IF(B6="","Missing SKU; ","")&amp;IF(C6="Duplicate SKU","Duplicate SKU; ","")&amp;IF(D6="","Missing Product Name; ","")&amp;IF(LEFT(F6,10)="NOT MAPPED","Invalid Category ("&amp;E6&amp;"); ","")&amp;IF(LEFT(J6,10)="NOT MAPPED","Invalid Size ("&amp;I6&amp;"); ","")&amp;IF(L6&lt;&gt;"OK","Invalid Price ("&amp;L6&amp;"); ","")&amp;IF(N6&lt;&gt;"OK","Invalid Stock ("&amp;N6&amp;"); ",""),2)="; ",LEFT(IF(B6="","Missing SKU; ","")&amp;IF(C6="Duplicate SKU","Duplicate SKU; ","")&amp;IF(D6="","Missing Product Name; ","")&amp;IF(LEFT(F6,10)="NOT MAPPED","Invalid Category ("&amp;E6&amp;"); ","")&amp;IF(LEFT(J6,10)="NOT MAPPED","Invalid Size ("&amp;I6&amp;"); ","")&amp;IF(L6&lt;&gt;"OK","Invalid Price ("&amp;L6&amp;"); ","")&amp;IF(N6&lt;&gt;"OK","Invalid Stock ("&amp;N6&amp;"); ",""),LEN(IF(B6="","Missing SKU; ","")&amp;IF(C6="Duplicate SKU","Duplicate SKU; ","")&amp;IF(D6="","Missing Product Name; ","")&amp;IF(LEFT(F6,10)="NOT MAPPED","Invalid Category ("&amp;E6&amp;"); ","")&amp;IF(LEFT(J6,10)="NOT MAPPED","Invalid Size ("&amp;I6&amp;"); ","")&amp;IF(L6&lt;&gt;"OK","Invalid Price ("&amp;L6&amp;"); ","")&amp;IF(N6&lt;&gt;"OK","Invalid Stock ("&amp;N6&amp;"); ",""))-2),IF(B6="","Missing SKU; ","")&amp;IF(C6="Duplicate SKU","Duplicate SKU; ","")&amp;IF(D6="","Missing Product Name; ","")&amp;IF(LEFT(F6,10)="NOT MAPPED","Invalid Category ("&amp;E6&amp;"); ","")&amp;IF(LEFT(J6,10)="NOT MAPPED","Invalid Size ("&amp;I6&amp;"); ","")&amp;IF(L6&lt;&gt;"OK","Invalid Price ("&amp;L6&amp;"); ","")&amp;IF(N6&lt;&gt;"OK","Invalid Stock ("&amp;N6&amp;"); ",""))</f>
        <v/>
      </c>
      <c r="Q6" s="6" t="str">
        <f aca="false">IF(O6=0,"Ready to List",IF(O6=1,"Needs Review","Incomplete"))</f>
        <v>Ready to List</v>
      </c>
    </row>
    <row r="7" customFormat="false" ht="15" hidden="false" customHeight="false" outlineLevel="0" collapsed="false">
      <c r="A7" s="6" t="n">
        <v>10</v>
      </c>
      <c r="B7" s="6" t="s">
        <v>75</v>
      </c>
      <c r="C7" s="6" t="str">
        <f aca="false">IF(B7="","",IF(COUNTIF($B$2:$B$50,B7)&gt;1,"Duplicate SKU",""))</f>
        <v/>
      </c>
      <c r="D7" s="7" t="s">
        <v>76</v>
      </c>
      <c r="E7" s="7" t="s">
        <v>9</v>
      </c>
      <c r="F7" s="7" t="str">
        <f aca="false">IFERROR(VLOOKUP(E7,'Category Mapping'!$A$2:$B$23,2,FALSE()),"NOT MAPPED")</f>
        <v>Abaya</v>
      </c>
      <c r="G7" s="7" t="s">
        <v>77</v>
      </c>
      <c r="H7" s="7" t="str">
        <f aca="false">IF(TRIM(G7)="","",PROPER(TRIM(G7)))</f>
        <v>Black</v>
      </c>
      <c r="I7" s="6" t="s">
        <v>27</v>
      </c>
      <c r="J7" s="6" t="str">
        <f aca="false">IFERROR(VLOOKUP(I7,'Size Mapping'!$A$2:$B$19,2,FALSE()),"NOT MAPPED")</f>
        <v>M</v>
      </c>
      <c r="K7" s="6" t="n">
        <v>24</v>
      </c>
      <c r="L7" s="6" t="str">
        <f aca="false">IF(ISBLANK(K7),"Missing",IF(NOT(ISNUMBER(K7)),"Non-numeric",IF(K7&lt;=0,"Invalid (&lt;=0)","OK")))</f>
        <v>OK</v>
      </c>
      <c r="M7" s="6" t="n">
        <v>12</v>
      </c>
      <c r="N7" s="6" t="str">
        <f aca="false">IF(ISBLANK(M7),"Missing",IF(NOT(ISNUMBER(M7)),"Non-numeric",IF(M7&lt;0,"Invalid (negative)","OK")))</f>
        <v>OK</v>
      </c>
      <c r="O7" s="6" t="n">
        <f aca="false">IF(B7="",1,0)+IF(C7="Duplicate SKU",1,0)+IF(D7="",1,0)+IF(LEFT(F7,10)="NOT MAPPED",1,0)+IF(LEFT(J7,10)="NOT MAPPED",1,0)+IF(L7="OK",0,1)+IF(N7="OK",0,1)</f>
        <v>0</v>
      </c>
      <c r="P7" s="8" t="str">
        <f aca="false">IF(RIGHT(IF(B7="","Missing SKU; ","")&amp;IF(C7="Duplicate SKU","Duplicate SKU; ","")&amp;IF(D7="","Missing Product Name; ","")&amp;IF(LEFT(F7,10)="NOT MAPPED","Invalid Category ("&amp;E7&amp;"); ","")&amp;IF(LEFT(J7,10)="NOT MAPPED","Invalid Size ("&amp;I7&amp;"); ","")&amp;IF(L7&lt;&gt;"OK","Invalid Price ("&amp;L7&amp;"); ","")&amp;IF(N7&lt;&gt;"OK","Invalid Stock ("&amp;N7&amp;"); ",""),2)="; ",LEFT(IF(B7="","Missing SKU; ","")&amp;IF(C7="Duplicate SKU","Duplicate SKU; ","")&amp;IF(D7="","Missing Product Name; ","")&amp;IF(LEFT(F7,10)="NOT MAPPED","Invalid Category ("&amp;E7&amp;"); ","")&amp;IF(LEFT(J7,10)="NOT MAPPED","Invalid Size ("&amp;I7&amp;"); ","")&amp;IF(L7&lt;&gt;"OK","Invalid Price ("&amp;L7&amp;"); ","")&amp;IF(N7&lt;&gt;"OK","Invalid Stock ("&amp;N7&amp;"); ",""),LEN(IF(B7="","Missing SKU; ","")&amp;IF(C7="Duplicate SKU","Duplicate SKU; ","")&amp;IF(D7="","Missing Product Name; ","")&amp;IF(LEFT(F7,10)="NOT MAPPED","Invalid Category ("&amp;E7&amp;"); ","")&amp;IF(LEFT(J7,10)="NOT MAPPED","Invalid Size ("&amp;I7&amp;"); ","")&amp;IF(L7&lt;&gt;"OK","Invalid Price ("&amp;L7&amp;"); ","")&amp;IF(N7&lt;&gt;"OK","Invalid Stock ("&amp;N7&amp;"); ",""))-2),IF(B7="","Missing SKU; ","")&amp;IF(C7="Duplicate SKU","Duplicate SKU; ","")&amp;IF(D7="","Missing Product Name; ","")&amp;IF(LEFT(F7,10)="NOT MAPPED","Invalid Category ("&amp;E7&amp;"); ","")&amp;IF(LEFT(J7,10)="NOT MAPPED","Invalid Size ("&amp;I7&amp;"); ","")&amp;IF(L7&lt;&gt;"OK","Invalid Price ("&amp;L7&amp;"); ","")&amp;IF(N7&lt;&gt;"OK","Invalid Stock ("&amp;N7&amp;"); ",""))</f>
        <v/>
      </c>
      <c r="Q7" s="6" t="str">
        <f aca="false">IF(O7=0,"Ready to List",IF(O7=1,"Needs Review","Incomplete"))</f>
        <v>Ready to List</v>
      </c>
    </row>
    <row r="8" customFormat="false" ht="15" hidden="false" customHeight="false" outlineLevel="0" collapsed="false">
      <c r="A8" s="6" t="n">
        <v>11</v>
      </c>
      <c r="B8" s="6" t="s">
        <v>78</v>
      </c>
      <c r="C8" s="6" t="str">
        <f aca="false">IF(B8="","",IF(COUNTIF($B$2:$B$50,B8)&gt;1,"Duplicate SKU",""))</f>
        <v/>
      </c>
      <c r="D8" s="7" t="s">
        <v>79</v>
      </c>
      <c r="E8" s="7" t="s">
        <v>10</v>
      </c>
      <c r="F8" s="7" t="str">
        <f aca="false">IFERROR(VLOOKUP(E8,'Category Mapping'!$A$2:$B$23,2,FALSE()),"NOT MAPPED")</f>
        <v>Hijab</v>
      </c>
      <c r="G8" s="7" t="s">
        <v>80</v>
      </c>
      <c r="H8" s="7" t="str">
        <f aca="false">IF(TRIM(G8)="","",PROPER(TRIM(G8)))</f>
        <v>Navy Blue</v>
      </c>
      <c r="I8" s="6" t="s">
        <v>30</v>
      </c>
      <c r="J8" s="6" t="str">
        <f aca="false">IFERROR(VLOOKUP(I8,'Size Mapping'!$A$2:$B$19,2,FALSE()),"NOT MAPPED")</f>
        <v>All Size</v>
      </c>
      <c r="K8" s="6"/>
      <c r="L8" s="6" t="str">
        <f aca="false">IF(ISBLANK(K8),"Missing",IF(NOT(ISNUMBER(K8)),"Non-numeric",IF(K8&lt;=0,"Invalid (&lt;=0)","OK")))</f>
        <v>Missing</v>
      </c>
      <c r="M8" s="6" t="n">
        <v>22</v>
      </c>
      <c r="N8" s="6" t="str">
        <f aca="false">IF(ISBLANK(M8),"Missing",IF(NOT(ISNUMBER(M8)),"Non-numeric",IF(M8&lt;0,"Invalid (negative)","OK")))</f>
        <v>OK</v>
      </c>
      <c r="O8" s="6" t="n">
        <f aca="false">IF(B8="",1,0)+IF(C8="Duplicate SKU",1,0)+IF(D8="",1,0)+IF(LEFT(F8,10)="NOT MAPPED",1,0)+IF(LEFT(J8,10)="NOT MAPPED",1,0)+IF(L8="OK",0,1)+IF(N8="OK",0,1)</f>
        <v>1</v>
      </c>
      <c r="P8" s="8" t="str">
        <f aca="false">IF(RIGHT(IF(B8="","Missing SKU; ","")&amp;IF(C8="Duplicate SKU","Duplicate SKU; ","")&amp;IF(D8="","Missing Product Name; ","")&amp;IF(LEFT(F8,10)="NOT MAPPED","Invalid Category ("&amp;E8&amp;"); ","")&amp;IF(LEFT(J8,10)="NOT MAPPED","Invalid Size ("&amp;I8&amp;"); ","")&amp;IF(L8&lt;&gt;"OK","Invalid Price ("&amp;L8&amp;"); ","")&amp;IF(N8&lt;&gt;"OK","Invalid Stock ("&amp;N8&amp;"); ",""),2)="; ",LEFT(IF(B8="","Missing SKU; ","")&amp;IF(C8="Duplicate SKU","Duplicate SKU; ","")&amp;IF(D8="","Missing Product Name; ","")&amp;IF(LEFT(F8,10)="NOT MAPPED","Invalid Category ("&amp;E8&amp;"); ","")&amp;IF(LEFT(J8,10)="NOT MAPPED","Invalid Size ("&amp;I8&amp;"); ","")&amp;IF(L8&lt;&gt;"OK","Invalid Price ("&amp;L8&amp;"); ","")&amp;IF(N8&lt;&gt;"OK","Invalid Stock ("&amp;N8&amp;"); ",""),LEN(IF(B8="","Missing SKU; ","")&amp;IF(C8="Duplicate SKU","Duplicate SKU; ","")&amp;IF(D8="","Missing Product Name; ","")&amp;IF(LEFT(F8,10)="NOT MAPPED","Invalid Category ("&amp;E8&amp;"); ","")&amp;IF(LEFT(J8,10)="NOT MAPPED","Invalid Size ("&amp;I8&amp;"); ","")&amp;IF(L8&lt;&gt;"OK","Invalid Price ("&amp;L8&amp;"); ","")&amp;IF(N8&lt;&gt;"OK","Invalid Stock ("&amp;N8&amp;"); ",""))-2),IF(B8="","Missing SKU; ","")&amp;IF(C8="Duplicate SKU","Duplicate SKU; ","")&amp;IF(D8="","Missing Product Name; ","")&amp;IF(LEFT(F8,10)="NOT MAPPED","Invalid Category ("&amp;E8&amp;"); ","")&amp;IF(LEFT(J8,10)="NOT MAPPED","Invalid Size ("&amp;I8&amp;"); ","")&amp;IF(L8&lt;&gt;"OK","Invalid Price ("&amp;L8&amp;"); ","")&amp;IF(N8&lt;&gt;"OK","Invalid Stock ("&amp;N8&amp;"); ",""))</f>
        <v>Invalid Price (Missing)</v>
      </c>
      <c r="Q8" s="6" t="str">
        <f aca="false">IF(O8=0,"Ready to List",IF(O8=1,"Needs Review","Incomplete"))</f>
        <v>Needs Review</v>
      </c>
    </row>
    <row r="9" customFormat="false" ht="15" hidden="false" customHeight="false" outlineLevel="0" collapsed="false">
      <c r="A9" s="6" t="n">
        <v>12</v>
      </c>
      <c r="B9" s="6" t="s">
        <v>81</v>
      </c>
      <c r="C9" s="6" t="str">
        <f aca="false">IF(B9="","",IF(COUNTIF($B$2:$B$50,B9)&gt;1,"Duplicate SKU",""))</f>
        <v/>
      </c>
      <c r="D9" s="7" t="s">
        <v>82</v>
      </c>
      <c r="E9" s="7" t="s">
        <v>9</v>
      </c>
      <c r="F9" s="7" t="str">
        <f aca="false">IFERROR(VLOOKUP(E9,'Category Mapping'!$A$2:$B$23,2,FALSE()),"NOT MAPPED")</f>
        <v>Abaya</v>
      </c>
      <c r="G9" s="7" t="s">
        <v>83</v>
      </c>
      <c r="H9" s="7" t="str">
        <f aca="false">IF(TRIM(G9)="","",PROPER(TRIM(G9)))</f>
        <v>Dusty Blue</v>
      </c>
      <c r="I9" s="6" t="s">
        <v>31</v>
      </c>
      <c r="J9" s="6" t="str">
        <f aca="false">IFERROR(VLOOKUP(I9,'Size Mapping'!$A$2:$B$19,2,FALSE()),"NOT MAPPED")</f>
        <v>M</v>
      </c>
      <c r="K9" s="6" t="n">
        <v>45</v>
      </c>
      <c r="L9" s="6" t="str">
        <f aca="false">IF(ISBLANK(K9),"Missing",IF(NOT(ISNUMBER(K9)),"Non-numeric",IF(K9&lt;=0,"Invalid (&lt;=0)","OK")))</f>
        <v>OK</v>
      </c>
      <c r="M9" s="6" t="n">
        <v>6</v>
      </c>
      <c r="N9" s="6" t="str">
        <f aca="false">IF(ISBLANK(M9),"Missing",IF(NOT(ISNUMBER(M9)),"Non-numeric",IF(M9&lt;0,"Invalid (negative)","OK")))</f>
        <v>OK</v>
      </c>
      <c r="O9" s="6" t="n">
        <f aca="false">IF(B9="",1,0)+IF(C9="Duplicate SKU",1,0)+IF(D9="",1,0)+IF(LEFT(F9,10)="NOT MAPPED",1,0)+IF(LEFT(J9,10)="NOT MAPPED",1,0)+IF(L9="OK",0,1)+IF(N9="OK",0,1)</f>
        <v>0</v>
      </c>
      <c r="P9" s="8" t="str">
        <f aca="false">IF(RIGHT(IF(B9="","Missing SKU; ","")&amp;IF(C9="Duplicate SKU","Duplicate SKU; ","")&amp;IF(D9="","Missing Product Name; ","")&amp;IF(LEFT(F9,10)="NOT MAPPED","Invalid Category ("&amp;E9&amp;"); ","")&amp;IF(LEFT(J9,10)="NOT MAPPED","Invalid Size ("&amp;I9&amp;"); ","")&amp;IF(L9&lt;&gt;"OK","Invalid Price ("&amp;L9&amp;"); ","")&amp;IF(N9&lt;&gt;"OK","Invalid Stock ("&amp;N9&amp;"); ",""),2)="; ",LEFT(IF(B9="","Missing SKU; ","")&amp;IF(C9="Duplicate SKU","Duplicate SKU; ","")&amp;IF(D9="","Missing Product Name; ","")&amp;IF(LEFT(F9,10)="NOT MAPPED","Invalid Category ("&amp;E9&amp;"); ","")&amp;IF(LEFT(J9,10)="NOT MAPPED","Invalid Size ("&amp;I9&amp;"); ","")&amp;IF(L9&lt;&gt;"OK","Invalid Price ("&amp;L9&amp;"); ","")&amp;IF(N9&lt;&gt;"OK","Invalid Stock ("&amp;N9&amp;"); ",""),LEN(IF(B9="","Missing SKU; ","")&amp;IF(C9="Duplicate SKU","Duplicate SKU; ","")&amp;IF(D9="","Missing Product Name; ","")&amp;IF(LEFT(F9,10)="NOT MAPPED","Invalid Category ("&amp;E9&amp;"); ","")&amp;IF(LEFT(J9,10)="NOT MAPPED","Invalid Size ("&amp;I9&amp;"); ","")&amp;IF(L9&lt;&gt;"OK","Invalid Price ("&amp;L9&amp;"); ","")&amp;IF(N9&lt;&gt;"OK","Invalid Stock ("&amp;N9&amp;"); ",""))-2),IF(B9="","Missing SKU; ","")&amp;IF(C9="Duplicate SKU","Duplicate SKU; ","")&amp;IF(D9="","Missing Product Name; ","")&amp;IF(LEFT(F9,10)="NOT MAPPED","Invalid Category ("&amp;E9&amp;"); ","")&amp;IF(LEFT(J9,10)="NOT MAPPED","Invalid Size ("&amp;I9&amp;"); ","")&amp;IF(L9&lt;&gt;"OK","Invalid Price ("&amp;L9&amp;"); ","")&amp;IF(N9&lt;&gt;"OK","Invalid Stock ("&amp;N9&amp;"); ",""))</f>
        <v/>
      </c>
      <c r="Q9" s="6" t="str">
        <f aca="false">IF(O9=0,"Ready to List",IF(O9=1,"Needs Review","Incomplete"))</f>
        <v>Ready to List</v>
      </c>
    </row>
    <row r="10" customFormat="false" ht="15" hidden="false" customHeight="false" outlineLevel="0" collapsed="false">
      <c r="A10" s="6" t="n">
        <v>13</v>
      </c>
      <c r="B10" s="6" t="s">
        <v>84</v>
      </c>
      <c r="C10" s="6" t="str">
        <f aca="false">IF(B10="","",IF(COUNTIF($B$2:$B$50,B10)&gt;1,"Duplicate SKU",""))</f>
        <v>Duplicate SKU</v>
      </c>
      <c r="D10" s="7" t="s">
        <v>85</v>
      </c>
      <c r="E10" s="7" t="s">
        <v>5</v>
      </c>
      <c r="F10" s="7" t="str">
        <f aca="false">IFERROR(VLOOKUP(E10,'Category Mapping'!$A$2:$B$23,2,FALSE()),"NOT MAPPED")</f>
        <v>Prayer Set</v>
      </c>
      <c r="G10" s="7" t="s">
        <v>86</v>
      </c>
      <c r="H10" s="7" t="str">
        <f aca="false">IF(TRIM(G10)="","",PROPER(TRIM(G10)))</f>
        <v>Dusty Pink</v>
      </c>
      <c r="I10" s="6" t="s">
        <v>32</v>
      </c>
      <c r="J10" s="6" t="str">
        <f aca="false">IFERROR(VLOOKUP(I10,'Size Mapping'!$A$2:$B$19,2,FALSE()),"NOT MAPPED")</f>
        <v>All Size</v>
      </c>
      <c r="K10" s="6" t="n">
        <v>28</v>
      </c>
      <c r="L10" s="6" t="str">
        <f aca="false">IF(ISBLANK(K10),"Missing",IF(NOT(ISNUMBER(K10)),"Non-numeric",IF(K10&lt;=0,"Invalid (&lt;=0)","OK")))</f>
        <v>OK</v>
      </c>
      <c r="M10" s="6" t="n">
        <v>12</v>
      </c>
      <c r="N10" s="6" t="str">
        <f aca="false">IF(ISBLANK(M10),"Missing",IF(NOT(ISNUMBER(M10)),"Non-numeric",IF(M10&lt;0,"Invalid (negative)","OK")))</f>
        <v>OK</v>
      </c>
      <c r="O10" s="6" t="n">
        <f aca="false">IF(B10="",1,0)+IF(C10="Duplicate SKU",1,0)+IF(D10="",1,0)+IF(LEFT(F10,10)="NOT MAPPED",1,0)+IF(LEFT(J10,10)="NOT MAPPED",1,0)+IF(L10="OK",0,1)+IF(N10="OK",0,1)</f>
        <v>1</v>
      </c>
      <c r="P10" s="8" t="str">
        <f aca="false">IF(RIGHT(IF(B10="","Missing SKU; ","")&amp;IF(C10="Duplicate SKU","Duplicate SKU; ","")&amp;IF(D10="","Missing Product Name; ","")&amp;IF(LEFT(F10,10)="NOT MAPPED","Invalid Category ("&amp;E10&amp;"); ","")&amp;IF(LEFT(J10,10)="NOT MAPPED","Invalid Size ("&amp;I10&amp;"); ","")&amp;IF(L10&lt;&gt;"OK","Invalid Price ("&amp;L10&amp;"); ","")&amp;IF(N10&lt;&gt;"OK","Invalid Stock ("&amp;N10&amp;"); ",""),2)="; ",LEFT(IF(B10="","Missing SKU; ","")&amp;IF(C10="Duplicate SKU","Duplicate SKU; ","")&amp;IF(D10="","Missing Product Name; ","")&amp;IF(LEFT(F10,10)="NOT MAPPED","Invalid Category ("&amp;E10&amp;"); ","")&amp;IF(LEFT(J10,10)="NOT MAPPED","Invalid Size ("&amp;I10&amp;"); ","")&amp;IF(L10&lt;&gt;"OK","Invalid Price ("&amp;L10&amp;"); ","")&amp;IF(N10&lt;&gt;"OK","Invalid Stock ("&amp;N10&amp;"); ",""),LEN(IF(B10="","Missing SKU; ","")&amp;IF(C10="Duplicate SKU","Duplicate SKU; ","")&amp;IF(D10="","Missing Product Name; ","")&amp;IF(LEFT(F10,10)="NOT MAPPED","Invalid Category ("&amp;E10&amp;"); ","")&amp;IF(LEFT(J10,10)="NOT MAPPED","Invalid Size ("&amp;I10&amp;"); ","")&amp;IF(L10&lt;&gt;"OK","Invalid Price ("&amp;L10&amp;"); ","")&amp;IF(N10&lt;&gt;"OK","Invalid Stock ("&amp;N10&amp;"); ",""))-2),IF(B10="","Missing SKU; ","")&amp;IF(C10="Duplicate SKU","Duplicate SKU; ","")&amp;IF(D10="","Missing Product Name; ","")&amp;IF(LEFT(F10,10)="NOT MAPPED","Invalid Category ("&amp;E10&amp;"); ","")&amp;IF(LEFT(J10,10)="NOT MAPPED","Invalid Size ("&amp;I10&amp;"); ","")&amp;IF(L10&lt;&gt;"OK","Invalid Price ("&amp;L10&amp;"); ","")&amp;IF(N10&lt;&gt;"OK","Invalid Stock ("&amp;N10&amp;"); ",""))</f>
        <v>Duplicate SKU</v>
      </c>
      <c r="Q10" s="6" t="str">
        <f aca="false">IF(O10=0,"Ready to List",IF(O10=1,"Needs Review","Incomplete"))</f>
        <v>Needs Review</v>
      </c>
    </row>
    <row r="11" customFormat="false" ht="15" hidden="false" customHeight="false" outlineLevel="0" collapsed="false">
      <c r="A11" s="6" t="n">
        <v>14</v>
      </c>
      <c r="B11" s="6" t="s">
        <v>87</v>
      </c>
      <c r="C11" s="6" t="str">
        <f aca="false">IF(B11="","",IF(COUNTIF($B$2:$B$50,B11)&gt;1,"Duplicate SKU",""))</f>
        <v/>
      </c>
      <c r="D11" s="7"/>
      <c r="E11" s="7" t="s">
        <v>11</v>
      </c>
      <c r="F11" s="7" t="str">
        <f aca="false">IFERROR(VLOOKUP(E11,'Category Mapping'!$A$2:$B$23,2,FALSE()),"NOT MAPPED")</f>
        <v>Accessories</v>
      </c>
      <c r="G11" s="7" t="s">
        <v>88</v>
      </c>
      <c r="H11" s="7" t="str">
        <f aca="false">IF(TRIM(G11)="","",PROPER(TRIM(G11)))</f>
        <v>Gold</v>
      </c>
      <c r="I11" s="6" t="s">
        <v>28</v>
      </c>
      <c r="J11" s="6" t="str">
        <f aca="false">IFERROR(VLOOKUP(I11,'Size Mapping'!$A$2:$B$19,2,FALSE()),"NOT MAPPED")</f>
        <v>All Size</v>
      </c>
      <c r="K11" s="6" t="n">
        <v>3.5</v>
      </c>
      <c r="L11" s="6" t="str">
        <f aca="false">IF(ISBLANK(K11),"Missing",IF(NOT(ISNUMBER(K11)),"Non-numeric",IF(K11&lt;=0,"Invalid (&lt;=0)","OK")))</f>
        <v>OK</v>
      </c>
      <c r="M11" s="6" t="n">
        <v>50</v>
      </c>
      <c r="N11" s="6" t="str">
        <f aca="false">IF(ISBLANK(M11),"Missing",IF(NOT(ISNUMBER(M11)),"Non-numeric",IF(M11&lt;0,"Invalid (negative)","OK")))</f>
        <v>OK</v>
      </c>
      <c r="O11" s="6" t="n">
        <f aca="false">IF(B11="",1,0)+IF(C11="Duplicate SKU",1,0)+IF(D11="",1,0)+IF(LEFT(F11,10)="NOT MAPPED",1,0)+IF(LEFT(J11,10)="NOT MAPPED",1,0)+IF(L11="OK",0,1)+IF(N11="OK",0,1)</f>
        <v>1</v>
      </c>
      <c r="P11" s="8" t="str">
        <f aca="false">IF(RIGHT(IF(B11="","Missing SKU; ","")&amp;IF(C11="Duplicate SKU","Duplicate SKU; ","")&amp;IF(D11="","Missing Product Name; ","")&amp;IF(LEFT(F11,10)="NOT MAPPED","Invalid Category ("&amp;E11&amp;"); ","")&amp;IF(LEFT(J11,10)="NOT MAPPED","Invalid Size ("&amp;I11&amp;"); ","")&amp;IF(L11&lt;&gt;"OK","Invalid Price ("&amp;L11&amp;"); ","")&amp;IF(N11&lt;&gt;"OK","Invalid Stock ("&amp;N11&amp;"); ",""),2)="; ",LEFT(IF(B11="","Missing SKU; ","")&amp;IF(C11="Duplicate SKU","Duplicate SKU; ","")&amp;IF(D11="","Missing Product Name; ","")&amp;IF(LEFT(F11,10)="NOT MAPPED","Invalid Category ("&amp;E11&amp;"); ","")&amp;IF(LEFT(J11,10)="NOT MAPPED","Invalid Size ("&amp;I11&amp;"); ","")&amp;IF(L11&lt;&gt;"OK","Invalid Price ("&amp;L11&amp;"); ","")&amp;IF(N11&lt;&gt;"OK","Invalid Stock ("&amp;N11&amp;"); ",""),LEN(IF(B11="","Missing SKU; ","")&amp;IF(C11="Duplicate SKU","Duplicate SKU; ","")&amp;IF(D11="","Missing Product Name; ","")&amp;IF(LEFT(F11,10)="NOT MAPPED","Invalid Category ("&amp;E11&amp;"); ","")&amp;IF(LEFT(J11,10)="NOT MAPPED","Invalid Size ("&amp;I11&amp;"); ","")&amp;IF(L11&lt;&gt;"OK","Invalid Price ("&amp;L11&amp;"); ","")&amp;IF(N11&lt;&gt;"OK","Invalid Stock ("&amp;N11&amp;"); ",""))-2),IF(B11="","Missing SKU; ","")&amp;IF(C11="Duplicate SKU","Duplicate SKU; ","")&amp;IF(D11="","Missing Product Name; ","")&amp;IF(LEFT(F11,10)="NOT MAPPED","Invalid Category ("&amp;E11&amp;"); ","")&amp;IF(LEFT(J11,10)="NOT MAPPED","Invalid Size ("&amp;I11&amp;"); ","")&amp;IF(L11&lt;&gt;"OK","Invalid Price ("&amp;L11&amp;"); ","")&amp;IF(N11&lt;&gt;"OK","Invalid Stock ("&amp;N11&amp;"); ",""))</f>
        <v>Missing Product Name</v>
      </c>
      <c r="Q11" s="6" t="str">
        <f aca="false">IF(O11=0,"Ready to List",IF(O11=1,"Needs Review","Incomplete"))</f>
        <v>Needs Review</v>
      </c>
    </row>
    <row r="12" customFormat="false" ht="15" hidden="false" customHeight="false" outlineLevel="0" collapsed="false">
      <c r="A12" s="6" t="n">
        <v>15</v>
      </c>
      <c r="B12" s="6" t="s">
        <v>89</v>
      </c>
      <c r="C12" s="6" t="str">
        <f aca="false">IF(B12="","",IF(COUNTIF($B$2:$B$50,B12)&gt;1,"Duplicate SKU",""))</f>
        <v/>
      </c>
      <c r="D12" s="7" t="s">
        <v>90</v>
      </c>
      <c r="E12" s="7" t="s">
        <v>12</v>
      </c>
      <c r="F12" s="7" t="str">
        <f aca="false">IFERROR(VLOOKUP(E12,'Category Mapping'!$A$2:$B$23,2,FALSE()),"NOT MAPPED")</f>
        <v>Prayer Set</v>
      </c>
      <c r="G12" s="7" t="s">
        <v>91</v>
      </c>
      <c r="H12" s="7" t="str">
        <f aca="false">IF(TRIM(G12)="","",PROPER(TRIM(G12)))</f>
        <v>Lavender</v>
      </c>
      <c r="I12" s="6" t="s">
        <v>29</v>
      </c>
      <c r="J12" s="6" t="str">
        <f aca="false">IFERROR(VLOOKUP(I12,'Size Mapping'!$A$2:$B$19,2,FALSE()),"NOT MAPPED")</f>
        <v>All Size</v>
      </c>
      <c r="K12" s="6" t="n">
        <v>32</v>
      </c>
      <c r="L12" s="6" t="str">
        <f aca="false">IF(ISBLANK(K12),"Missing",IF(NOT(ISNUMBER(K12)),"Non-numeric",IF(K12&lt;=0,"Invalid (&lt;=0)","OK")))</f>
        <v>OK</v>
      </c>
      <c r="M12" s="6" t="n">
        <v>13</v>
      </c>
      <c r="N12" s="6" t="str">
        <f aca="false">IF(ISBLANK(M12),"Missing",IF(NOT(ISNUMBER(M12)),"Non-numeric",IF(M12&lt;0,"Invalid (negative)","OK")))</f>
        <v>OK</v>
      </c>
      <c r="O12" s="6" t="n">
        <f aca="false">IF(B12="",1,0)+IF(C12="Duplicate SKU",1,0)+IF(D12="",1,0)+IF(LEFT(F12,10)="NOT MAPPED",1,0)+IF(LEFT(J12,10)="NOT MAPPED",1,0)+IF(L12="OK",0,1)+IF(N12="OK",0,1)</f>
        <v>0</v>
      </c>
      <c r="P12" s="8" t="str">
        <f aca="false">IF(RIGHT(IF(B12="","Missing SKU; ","")&amp;IF(C12="Duplicate SKU","Duplicate SKU; ","")&amp;IF(D12="","Missing Product Name; ","")&amp;IF(LEFT(F12,10)="NOT MAPPED","Invalid Category ("&amp;E12&amp;"); ","")&amp;IF(LEFT(J12,10)="NOT MAPPED","Invalid Size ("&amp;I12&amp;"); ","")&amp;IF(L12&lt;&gt;"OK","Invalid Price ("&amp;L12&amp;"); ","")&amp;IF(N12&lt;&gt;"OK","Invalid Stock ("&amp;N12&amp;"); ",""),2)="; ",LEFT(IF(B12="","Missing SKU; ","")&amp;IF(C12="Duplicate SKU","Duplicate SKU; ","")&amp;IF(D12="","Missing Product Name; ","")&amp;IF(LEFT(F12,10)="NOT MAPPED","Invalid Category ("&amp;E12&amp;"); ","")&amp;IF(LEFT(J12,10)="NOT MAPPED","Invalid Size ("&amp;I12&amp;"); ","")&amp;IF(L12&lt;&gt;"OK","Invalid Price ("&amp;L12&amp;"); ","")&amp;IF(N12&lt;&gt;"OK","Invalid Stock ("&amp;N12&amp;"); ",""),LEN(IF(B12="","Missing SKU; ","")&amp;IF(C12="Duplicate SKU","Duplicate SKU; ","")&amp;IF(D12="","Missing Product Name; ","")&amp;IF(LEFT(F12,10)="NOT MAPPED","Invalid Category ("&amp;E12&amp;"); ","")&amp;IF(LEFT(J12,10)="NOT MAPPED","Invalid Size ("&amp;I12&amp;"); ","")&amp;IF(L12&lt;&gt;"OK","Invalid Price ("&amp;L12&amp;"); ","")&amp;IF(N12&lt;&gt;"OK","Invalid Stock ("&amp;N12&amp;"); ",""))-2),IF(B12="","Missing SKU; ","")&amp;IF(C12="Duplicate SKU","Duplicate SKU; ","")&amp;IF(D12="","Missing Product Name; ","")&amp;IF(LEFT(F12,10)="NOT MAPPED","Invalid Category ("&amp;E12&amp;"); ","")&amp;IF(LEFT(J12,10)="NOT MAPPED","Invalid Size ("&amp;I12&amp;"); ","")&amp;IF(L12&lt;&gt;"OK","Invalid Price ("&amp;L12&amp;"); ","")&amp;IF(N12&lt;&gt;"OK","Invalid Stock ("&amp;N12&amp;"); ",""))</f>
        <v/>
      </c>
      <c r="Q12" s="6" t="str">
        <f aca="false">IF(O12=0,"Ready to List",IF(O12=1,"Needs Review","Incomplete"))</f>
        <v>Ready to List</v>
      </c>
    </row>
    <row r="13" customFormat="false" ht="15" hidden="false" customHeight="false" outlineLevel="0" collapsed="false">
      <c r="A13" s="6" t="n">
        <v>16</v>
      </c>
      <c r="B13" s="6" t="s">
        <v>92</v>
      </c>
      <c r="C13" s="6" t="str">
        <f aca="false">IF(B13="","",IF(COUNTIF($B$2:$B$50,B13)&gt;1,"Duplicate SKU",""))</f>
        <v/>
      </c>
      <c r="D13" s="7" t="s">
        <v>93</v>
      </c>
      <c r="E13" s="7" t="s">
        <v>8</v>
      </c>
      <c r="F13" s="7" t="str">
        <f aca="false">IFERROR(VLOOKUP(E13,'Category Mapping'!$A$2:$B$23,2,FALSE()),"NOT MAPPED")</f>
        <v>Accessories</v>
      </c>
      <c r="G13" s="7" t="s">
        <v>72</v>
      </c>
      <c r="H13" s="7" t="str">
        <f aca="false">IF(TRIM(G13)="","",PROPER(TRIM(G13)))</f>
        <v>Black</v>
      </c>
      <c r="I13" s="6" t="s">
        <v>33</v>
      </c>
      <c r="J13" s="6" t="str">
        <f aca="false">IFERROR(VLOOKUP(I13,'Size Mapping'!$A$2:$B$19,2,FALSE()),"NOT MAPPED")</f>
        <v>All Size</v>
      </c>
      <c r="K13" s="6" t="n">
        <v>4</v>
      </c>
      <c r="L13" s="6" t="str">
        <f aca="false">IF(ISBLANK(K13),"Missing",IF(NOT(ISNUMBER(K13)),"Non-numeric",IF(K13&lt;=0,"Invalid (&lt;=0)","OK")))</f>
        <v>OK</v>
      </c>
      <c r="M13" s="6" t="n">
        <v>45</v>
      </c>
      <c r="N13" s="6" t="str">
        <f aca="false">IF(ISBLANK(M13),"Missing",IF(NOT(ISNUMBER(M13)),"Non-numeric",IF(M13&lt;0,"Invalid (negative)","OK")))</f>
        <v>OK</v>
      </c>
      <c r="O13" s="6" t="n">
        <f aca="false">IF(B13="",1,0)+IF(C13="Duplicate SKU",1,0)+IF(D13="",1,0)+IF(LEFT(F13,10)="NOT MAPPED",1,0)+IF(LEFT(J13,10)="NOT MAPPED",1,0)+IF(L13="OK",0,1)+IF(N13="OK",0,1)</f>
        <v>0</v>
      </c>
      <c r="P13" s="8" t="str">
        <f aca="false">IF(RIGHT(IF(B13="","Missing SKU; ","")&amp;IF(C13="Duplicate SKU","Duplicate SKU; ","")&amp;IF(D13="","Missing Product Name; ","")&amp;IF(LEFT(F13,10)="NOT MAPPED","Invalid Category ("&amp;E13&amp;"); ","")&amp;IF(LEFT(J13,10)="NOT MAPPED","Invalid Size ("&amp;I13&amp;"); ","")&amp;IF(L13&lt;&gt;"OK","Invalid Price ("&amp;L13&amp;"); ","")&amp;IF(N13&lt;&gt;"OK","Invalid Stock ("&amp;N13&amp;"); ",""),2)="; ",LEFT(IF(B13="","Missing SKU; ","")&amp;IF(C13="Duplicate SKU","Duplicate SKU; ","")&amp;IF(D13="","Missing Product Name; ","")&amp;IF(LEFT(F13,10)="NOT MAPPED","Invalid Category ("&amp;E13&amp;"); ","")&amp;IF(LEFT(J13,10)="NOT MAPPED","Invalid Size ("&amp;I13&amp;"); ","")&amp;IF(L13&lt;&gt;"OK","Invalid Price ("&amp;L13&amp;"); ","")&amp;IF(N13&lt;&gt;"OK","Invalid Stock ("&amp;N13&amp;"); ",""),LEN(IF(B13="","Missing SKU; ","")&amp;IF(C13="Duplicate SKU","Duplicate SKU; ","")&amp;IF(D13="","Missing Product Name; ","")&amp;IF(LEFT(F13,10)="NOT MAPPED","Invalid Category ("&amp;E13&amp;"); ","")&amp;IF(LEFT(J13,10)="NOT MAPPED","Invalid Size ("&amp;I13&amp;"); ","")&amp;IF(L13&lt;&gt;"OK","Invalid Price ("&amp;L13&amp;"); ","")&amp;IF(N13&lt;&gt;"OK","Invalid Stock ("&amp;N13&amp;"); ",""))-2),IF(B13="","Missing SKU; ","")&amp;IF(C13="Duplicate SKU","Duplicate SKU; ","")&amp;IF(D13="","Missing Product Name; ","")&amp;IF(LEFT(F13,10)="NOT MAPPED","Invalid Category ("&amp;E13&amp;"); ","")&amp;IF(LEFT(J13,10)="NOT MAPPED","Invalid Size ("&amp;I13&amp;"); ","")&amp;IF(L13&lt;&gt;"OK","Invalid Price ("&amp;L13&amp;"); ","")&amp;IF(N13&lt;&gt;"OK","Invalid Stock ("&amp;N13&amp;"); ",""))</f>
        <v/>
      </c>
      <c r="Q13" s="6" t="str">
        <f aca="false">IF(O13=0,"Ready to List",IF(O13=1,"Needs Review","Incomplete"))</f>
        <v>Ready to List</v>
      </c>
    </row>
    <row r="14" customFormat="false" ht="15" hidden="false" customHeight="false" outlineLevel="0" collapsed="false">
      <c r="A14" s="6" t="n">
        <v>17</v>
      </c>
      <c r="B14" s="6" t="s">
        <v>94</v>
      </c>
      <c r="C14" s="6" t="str">
        <f aca="false">IF(B14="","",IF(COUNTIF($B$2:$B$50,B14)&gt;1,"Duplicate SKU",""))</f>
        <v/>
      </c>
      <c r="D14" s="7" t="s">
        <v>95</v>
      </c>
      <c r="E14" s="7" t="s">
        <v>3</v>
      </c>
      <c r="F14" s="7" t="str">
        <f aca="false">IFERROR(VLOOKUP(E14,'Category Mapping'!$A$2:$B$23,2,FALSE()),"NOT MAPPED")</f>
        <v>Abaya</v>
      </c>
      <c r="G14" s="7" t="s">
        <v>96</v>
      </c>
      <c r="H14" s="7" t="str">
        <f aca="false">IF(TRIM(G14)="","",PROPER(TRIM(G14)))</f>
        <v>Sand</v>
      </c>
      <c r="I14" s="6" t="s">
        <v>30</v>
      </c>
      <c r="J14" s="6" t="str">
        <f aca="false">IFERROR(VLOOKUP(I14,'Size Mapping'!$A$2:$B$19,2,FALSE()),"NOT MAPPED")</f>
        <v>All Size</v>
      </c>
      <c r="K14" s="6" t="n">
        <v>41</v>
      </c>
      <c r="L14" s="6" t="str">
        <f aca="false">IF(ISBLANK(K14),"Missing",IF(NOT(ISNUMBER(K14)),"Non-numeric",IF(K14&lt;=0,"Invalid (&lt;=0)","OK")))</f>
        <v>OK</v>
      </c>
      <c r="M14" s="6" t="n">
        <v>11</v>
      </c>
      <c r="N14" s="6" t="str">
        <f aca="false">IF(ISBLANK(M14),"Missing",IF(NOT(ISNUMBER(M14)),"Non-numeric",IF(M14&lt;0,"Invalid (negative)","OK")))</f>
        <v>OK</v>
      </c>
      <c r="O14" s="6" t="n">
        <f aca="false">IF(B14="",1,0)+IF(C14="Duplicate SKU",1,0)+IF(D14="",1,0)+IF(LEFT(F14,10)="NOT MAPPED",1,0)+IF(LEFT(J14,10)="NOT MAPPED",1,0)+IF(L14="OK",0,1)+IF(N14="OK",0,1)</f>
        <v>0</v>
      </c>
      <c r="P14" s="8" t="str">
        <f aca="false">IF(RIGHT(IF(B14="","Missing SKU; ","")&amp;IF(C14="Duplicate SKU","Duplicate SKU; ","")&amp;IF(D14="","Missing Product Name; ","")&amp;IF(LEFT(F14,10)="NOT MAPPED","Invalid Category ("&amp;E14&amp;"); ","")&amp;IF(LEFT(J14,10)="NOT MAPPED","Invalid Size ("&amp;I14&amp;"); ","")&amp;IF(L14&lt;&gt;"OK","Invalid Price ("&amp;L14&amp;"); ","")&amp;IF(N14&lt;&gt;"OK","Invalid Stock ("&amp;N14&amp;"); ",""),2)="; ",LEFT(IF(B14="","Missing SKU; ","")&amp;IF(C14="Duplicate SKU","Duplicate SKU; ","")&amp;IF(D14="","Missing Product Name; ","")&amp;IF(LEFT(F14,10)="NOT MAPPED","Invalid Category ("&amp;E14&amp;"); ","")&amp;IF(LEFT(J14,10)="NOT MAPPED","Invalid Size ("&amp;I14&amp;"); ","")&amp;IF(L14&lt;&gt;"OK","Invalid Price ("&amp;L14&amp;"); ","")&amp;IF(N14&lt;&gt;"OK","Invalid Stock ("&amp;N14&amp;"); ",""),LEN(IF(B14="","Missing SKU; ","")&amp;IF(C14="Duplicate SKU","Duplicate SKU; ","")&amp;IF(D14="","Missing Product Name; ","")&amp;IF(LEFT(F14,10)="NOT MAPPED","Invalid Category ("&amp;E14&amp;"); ","")&amp;IF(LEFT(J14,10)="NOT MAPPED","Invalid Size ("&amp;I14&amp;"); ","")&amp;IF(L14&lt;&gt;"OK","Invalid Price ("&amp;L14&amp;"); ","")&amp;IF(N14&lt;&gt;"OK","Invalid Stock ("&amp;N14&amp;"); ",""))-2),IF(B14="","Missing SKU; ","")&amp;IF(C14="Duplicate SKU","Duplicate SKU; ","")&amp;IF(D14="","Missing Product Name; ","")&amp;IF(LEFT(F14,10)="NOT MAPPED","Invalid Category ("&amp;E14&amp;"); ","")&amp;IF(LEFT(J14,10)="NOT MAPPED","Invalid Size ("&amp;I14&amp;"); ","")&amp;IF(L14&lt;&gt;"OK","Invalid Price ("&amp;L14&amp;"); ","")&amp;IF(N14&lt;&gt;"OK","Invalid Stock ("&amp;N14&amp;"); ",""))</f>
        <v/>
      </c>
      <c r="Q14" s="6" t="str">
        <f aca="false">IF(O14=0,"Ready to List",IF(O14=1,"Needs Review","Incomplete"))</f>
        <v>Ready to List</v>
      </c>
    </row>
    <row r="15" customFormat="false" ht="15" hidden="false" customHeight="false" outlineLevel="0" collapsed="false">
      <c r="A15" s="6" t="n">
        <v>18</v>
      </c>
      <c r="B15" s="6" t="s">
        <v>97</v>
      </c>
      <c r="C15" s="6" t="str">
        <f aca="false">IF(B15="","",IF(COUNTIF($B$2:$B$50,B15)&gt;1,"Duplicate SKU",""))</f>
        <v/>
      </c>
      <c r="D15" s="7" t="s">
        <v>98</v>
      </c>
      <c r="E15" s="7" t="s">
        <v>13</v>
      </c>
      <c r="F15" s="7" t="str">
        <f aca="false">IFERROR(VLOOKUP(E15,'Category Mapping'!$A$2:$B$23,2,FALSE()),"NOT MAPPED")</f>
        <v>Hijab</v>
      </c>
      <c r="G15" s="7" t="s">
        <v>99</v>
      </c>
      <c r="H15" s="7" t="str">
        <f aca="false">IF(TRIM(G15)="","",PROPER(TRIM(G15)))</f>
        <v>Black</v>
      </c>
      <c r="I15" s="6" t="s">
        <v>32</v>
      </c>
      <c r="J15" s="6" t="str">
        <f aca="false">IFERROR(VLOOKUP(I15,'Size Mapping'!$A$2:$B$19,2,FALSE()),"NOT MAPPED")</f>
        <v>All Size</v>
      </c>
      <c r="K15" s="6" t="n">
        <v>10</v>
      </c>
      <c r="L15" s="6" t="str">
        <f aca="false">IF(ISBLANK(K15),"Missing",IF(NOT(ISNUMBER(K15)),"Non-numeric",IF(K15&lt;=0,"Invalid (&lt;=0)","OK")))</f>
        <v>OK</v>
      </c>
      <c r="M15" s="6" t="n">
        <v>40</v>
      </c>
      <c r="N15" s="6" t="str">
        <f aca="false">IF(ISBLANK(M15),"Missing",IF(NOT(ISNUMBER(M15)),"Non-numeric",IF(M15&lt;0,"Invalid (negative)","OK")))</f>
        <v>OK</v>
      </c>
      <c r="O15" s="6" t="n">
        <f aca="false">IF(B15="",1,0)+IF(C15="Duplicate SKU",1,0)+IF(D15="",1,0)+IF(LEFT(F15,10)="NOT MAPPED",1,0)+IF(LEFT(J15,10)="NOT MAPPED",1,0)+IF(L15="OK",0,1)+IF(N15="OK",0,1)</f>
        <v>0</v>
      </c>
      <c r="P15" s="8" t="str">
        <f aca="false">IF(RIGHT(IF(B15="","Missing SKU; ","")&amp;IF(C15="Duplicate SKU","Duplicate SKU; ","")&amp;IF(D15="","Missing Product Name; ","")&amp;IF(LEFT(F15,10)="NOT MAPPED","Invalid Category ("&amp;E15&amp;"); ","")&amp;IF(LEFT(J15,10)="NOT MAPPED","Invalid Size ("&amp;I15&amp;"); ","")&amp;IF(L15&lt;&gt;"OK","Invalid Price ("&amp;L15&amp;"); ","")&amp;IF(N15&lt;&gt;"OK","Invalid Stock ("&amp;N15&amp;"); ",""),2)="; ",LEFT(IF(B15="","Missing SKU; ","")&amp;IF(C15="Duplicate SKU","Duplicate SKU; ","")&amp;IF(D15="","Missing Product Name; ","")&amp;IF(LEFT(F15,10)="NOT MAPPED","Invalid Category ("&amp;E15&amp;"); ","")&amp;IF(LEFT(J15,10)="NOT MAPPED","Invalid Size ("&amp;I15&amp;"); ","")&amp;IF(L15&lt;&gt;"OK","Invalid Price ("&amp;L15&amp;"); ","")&amp;IF(N15&lt;&gt;"OK","Invalid Stock ("&amp;N15&amp;"); ",""),LEN(IF(B15="","Missing SKU; ","")&amp;IF(C15="Duplicate SKU","Duplicate SKU; ","")&amp;IF(D15="","Missing Product Name; ","")&amp;IF(LEFT(F15,10)="NOT MAPPED","Invalid Category ("&amp;E15&amp;"); ","")&amp;IF(LEFT(J15,10)="NOT MAPPED","Invalid Size ("&amp;I15&amp;"); ","")&amp;IF(L15&lt;&gt;"OK","Invalid Price ("&amp;L15&amp;"); ","")&amp;IF(N15&lt;&gt;"OK","Invalid Stock ("&amp;N15&amp;"); ",""))-2),IF(B15="","Missing SKU; ","")&amp;IF(C15="Duplicate SKU","Duplicate SKU; ","")&amp;IF(D15="","Missing Product Name; ","")&amp;IF(LEFT(F15,10)="NOT MAPPED","Invalid Category ("&amp;E15&amp;"); ","")&amp;IF(LEFT(J15,10)="NOT MAPPED","Invalid Size ("&amp;I15&amp;"); ","")&amp;IF(L15&lt;&gt;"OK","Invalid Price ("&amp;L15&amp;"); ","")&amp;IF(N15&lt;&gt;"OK","Invalid Stock ("&amp;N15&amp;"); ",""))</f>
        <v/>
      </c>
      <c r="Q15" s="6" t="str">
        <f aca="false">IF(O15=0,"Ready to List",IF(O15=1,"Needs Review","Incomplete"))</f>
        <v>Ready to List</v>
      </c>
    </row>
    <row r="16" customFormat="false" ht="15" hidden="false" customHeight="false" outlineLevel="0" collapsed="false">
      <c r="A16" s="6" t="n">
        <v>19</v>
      </c>
      <c r="B16" s="6" t="s">
        <v>100</v>
      </c>
      <c r="C16" s="6" t="str">
        <f aca="false">IF(B16="","",IF(COUNTIF($B$2:$B$50,B16)&gt;1,"Duplicate SKU",""))</f>
        <v/>
      </c>
      <c r="D16" s="7" t="s">
        <v>65</v>
      </c>
      <c r="E16" s="7" t="s">
        <v>14</v>
      </c>
      <c r="F16" s="7" t="str">
        <f aca="false">IFERROR(VLOOKUP(E16,'Category Mapping'!$A$2:$B$23,2,FALSE()),"NOT MAPPED")</f>
        <v>Prayer Set</v>
      </c>
      <c r="G16" s="7" t="s">
        <v>101</v>
      </c>
      <c r="H16" s="7" t="str">
        <f aca="false">IF(TRIM(G16)="","",PROPER(TRIM(G16)))</f>
        <v>Grey</v>
      </c>
      <c r="I16" s="6" t="s">
        <v>28</v>
      </c>
      <c r="J16" s="6" t="str">
        <f aca="false">IFERROR(VLOOKUP(I16,'Size Mapping'!$A$2:$B$19,2,FALSE()),"NOT MAPPED")</f>
        <v>All Size</v>
      </c>
      <c r="K16" s="6" t="n">
        <v>9</v>
      </c>
      <c r="L16" s="6" t="str">
        <f aca="false">IF(ISBLANK(K16),"Missing",IF(NOT(ISNUMBER(K16)),"Non-numeric",IF(K16&lt;=0,"Invalid (&lt;=0)","OK")))</f>
        <v>OK</v>
      </c>
      <c r="M16" s="6" t="n">
        <v>25</v>
      </c>
      <c r="N16" s="6" t="str">
        <f aca="false">IF(ISBLANK(M16),"Missing",IF(NOT(ISNUMBER(M16)),"Non-numeric",IF(M16&lt;0,"Invalid (negative)","OK")))</f>
        <v>OK</v>
      </c>
      <c r="O16" s="6" t="n">
        <f aca="false">IF(B16="",1,0)+IF(C16="Duplicate SKU",1,0)+IF(D16="",1,0)+IF(LEFT(F16,10)="NOT MAPPED",1,0)+IF(LEFT(J16,10)="NOT MAPPED",1,0)+IF(L16="OK",0,1)+IF(N16="OK",0,1)</f>
        <v>0</v>
      </c>
      <c r="P16" s="8" t="str">
        <f aca="false">IF(RIGHT(IF(B16="","Missing SKU; ","")&amp;IF(C16="Duplicate SKU","Duplicate SKU; ","")&amp;IF(D16="","Missing Product Name; ","")&amp;IF(LEFT(F16,10)="NOT MAPPED","Invalid Category ("&amp;E16&amp;"); ","")&amp;IF(LEFT(J16,10)="NOT MAPPED","Invalid Size ("&amp;I16&amp;"); ","")&amp;IF(L16&lt;&gt;"OK","Invalid Price ("&amp;L16&amp;"); ","")&amp;IF(N16&lt;&gt;"OK","Invalid Stock ("&amp;N16&amp;"); ",""),2)="; ",LEFT(IF(B16="","Missing SKU; ","")&amp;IF(C16="Duplicate SKU","Duplicate SKU; ","")&amp;IF(D16="","Missing Product Name; ","")&amp;IF(LEFT(F16,10)="NOT MAPPED","Invalid Category ("&amp;E16&amp;"); ","")&amp;IF(LEFT(J16,10)="NOT MAPPED","Invalid Size ("&amp;I16&amp;"); ","")&amp;IF(L16&lt;&gt;"OK","Invalid Price ("&amp;L16&amp;"); ","")&amp;IF(N16&lt;&gt;"OK","Invalid Stock ("&amp;N16&amp;"); ",""),LEN(IF(B16="","Missing SKU; ","")&amp;IF(C16="Duplicate SKU","Duplicate SKU; ","")&amp;IF(D16="","Missing Product Name; ","")&amp;IF(LEFT(F16,10)="NOT MAPPED","Invalid Category ("&amp;E16&amp;"); ","")&amp;IF(LEFT(J16,10)="NOT MAPPED","Invalid Size ("&amp;I16&amp;"); ","")&amp;IF(L16&lt;&gt;"OK","Invalid Price ("&amp;L16&amp;"); ","")&amp;IF(N16&lt;&gt;"OK","Invalid Stock ("&amp;N16&amp;"); ",""))-2),IF(B16="","Missing SKU; ","")&amp;IF(C16="Duplicate SKU","Duplicate SKU; ","")&amp;IF(D16="","Missing Product Name; ","")&amp;IF(LEFT(F16,10)="NOT MAPPED","Invalid Category ("&amp;E16&amp;"); ","")&amp;IF(LEFT(J16,10)="NOT MAPPED","Invalid Size ("&amp;I16&amp;"); ","")&amp;IF(L16&lt;&gt;"OK","Invalid Price ("&amp;L16&amp;"); ","")&amp;IF(N16&lt;&gt;"OK","Invalid Stock ("&amp;N16&amp;"); ",""))</f>
        <v/>
      </c>
      <c r="Q16" s="6" t="str">
        <f aca="false">IF(O16=0,"Ready to List",IF(O16=1,"Needs Review","Incomplete"))</f>
        <v>Ready to List</v>
      </c>
    </row>
    <row r="17" customFormat="false" ht="15" hidden="false" customHeight="false" outlineLevel="0" collapsed="false">
      <c r="A17" s="6" t="n">
        <v>20</v>
      </c>
      <c r="B17" s="6" t="s">
        <v>67</v>
      </c>
      <c r="C17" s="6" t="str">
        <f aca="false">IF(B17="","",IF(COUNTIF($B$2:$B$50,B17)&gt;1,"Duplicate SKU",""))</f>
        <v>Duplicate SKU</v>
      </c>
      <c r="D17" s="7" t="s">
        <v>71</v>
      </c>
      <c r="E17" s="7" t="s">
        <v>15</v>
      </c>
      <c r="F17" s="7" t="str">
        <f aca="false">IFERROR(VLOOKUP(E17,'Category Mapping'!$A$2:$B$23,2,FALSE()),"NOT MAPPED")</f>
        <v>Accessories</v>
      </c>
      <c r="G17" s="7" t="s">
        <v>102</v>
      </c>
      <c r="H17" s="7" t="str">
        <f aca="false">IF(TRIM(G17)="","",PROPER(TRIM(G17)))</f>
        <v>Nude</v>
      </c>
      <c r="I17" s="6" t="s">
        <v>32</v>
      </c>
      <c r="J17" s="6" t="str">
        <f aca="false">IFERROR(VLOOKUP(I17,'Size Mapping'!$A$2:$B$19,2,FALSE()),"NOT MAPPED")</f>
        <v>All Size</v>
      </c>
      <c r="K17" s="6" t="n">
        <v>5</v>
      </c>
      <c r="L17" s="6" t="str">
        <f aca="false">IF(ISBLANK(K17),"Missing",IF(NOT(ISNUMBER(K17)),"Non-numeric",IF(K17&lt;=0,"Invalid (&lt;=0)","OK")))</f>
        <v>OK</v>
      </c>
      <c r="M17" s="6" t="n">
        <v>33</v>
      </c>
      <c r="N17" s="6" t="str">
        <f aca="false">IF(ISBLANK(M17),"Missing",IF(NOT(ISNUMBER(M17)),"Non-numeric",IF(M17&lt;0,"Invalid (negative)","OK")))</f>
        <v>OK</v>
      </c>
      <c r="O17" s="6" t="n">
        <f aca="false">IF(B17="",1,0)+IF(C17="Duplicate SKU",1,0)+IF(D17="",1,0)+IF(LEFT(F17,10)="NOT MAPPED",1,0)+IF(LEFT(J17,10)="NOT MAPPED",1,0)+IF(L17="OK",0,1)+IF(N17="OK",0,1)</f>
        <v>1</v>
      </c>
      <c r="P17" s="8" t="str">
        <f aca="false">IF(RIGHT(IF(B17="","Missing SKU; ","")&amp;IF(C17="Duplicate SKU","Duplicate SKU; ","")&amp;IF(D17="","Missing Product Name; ","")&amp;IF(LEFT(F17,10)="NOT MAPPED","Invalid Category ("&amp;E17&amp;"); ","")&amp;IF(LEFT(J17,10)="NOT MAPPED","Invalid Size ("&amp;I17&amp;"); ","")&amp;IF(L17&lt;&gt;"OK","Invalid Price ("&amp;L17&amp;"); ","")&amp;IF(N17&lt;&gt;"OK","Invalid Stock ("&amp;N17&amp;"); ",""),2)="; ",LEFT(IF(B17="","Missing SKU; ","")&amp;IF(C17="Duplicate SKU","Duplicate SKU; ","")&amp;IF(D17="","Missing Product Name; ","")&amp;IF(LEFT(F17,10)="NOT MAPPED","Invalid Category ("&amp;E17&amp;"); ","")&amp;IF(LEFT(J17,10)="NOT MAPPED","Invalid Size ("&amp;I17&amp;"); ","")&amp;IF(L17&lt;&gt;"OK","Invalid Price ("&amp;L17&amp;"); ","")&amp;IF(N17&lt;&gt;"OK","Invalid Stock ("&amp;N17&amp;"); ",""),LEN(IF(B17="","Missing SKU; ","")&amp;IF(C17="Duplicate SKU","Duplicate SKU; ","")&amp;IF(D17="","Missing Product Name; ","")&amp;IF(LEFT(F17,10)="NOT MAPPED","Invalid Category ("&amp;E17&amp;"); ","")&amp;IF(LEFT(J17,10)="NOT MAPPED","Invalid Size ("&amp;I17&amp;"); ","")&amp;IF(L17&lt;&gt;"OK","Invalid Price ("&amp;L17&amp;"); ","")&amp;IF(N17&lt;&gt;"OK","Invalid Stock ("&amp;N17&amp;"); ",""))-2),IF(B17="","Missing SKU; ","")&amp;IF(C17="Duplicate SKU","Duplicate SKU; ","")&amp;IF(D17="","Missing Product Name; ","")&amp;IF(LEFT(F17,10)="NOT MAPPED","Invalid Category ("&amp;E17&amp;"); ","")&amp;IF(LEFT(J17,10)="NOT MAPPED","Invalid Size ("&amp;I17&amp;"); ","")&amp;IF(L17&lt;&gt;"OK","Invalid Price ("&amp;L17&amp;"); ","")&amp;IF(N17&lt;&gt;"OK","Invalid Stock ("&amp;N17&amp;"); ",""))</f>
        <v>Duplicate SKU</v>
      </c>
      <c r="Q17" s="6" t="str">
        <f aca="false">IF(O17=0,"Ready to List",IF(O17=1,"Needs Review","Incomplete"))</f>
        <v>Needs Review</v>
      </c>
    </row>
    <row r="18" customFormat="false" ht="15" hidden="false" customHeight="false" outlineLevel="0" collapsed="false">
      <c r="A18" s="6" t="n">
        <v>21</v>
      </c>
      <c r="B18" s="6" t="s">
        <v>103</v>
      </c>
      <c r="C18" s="6" t="str">
        <f aca="false">IF(B18="","",IF(COUNTIF($B$2:$B$50,B18)&gt;1,"Duplicate SKU",""))</f>
        <v/>
      </c>
      <c r="D18" s="7" t="s">
        <v>71</v>
      </c>
      <c r="E18" s="7" t="s">
        <v>16</v>
      </c>
      <c r="F18" s="7" t="str">
        <f aca="false">IFERROR(VLOOKUP(E18,'Category Mapping'!$A$2:$B$23,2,FALSE()),"NOT MAPPED")</f>
        <v>Accessories</v>
      </c>
      <c r="G18" s="7" t="s">
        <v>104</v>
      </c>
      <c r="H18" s="7" t="str">
        <f aca="false">IF(TRIM(G18)="","",PROPER(TRIM(G18)))</f>
        <v>White</v>
      </c>
      <c r="I18" s="6" t="s">
        <v>29</v>
      </c>
      <c r="J18" s="6" t="str">
        <f aca="false">IFERROR(VLOOKUP(I18,'Size Mapping'!$A$2:$B$19,2,FALSE()),"NOT MAPPED")</f>
        <v>All Size</v>
      </c>
      <c r="K18" s="6" t="n">
        <v>5</v>
      </c>
      <c r="L18" s="6" t="str">
        <f aca="false">IF(ISBLANK(K18),"Missing",IF(NOT(ISNUMBER(K18)),"Non-numeric",IF(K18&lt;=0,"Invalid (&lt;=0)","OK")))</f>
        <v>OK</v>
      </c>
      <c r="M18" s="6" t="n">
        <v>29</v>
      </c>
      <c r="N18" s="6" t="str">
        <f aca="false">IF(ISBLANK(M18),"Missing",IF(NOT(ISNUMBER(M18)),"Non-numeric",IF(M18&lt;0,"Invalid (negative)","OK")))</f>
        <v>OK</v>
      </c>
      <c r="O18" s="6" t="n">
        <f aca="false">IF(B18="",1,0)+IF(C18="Duplicate SKU",1,0)+IF(D18="",1,0)+IF(LEFT(F18,10)="NOT MAPPED",1,0)+IF(LEFT(J18,10)="NOT MAPPED",1,0)+IF(L18="OK",0,1)+IF(N18="OK",0,1)</f>
        <v>0</v>
      </c>
      <c r="P18" s="8" t="str">
        <f aca="false">IF(RIGHT(IF(B18="","Missing SKU; ","")&amp;IF(C18="Duplicate SKU","Duplicate SKU; ","")&amp;IF(D18="","Missing Product Name; ","")&amp;IF(LEFT(F18,10)="NOT MAPPED","Invalid Category ("&amp;E18&amp;"); ","")&amp;IF(LEFT(J18,10)="NOT MAPPED","Invalid Size ("&amp;I18&amp;"); ","")&amp;IF(L18&lt;&gt;"OK","Invalid Price ("&amp;L18&amp;"); ","")&amp;IF(N18&lt;&gt;"OK","Invalid Stock ("&amp;N18&amp;"); ",""),2)="; ",LEFT(IF(B18="","Missing SKU; ","")&amp;IF(C18="Duplicate SKU","Duplicate SKU; ","")&amp;IF(D18="","Missing Product Name; ","")&amp;IF(LEFT(F18,10)="NOT MAPPED","Invalid Category ("&amp;E18&amp;"); ","")&amp;IF(LEFT(J18,10)="NOT MAPPED","Invalid Size ("&amp;I18&amp;"); ","")&amp;IF(L18&lt;&gt;"OK","Invalid Price ("&amp;L18&amp;"); ","")&amp;IF(N18&lt;&gt;"OK","Invalid Stock ("&amp;N18&amp;"); ",""),LEN(IF(B18="","Missing SKU; ","")&amp;IF(C18="Duplicate SKU","Duplicate SKU; ","")&amp;IF(D18="","Missing Product Name; ","")&amp;IF(LEFT(F18,10)="NOT MAPPED","Invalid Category ("&amp;E18&amp;"); ","")&amp;IF(LEFT(J18,10)="NOT MAPPED","Invalid Size ("&amp;I18&amp;"); ","")&amp;IF(L18&lt;&gt;"OK","Invalid Price ("&amp;L18&amp;"); ","")&amp;IF(N18&lt;&gt;"OK","Invalid Stock ("&amp;N18&amp;"); ",""))-2),IF(B18="","Missing SKU; ","")&amp;IF(C18="Duplicate SKU","Duplicate SKU; ","")&amp;IF(D18="","Missing Product Name; ","")&amp;IF(LEFT(F18,10)="NOT MAPPED","Invalid Category ("&amp;E18&amp;"); ","")&amp;IF(LEFT(J18,10)="NOT MAPPED","Invalid Size ("&amp;I18&amp;"); ","")&amp;IF(L18&lt;&gt;"OK","Invalid Price ("&amp;L18&amp;"); ","")&amp;IF(N18&lt;&gt;"OK","Invalid Stock ("&amp;N18&amp;"); ",""))</f>
        <v/>
      </c>
      <c r="Q18" s="6" t="str">
        <f aca="false">IF(O18=0,"Ready to List",IF(O18=1,"Needs Review","Incomplete"))</f>
        <v>Ready to List</v>
      </c>
    </row>
    <row r="19" customFormat="false" ht="15" hidden="false" customHeight="false" outlineLevel="0" collapsed="false">
      <c r="A19" s="6" t="n">
        <v>22</v>
      </c>
      <c r="B19" s="6" t="s">
        <v>105</v>
      </c>
      <c r="C19" s="6" t="str">
        <f aca="false">IF(B19="","",IF(COUNTIF($B$2:$B$50,B19)&gt;1,"Duplicate SKU",""))</f>
        <v/>
      </c>
      <c r="D19" s="7" t="s">
        <v>93</v>
      </c>
      <c r="E19" s="7" t="s">
        <v>17</v>
      </c>
      <c r="F19" s="7" t="str">
        <f aca="false">IFERROR(VLOOKUP(E19,'Category Mapping'!$A$2:$B$23,2,FALSE()),"NOT MAPPED")</f>
        <v>Accessories</v>
      </c>
      <c r="G19" s="7" t="s">
        <v>106</v>
      </c>
      <c r="H19" s="7" t="str">
        <f aca="false">IF(TRIM(G19)="","",PROPER(TRIM(G19)))</f>
        <v>Cream</v>
      </c>
      <c r="I19" s="6" t="s">
        <v>30</v>
      </c>
      <c r="J19" s="6" t="str">
        <f aca="false">IFERROR(VLOOKUP(I19,'Size Mapping'!$A$2:$B$19,2,FALSE()),"NOT MAPPED")</f>
        <v>All Size</v>
      </c>
      <c r="K19" s="6" t="n">
        <v>4</v>
      </c>
      <c r="L19" s="6" t="str">
        <f aca="false">IF(ISBLANK(K19),"Missing",IF(NOT(ISNUMBER(K19)),"Non-numeric",IF(K19&lt;=0,"Invalid (&lt;=0)","OK")))</f>
        <v>OK</v>
      </c>
      <c r="M19" s="6" t="n">
        <v>38</v>
      </c>
      <c r="N19" s="6" t="str">
        <f aca="false">IF(ISBLANK(M19),"Missing",IF(NOT(ISNUMBER(M19)),"Non-numeric",IF(M19&lt;0,"Invalid (negative)","OK")))</f>
        <v>OK</v>
      </c>
      <c r="O19" s="6" t="n">
        <f aca="false">IF(B19="",1,0)+IF(C19="Duplicate SKU",1,0)+IF(D19="",1,0)+IF(LEFT(F19,10)="NOT MAPPED",1,0)+IF(LEFT(J19,10)="NOT MAPPED",1,0)+IF(L19="OK",0,1)+IF(N19="OK",0,1)</f>
        <v>0</v>
      </c>
      <c r="P19" s="8" t="str">
        <f aca="false">IF(RIGHT(IF(B19="","Missing SKU; ","")&amp;IF(C19="Duplicate SKU","Duplicate SKU; ","")&amp;IF(D19="","Missing Product Name; ","")&amp;IF(LEFT(F19,10)="NOT MAPPED","Invalid Category ("&amp;E19&amp;"); ","")&amp;IF(LEFT(J19,10)="NOT MAPPED","Invalid Size ("&amp;I19&amp;"); ","")&amp;IF(L19&lt;&gt;"OK","Invalid Price ("&amp;L19&amp;"); ","")&amp;IF(N19&lt;&gt;"OK","Invalid Stock ("&amp;N19&amp;"); ",""),2)="; ",LEFT(IF(B19="","Missing SKU; ","")&amp;IF(C19="Duplicate SKU","Duplicate SKU; ","")&amp;IF(D19="","Missing Product Name; ","")&amp;IF(LEFT(F19,10)="NOT MAPPED","Invalid Category ("&amp;E19&amp;"); ","")&amp;IF(LEFT(J19,10)="NOT MAPPED","Invalid Size ("&amp;I19&amp;"); ","")&amp;IF(L19&lt;&gt;"OK","Invalid Price ("&amp;L19&amp;"); ","")&amp;IF(N19&lt;&gt;"OK","Invalid Stock ("&amp;N19&amp;"); ",""),LEN(IF(B19="","Missing SKU; ","")&amp;IF(C19="Duplicate SKU","Duplicate SKU; ","")&amp;IF(D19="","Missing Product Name; ","")&amp;IF(LEFT(F19,10)="NOT MAPPED","Invalid Category ("&amp;E19&amp;"); ","")&amp;IF(LEFT(J19,10)="NOT MAPPED","Invalid Size ("&amp;I19&amp;"); ","")&amp;IF(L19&lt;&gt;"OK","Invalid Price ("&amp;L19&amp;"); ","")&amp;IF(N19&lt;&gt;"OK","Invalid Stock ("&amp;N19&amp;"); ",""))-2),IF(B19="","Missing SKU; ","")&amp;IF(C19="Duplicate SKU","Duplicate SKU; ","")&amp;IF(D19="","Missing Product Name; ","")&amp;IF(LEFT(F19,10)="NOT MAPPED","Invalid Category ("&amp;E19&amp;"); ","")&amp;IF(LEFT(J19,10)="NOT MAPPED","Invalid Size ("&amp;I19&amp;"); ","")&amp;IF(L19&lt;&gt;"OK","Invalid Price ("&amp;L19&amp;"); ","")&amp;IF(N19&lt;&gt;"OK","Invalid Stock ("&amp;N19&amp;"); ",""))</f>
        <v/>
      </c>
      <c r="Q19" s="6" t="str">
        <f aca="false">IF(O19=0,"Ready to List",IF(O19=1,"Needs Review","Incomplete"))</f>
        <v>Ready to List</v>
      </c>
    </row>
    <row r="20" customFormat="false" ht="15" hidden="false" customHeight="false" outlineLevel="0" collapsed="false">
      <c r="A20" s="6" t="n">
        <v>23</v>
      </c>
      <c r="B20" s="6" t="s">
        <v>107</v>
      </c>
      <c r="C20" s="6" t="str">
        <f aca="false">IF(B20="","",IF(COUNTIF($B$2:$B$50,B20)&gt;1,"Duplicate SKU",""))</f>
        <v/>
      </c>
      <c r="D20" s="7" t="s">
        <v>108</v>
      </c>
      <c r="E20" s="7" t="s">
        <v>18</v>
      </c>
      <c r="F20" s="7" t="str">
        <f aca="false">IFERROR(VLOOKUP(E20,'Category Mapping'!$A$2:$B$23,2,FALSE()),"NOT MAPPED")</f>
        <v>Hijab</v>
      </c>
      <c r="G20" s="7" t="s">
        <v>109</v>
      </c>
      <c r="H20" s="7" t="str">
        <f aca="false">IF(TRIM(G20)="","",PROPER(TRIM(G20)))</f>
        <v>Brown</v>
      </c>
      <c r="I20" s="6" t="s">
        <v>34</v>
      </c>
      <c r="J20" s="6" t="str">
        <f aca="false">IFERROR(VLOOKUP(I20,'Size Mapping'!$A$2:$B$19,2,FALSE()),"NOT MAPPED")</f>
        <v>XL</v>
      </c>
      <c r="K20" s="6" t="n">
        <v>14</v>
      </c>
      <c r="L20" s="6" t="str">
        <f aca="false">IF(ISBLANK(K20),"Missing",IF(NOT(ISNUMBER(K20)),"Non-numeric",IF(K20&lt;=0,"Invalid (&lt;=0)","OK")))</f>
        <v>OK</v>
      </c>
      <c r="M20" s="6" t="n">
        <v>9</v>
      </c>
      <c r="N20" s="6" t="str">
        <f aca="false">IF(ISBLANK(M20),"Missing",IF(NOT(ISNUMBER(M20)),"Non-numeric",IF(M20&lt;0,"Invalid (negative)","OK")))</f>
        <v>OK</v>
      </c>
      <c r="O20" s="6" t="n">
        <f aca="false">IF(B20="",1,0)+IF(C20="Duplicate SKU",1,0)+IF(D20="",1,0)+IF(LEFT(F20,10)="NOT MAPPED",1,0)+IF(LEFT(J20,10)="NOT MAPPED",1,0)+IF(L20="OK",0,1)+IF(N20="OK",0,1)</f>
        <v>0</v>
      </c>
      <c r="P20" s="8" t="str">
        <f aca="false">IF(RIGHT(IF(B20="","Missing SKU; ","")&amp;IF(C20="Duplicate SKU","Duplicate SKU; ","")&amp;IF(D20="","Missing Product Name; ","")&amp;IF(LEFT(F20,10)="NOT MAPPED","Invalid Category ("&amp;E20&amp;"); ","")&amp;IF(LEFT(J20,10)="NOT MAPPED","Invalid Size ("&amp;I20&amp;"); ","")&amp;IF(L20&lt;&gt;"OK","Invalid Price ("&amp;L20&amp;"); ","")&amp;IF(N20&lt;&gt;"OK","Invalid Stock ("&amp;N20&amp;"); ",""),2)="; ",LEFT(IF(B20="","Missing SKU; ","")&amp;IF(C20="Duplicate SKU","Duplicate SKU; ","")&amp;IF(D20="","Missing Product Name; ","")&amp;IF(LEFT(F20,10)="NOT MAPPED","Invalid Category ("&amp;E20&amp;"); ","")&amp;IF(LEFT(J20,10)="NOT MAPPED","Invalid Size ("&amp;I20&amp;"); ","")&amp;IF(L20&lt;&gt;"OK","Invalid Price ("&amp;L20&amp;"); ","")&amp;IF(N20&lt;&gt;"OK","Invalid Stock ("&amp;N20&amp;"); ",""),LEN(IF(B20="","Missing SKU; ","")&amp;IF(C20="Duplicate SKU","Duplicate SKU; ","")&amp;IF(D20="","Missing Product Name; ","")&amp;IF(LEFT(F20,10)="NOT MAPPED","Invalid Category ("&amp;E20&amp;"); ","")&amp;IF(LEFT(J20,10)="NOT MAPPED","Invalid Size ("&amp;I20&amp;"); ","")&amp;IF(L20&lt;&gt;"OK","Invalid Price ("&amp;L20&amp;"); ","")&amp;IF(N20&lt;&gt;"OK","Invalid Stock ("&amp;N20&amp;"); ",""))-2),IF(B20="","Missing SKU; ","")&amp;IF(C20="Duplicate SKU","Duplicate SKU; ","")&amp;IF(D20="","Missing Product Name; ","")&amp;IF(LEFT(F20,10)="NOT MAPPED","Invalid Category ("&amp;E20&amp;"); ","")&amp;IF(LEFT(J20,10)="NOT MAPPED","Invalid Size ("&amp;I20&amp;"); ","")&amp;IF(L20&lt;&gt;"OK","Invalid Price ("&amp;L20&amp;"); ","")&amp;IF(N20&lt;&gt;"OK","Invalid Stock ("&amp;N20&amp;"); ",""))</f>
        <v/>
      </c>
      <c r="Q20" s="6" t="str">
        <f aca="false">IF(O20=0,"Ready to List",IF(O20=1,"Needs Review","Incomplete"))</f>
        <v>Ready to List</v>
      </c>
    </row>
    <row r="21" customFormat="false" ht="15" hidden="false" customHeight="false" outlineLevel="0" collapsed="false">
      <c r="A21" s="6" t="n">
        <v>24</v>
      </c>
      <c r="B21" s="6" t="s">
        <v>84</v>
      </c>
      <c r="C21" s="6" t="str">
        <f aca="false">IF(B21="","",IF(COUNTIF($B$2:$B$50,B21)&gt;1,"Duplicate SKU",""))</f>
        <v>Duplicate SKU</v>
      </c>
      <c r="D21" s="7" t="s">
        <v>82</v>
      </c>
      <c r="E21" s="7" t="s">
        <v>19</v>
      </c>
      <c r="F21" s="7" t="str">
        <f aca="false">IFERROR(VLOOKUP(E21,'Category Mapping'!$A$2:$B$23,2,FALSE()),"NOT MAPPED")</f>
        <v>Abaya</v>
      </c>
      <c r="G21" s="7" t="s">
        <v>110</v>
      </c>
      <c r="H21" s="7" t="str">
        <f aca="false">IF(TRIM(G21)="","",PROPER(TRIM(G21)))</f>
        <v>Dusty Blue</v>
      </c>
      <c r="I21" s="6" t="s">
        <v>36</v>
      </c>
      <c r="J21" s="6" t="str">
        <f aca="false">IFERROR(VLOOKUP(I21,'Size Mapping'!$A$2:$B$19,2,FALSE()),"NOT MAPPED")</f>
        <v>L</v>
      </c>
      <c r="K21" s="6" t="n">
        <v>45</v>
      </c>
      <c r="L21" s="6" t="str">
        <f aca="false">IF(ISBLANK(K21),"Missing",IF(NOT(ISNUMBER(K21)),"Non-numeric",IF(K21&lt;=0,"Invalid (&lt;=0)","OK")))</f>
        <v>OK</v>
      </c>
      <c r="M21" s="6" t="n">
        <v>5</v>
      </c>
      <c r="N21" s="6" t="str">
        <f aca="false">IF(ISBLANK(M21),"Missing",IF(NOT(ISNUMBER(M21)),"Non-numeric",IF(M21&lt;0,"Invalid (negative)","OK")))</f>
        <v>OK</v>
      </c>
      <c r="O21" s="6" t="n">
        <f aca="false">IF(B21="",1,0)+IF(C21="Duplicate SKU",1,0)+IF(D21="",1,0)+IF(LEFT(F21,10)="NOT MAPPED",1,0)+IF(LEFT(J21,10)="NOT MAPPED",1,0)+IF(L21="OK",0,1)+IF(N21="OK",0,1)</f>
        <v>1</v>
      </c>
      <c r="P21" s="8" t="str">
        <f aca="false">IF(RIGHT(IF(B21="","Missing SKU; ","")&amp;IF(C21="Duplicate SKU","Duplicate SKU; ","")&amp;IF(D21="","Missing Product Name; ","")&amp;IF(LEFT(F21,10)="NOT MAPPED","Invalid Category ("&amp;E21&amp;"); ","")&amp;IF(LEFT(J21,10)="NOT MAPPED","Invalid Size ("&amp;I21&amp;"); ","")&amp;IF(L21&lt;&gt;"OK","Invalid Price ("&amp;L21&amp;"); ","")&amp;IF(N21&lt;&gt;"OK","Invalid Stock ("&amp;N21&amp;"); ",""),2)="; ",LEFT(IF(B21="","Missing SKU; ","")&amp;IF(C21="Duplicate SKU","Duplicate SKU; ","")&amp;IF(D21="","Missing Product Name; ","")&amp;IF(LEFT(F21,10)="NOT MAPPED","Invalid Category ("&amp;E21&amp;"); ","")&amp;IF(LEFT(J21,10)="NOT MAPPED","Invalid Size ("&amp;I21&amp;"); ","")&amp;IF(L21&lt;&gt;"OK","Invalid Price ("&amp;L21&amp;"); ","")&amp;IF(N21&lt;&gt;"OK","Invalid Stock ("&amp;N21&amp;"); ",""),LEN(IF(B21="","Missing SKU; ","")&amp;IF(C21="Duplicate SKU","Duplicate SKU; ","")&amp;IF(D21="","Missing Product Name; ","")&amp;IF(LEFT(F21,10)="NOT MAPPED","Invalid Category ("&amp;E21&amp;"); ","")&amp;IF(LEFT(J21,10)="NOT MAPPED","Invalid Size ("&amp;I21&amp;"); ","")&amp;IF(L21&lt;&gt;"OK","Invalid Price ("&amp;L21&amp;"); ","")&amp;IF(N21&lt;&gt;"OK","Invalid Stock ("&amp;N21&amp;"); ",""))-2),IF(B21="","Missing SKU; ","")&amp;IF(C21="Duplicate SKU","Duplicate SKU; ","")&amp;IF(D21="","Missing Product Name; ","")&amp;IF(LEFT(F21,10)="NOT MAPPED","Invalid Category ("&amp;E21&amp;"); ","")&amp;IF(LEFT(J21,10)="NOT MAPPED","Invalid Size ("&amp;I21&amp;"); ","")&amp;IF(L21&lt;&gt;"OK","Invalid Price ("&amp;L21&amp;"); ","")&amp;IF(N21&lt;&gt;"OK","Invalid Stock ("&amp;N21&amp;"); ",""))</f>
        <v>Duplicate SKU</v>
      </c>
      <c r="Q21" s="6" t="str">
        <f aca="false">IF(O21=0,"Ready to List",IF(O21=1,"Needs Review","Incomplete"))</f>
        <v>Needs Review</v>
      </c>
    </row>
    <row r="22" customFormat="false" ht="15" hidden="false" customHeight="false" outlineLevel="0" collapsed="false">
      <c r="A22" s="6" t="n">
        <v>25</v>
      </c>
      <c r="B22" s="6" t="s">
        <v>111</v>
      </c>
      <c r="C22" s="6" t="str">
        <f aca="false">IF(B22="","",IF(COUNTIF($B$2:$B$50,B22)&gt;1,"Duplicate SKU",""))</f>
        <v/>
      </c>
      <c r="D22" s="7" t="s">
        <v>68</v>
      </c>
      <c r="E22" s="7" t="s">
        <v>6</v>
      </c>
      <c r="F22" s="7" t="str">
        <f aca="false">IFERROR(VLOOKUP(E22,'Category Mapping'!$A$2:$B$23,2,FALSE()),"NOT MAPPED")</f>
        <v>Hijab</v>
      </c>
      <c r="G22" s="7" t="s">
        <v>112</v>
      </c>
      <c r="H22" s="7" t="str">
        <f aca="false">IF(TRIM(G22)="","",PROPER(TRIM(G22)))</f>
        <v>Ivory</v>
      </c>
      <c r="I22" s="6" t="s">
        <v>29</v>
      </c>
      <c r="J22" s="6" t="str">
        <f aca="false">IFERROR(VLOOKUP(I22,'Size Mapping'!$A$2:$B$19,2,FALSE()),"NOT MAPPED")</f>
        <v>All Size</v>
      </c>
      <c r="K22" s="6" t="n">
        <v>12.5</v>
      </c>
      <c r="L22" s="6" t="str">
        <f aca="false">IF(ISBLANK(K22),"Missing",IF(NOT(ISNUMBER(K22)),"Non-numeric",IF(K22&lt;=0,"Invalid (&lt;=0)","OK")))</f>
        <v>OK</v>
      </c>
      <c r="M22" s="6" t="n">
        <v>20</v>
      </c>
      <c r="N22" s="6" t="str">
        <f aca="false">IF(ISBLANK(M22),"Missing",IF(NOT(ISNUMBER(M22)),"Non-numeric",IF(M22&lt;0,"Invalid (negative)","OK")))</f>
        <v>OK</v>
      </c>
      <c r="O22" s="6" t="n">
        <f aca="false">IF(B22="",1,0)+IF(C22="Duplicate SKU",1,0)+IF(D22="",1,0)+IF(LEFT(F22,10)="NOT MAPPED",1,0)+IF(LEFT(J22,10)="NOT MAPPED",1,0)+IF(L22="OK",0,1)+IF(N22="OK",0,1)</f>
        <v>0</v>
      </c>
      <c r="P22" s="8" t="str">
        <f aca="false">IF(RIGHT(IF(B22="","Missing SKU; ","")&amp;IF(C22="Duplicate SKU","Duplicate SKU; ","")&amp;IF(D22="","Missing Product Name; ","")&amp;IF(LEFT(F22,10)="NOT MAPPED","Invalid Category ("&amp;E22&amp;"); ","")&amp;IF(LEFT(J22,10)="NOT MAPPED","Invalid Size ("&amp;I22&amp;"); ","")&amp;IF(L22&lt;&gt;"OK","Invalid Price ("&amp;L22&amp;"); ","")&amp;IF(N22&lt;&gt;"OK","Invalid Stock ("&amp;N22&amp;"); ",""),2)="; ",LEFT(IF(B22="","Missing SKU; ","")&amp;IF(C22="Duplicate SKU","Duplicate SKU; ","")&amp;IF(D22="","Missing Product Name; ","")&amp;IF(LEFT(F22,10)="NOT MAPPED","Invalid Category ("&amp;E22&amp;"); ","")&amp;IF(LEFT(J22,10)="NOT MAPPED","Invalid Size ("&amp;I22&amp;"); ","")&amp;IF(L22&lt;&gt;"OK","Invalid Price ("&amp;L22&amp;"); ","")&amp;IF(N22&lt;&gt;"OK","Invalid Stock ("&amp;N22&amp;"); ",""),LEN(IF(B22="","Missing SKU; ","")&amp;IF(C22="Duplicate SKU","Duplicate SKU; ","")&amp;IF(D22="","Missing Product Name; ","")&amp;IF(LEFT(F22,10)="NOT MAPPED","Invalid Category ("&amp;E22&amp;"); ","")&amp;IF(LEFT(J22,10)="NOT MAPPED","Invalid Size ("&amp;I22&amp;"); ","")&amp;IF(L22&lt;&gt;"OK","Invalid Price ("&amp;L22&amp;"); ","")&amp;IF(N22&lt;&gt;"OK","Invalid Stock ("&amp;N22&amp;"); ",""))-2),IF(B22="","Missing SKU; ","")&amp;IF(C22="Duplicate SKU","Duplicate SKU; ","")&amp;IF(D22="","Missing Product Name; ","")&amp;IF(LEFT(F22,10)="NOT MAPPED","Invalid Category ("&amp;E22&amp;"); ","")&amp;IF(LEFT(J22,10)="NOT MAPPED","Invalid Size ("&amp;I22&amp;"); ","")&amp;IF(L22&lt;&gt;"OK","Invalid Price ("&amp;L22&amp;"); ","")&amp;IF(N22&lt;&gt;"OK","Invalid Stock ("&amp;N22&amp;"); ",""))</f>
        <v/>
      </c>
      <c r="Q22" s="6" t="str">
        <f aca="false">IF(O22=0,"Ready to List",IF(O22=1,"Needs Review","Incomplete"))</f>
        <v>Ready to List</v>
      </c>
    </row>
    <row r="23" customFormat="false" ht="15" hidden="false" customHeight="false" outlineLevel="0" collapsed="false">
      <c r="A23" s="6" t="n">
        <v>26</v>
      </c>
      <c r="B23" s="6" t="s">
        <v>113</v>
      </c>
      <c r="C23" s="6" t="str">
        <f aca="false">IF(B23="","",IF(COUNTIF($B$2:$B$50,B23)&gt;1,"Duplicate SKU",""))</f>
        <v/>
      </c>
      <c r="D23" s="7" t="s">
        <v>114</v>
      </c>
      <c r="E23" s="7" t="s">
        <v>11</v>
      </c>
      <c r="F23" s="7" t="str">
        <f aca="false">IFERROR(VLOOKUP(E23,'Category Mapping'!$A$2:$B$23,2,FALSE()),"NOT MAPPED")</f>
        <v>Accessories</v>
      </c>
      <c r="G23" s="7" t="s">
        <v>115</v>
      </c>
      <c r="H23" s="7" t="str">
        <f aca="false">IF(TRIM(G23)="","",PROPER(TRIM(G23)))</f>
        <v>Nude</v>
      </c>
      <c r="I23" s="6" t="s">
        <v>33</v>
      </c>
      <c r="J23" s="6" t="str">
        <f aca="false">IFERROR(VLOOKUP(I23,'Size Mapping'!$A$2:$B$19,2,FALSE()),"NOT MAPPED")</f>
        <v>All Size</v>
      </c>
      <c r="K23" s="6" t="n">
        <v>4.5</v>
      </c>
      <c r="L23" s="6" t="str">
        <f aca="false">IF(ISBLANK(K23),"Missing",IF(NOT(ISNUMBER(K23)),"Non-numeric",IF(K23&lt;=0,"Invalid (&lt;=0)","OK")))</f>
        <v>OK</v>
      </c>
      <c r="M23" s="6" t="n">
        <v>22</v>
      </c>
      <c r="N23" s="6" t="str">
        <f aca="false">IF(ISBLANK(M23),"Missing",IF(NOT(ISNUMBER(M23)),"Non-numeric",IF(M23&lt;0,"Invalid (negative)","OK")))</f>
        <v>OK</v>
      </c>
      <c r="O23" s="6" t="n">
        <f aca="false">IF(B23="",1,0)+IF(C23="Duplicate SKU",1,0)+IF(D23="",1,0)+IF(LEFT(F23,10)="NOT MAPPED",1,0)+IF(LEFT(J23,10)="NOT MAPPED",1,0)+IF(L23="OK",0,1)+IF(N23="OK",0,1)</f>
        <v>0</v>
      </c>
      <c r="P23" s="8" t="str">
        <f aca="false">IF(RIGHT(IF(B23="","Missing SKU; ","")&amp;IF(C23="Duplicate SKU","Duplicate SKU; ","")&amp;IF(D23="","Missing Product Name; ","")&amp;IF(LEFT(F23,10)="NOT MAPPED","Invalid Category ("&amp;E23&amp;"); ","")&amp;IF(LEFT(J23,10)="NOT MAPPED","Invalid Size ("&amp;I23&amp;"); ","")&amp;IF(L23&lt;&gt;"OK","Invalid Price ("&amp;L23&amp;"); ","")&amp;IF(N23&lt;&gt;"OK","Invalid Stock ("&amp;N23&amp;"); ",""),2)="; ",LEFT(IF(B23="","Missing SKU; ","")&amp;IF(C23="Duplicate SKU","Duplicate SKU; ","")&amp;IF(D23="","Missing Product Name; ","")&amp;IF(LEFT(F23,10)="NOT MAPPED","Invalid Category ("&amp;E23&amp;"); ","")&amp;IF(LEFT(J23,10)="NOT MAPPED","Invalid Size ("&amp;I23&amp;"); ","")&amp;IF(L23&lt;&gt;"OK","Invalid Price ("&amp;L23&amp;"); ","")&amp;IF(N23&lt;&gt;"OK","Invalid Stock ("&amp;N23&amp;"); ",""),LEN(IF(B23="","Missing SKU; ","")&amp;IF(C23="Duplicate SKU","Duplicate SKU; ","")&amp;IF(D23="","Missing Product Name; ","")&amp;IF(LEFT(F23,10)="NOT MAPPED","Invalid Category ("&amp;E23&amp;"); ","")&amp;IF(LEFT(J23,10)="NOT MAPPED","Invalid Size ("&amp;I23&amp;"); ","")&amp;IF(L23&lt;&gt;"OK","Invalid Price ("&amp;L23&amp;"); ","")&amp;IF(N23&lt;&gt;"OK","Invalid Stock ("&amp;N23&amp;"); ",""))-2),IF(B23="","Missing SKU; ","")&amp;IF(C23="Duplicate SKU","Duplicate SKU; ","")&amp;IF(D23="","Missing Product Name; ","")&amp;IF(LEFT(F23,10)="NOT MAPPED","Invalid Category ("&amp;E23&amp;"); ","")&amp;IF(LEFT(J23,10)="NOT MAPPED","Invalid Size ("&amp;I23&amp;"); ","")&amp;IF(L23&lt;&gt;"OK","Invalid Price ("&amp;L23&amp;"); ","")&amp;IF(N23&lt;&gt;"OK","Invalid Stock ("&amp;N23&amp;"); ",""))</f>
        <v/>
      </c>
      <c r="Q23" s="6" t="str">
        <f aca="false">IF(O23=0,"Ready to List",IF(O23=1,"Needs Review","Incomplete"))</f>
        <v>Ready to List</v>
      </c>
    </row>
    <row r="24" customFormat="false" ht="15" hidden="false" customHeight="false" outlineLevel="0" collapsed="false">
      <c r="A24" s="6" t="n">
        <v>27</v>
      </c>
      <c r="B24" s="6" t="s">
        <v>116</v>
      </c>
      <c r="C24" s="6" t="str">
        <f aca="false">IF(B24="","",IF(COUNTIF($B$2:$B$50,B24)&gt;1,"Duplicate SKU",""))</f>
        <v/>
      </c>
      <c r="D24" s="7" t="s">
        <v>117</v>
      </c>
      <c r="E24" s="7" t="s">
        <v>20</v>
      </c>
      <c r="F24" s="7" t="str">
        <f aca="false">IFERROR(VLOOKUP(E24,'Category Mapping'!$A$2:$B$23,2,FALSE()),"NOT MAPPED")</f>
        <v>NOT MAPPED - INVALID</v>
      </c>
      <c r="G24" s="7" t="s">
        <v>118</v>
      </c>
      <c r="H24" s="7" t="str">
        <f aca="false">IF(TRIM(G24)="","",PROPER(TRIM(G24)))</f>
        <v>Mustard</v>
      </c>
      <c r="I24" s="6" t="s">
        <v>38</v>
      </c>
      <c r="J24" s="6" t="str">
        <f aca="false">IFERROR(VLOOKUP(I24,'Size Mapping'!$A$2:$B$19,2,FALSE()),"NOT MAPPED")</f>
        <v>All Size</v>
      </c>
      <c r="K24" s="6" t="n">
        <v>9.5</v>
      </c>
      <c r="L24" s="6" t="str">
        <f aca="false">IF(ISBLANK(K24),"Missing",IF(NOT(ISNUMBER(K24)),"Non-numeric",IF(K24&lt;=0,"Invalid (&lt;=0)","OK")))</f>
        <v>OK</v>
      </c>
      <c r="M24" s="6" t="n">
        <v>31</v>
      </c>
      <c r="N24" s="6" t="str">
        <f aca="false">IF(ISBLANK(M24),"Missing",IF(NOT(ISNUMBER(M24)),"Non-numeric",IF(M24&lt;0,"Invalid (negative)","OK")))</f>
        <v>OK</v>
      </c>
      <c r="O24" s="6" t="n">
        <f aca="false">IF(B24="",1,0)+IF(C24="Duplicate SKU",1,0)+IF(D24="",1,0)+IF(LEFT(F24,10)="NOT MAPPED",1,0)+IF(LEFT(J24,10)="NOT MAPPED",1,0)+IF(L24="OK",0,1)+IF(N24="OK",0,1)</f>
        <v>1</v>
      </c>
      <c r="P24" s="8" t="str">
        <f aca="false">IF(RIGHT(IF(B24="","Missing SKU; ","")&amp;IF(C24="Duplicate SKU","Duplicate SKU; ","")&amp;IF(D24="","Missing Product Name; ","")&amp;IF(LEFT(F24,10)="NOT MAPPED","Invalid Category ("&amp;E24&amp;"); ","")&amp;IF(LEFT(J24,10)="NOT MAPPED","Invalid Size ("&amp;I24&amp;"); ","")&amp;IF(L24&lt;&gt;"OK","Invalid Price ("&amp;L24&amp;"); ","")&amp;IF(N24&lt;&gt;"OK","Invalid Stock ("&amp;N24&amp;"); ",""),2)="; ",LEFT(IF(B24="","Missing SKU; ","")&amp;IF(C24="Duplicate SKU","Duplicate SKU; ","")&amp;IF(D24="","Missing Product Name; ","")&amp;IF(LEFT(F24,10)="NOT MAPPED","Invalid Category ("&amp;E24&amp;"); ","")&amp;IF(LEFT(J24,10)="NOT MAPPED","Invalid Size ("&amp;I24&amp;"); ","")&amp;IF(L24&lt;&gt;"OK","Invalid Price ("&amp;L24&amp;"); ","")&amp;IF(N24&lt;&gt;"OK","Invalid Stock ("&amp;N24&amp;"); ",""),LEN(IF(B24="","Missing SKU; ","")&amp;IF(C24="Duplicate SKU","Duplicate SKU; ","")&amp;IF(D24="","Missing Product Name; ","")&amp;IF(LEFT(F24,10)="NOT MAPPED","Invalid Category ("&amp;E24&amp;"); ","")&amp;IF(LEFT(J24,10)="NOT MAPPED","Invalid Size ("&amp;I24&amp;"); ","")&amp;IF(L24&lt;&gt;"OK","Invalid Price ("&amp;L24&amp;"); ","")&amp;IF(N24&lt;&gt;"OK","Invalid Stock ("&amp;N24&amp;"); ",""))-2),IF(B24="","Missing SKU; ","")&amp;IF(C24="Duplicate SKU","Duplicate SKU; ","")&amp;IF(D24="","Missing Product Name; ","")&amp;IF(LEFT(F24,10)="NOT MAPPED","Invalid Category ("&amp;E24&amp;"); ","")&amp;IF(LEFT(J24,10)="NOT MAPPED","Invalid Size ("&amp;I24&amp;"); ","")&amp;IF(L24&lt;&gt;"OK","Invalid Price ("&amp;L24&amp;"); ","")&amp;IF(N24&lt;&gt;"OK","Invalid Stock ("&amp;N24&amp;"); ",""))</f>
        <v>Invalid Category (Misc)</v>
      </c>
      <c r="Q24" s="6" t="str">
        <f aca="false">IF(O24=0,"Ready to List",IF(O24=1,"Needs Review","Incomplete"))</f>
        <v>Needs Review</v>
      </c>
    </row>
    <row r="25" customFormat="false" ht="15" hidden="false" customHeight="false" outlineLevel="0" collapsed="false">
      <c r="A25" s="6" t="n">
        <v>28</v>
      </c>
      <c r="B25" s="6" t="s">
        <v>119</v>
      </c>
      <c r="C25" s="6" t="str">
        <f aca="false">IF(B25="","",IF(COUNTIF($B$2:$B$50,B25)&gt;1,"Duplicate SKU",""))</f>
        <v/>
      </c>
      <c r="D25" s="7" t="s">
        <v>117</v>
      </c>
      <c r="E25" s="7" t="s">
        <v>18</v>
      </c>
      <c r="F25" s="7" t="str">
        <f aca="false">IFERROR(VLOOKUP(E25,'Category Mapping'!$A$2:$B$23,2,FALSE()),"NOT MAPPED")</f>
        <v>Hijab</v>
      </c>
      <c r="G25" s="7" t="s">
        <v>120</v>
      </c>
      <c r="H25" s="7" t="str">
        <f aca="false">IF(TRIM(G25)="","",PROPER(TRIM(G25)))</f>
        <v>Sage Green</v>
      </c>
      <c r="I25" s="6" t="s">
        <v>38</v>
      </c>
      <c r="J25" s="6" t="str">
        <f aca="false">IFERROR(VLOOKUP(I25,'Size Mapping'!$A$2:$B$19,2,FALSE()),"NOT MAPPED")</f>
        <v>All Size</v>
      </c>
      <c r="K25" s="6" t="n">
        <v>9.5</v>
      </c>
      <c r="L25" s="6" t="str">
        <f aca="false">IF(ISBLANK(K25),"Missing",IF(NOT(ISNUMBER(K25)),"Non-numeric",IF(K25&lt;=0,"Invalid (&lt;=0)","OK")))</f>
        <v>OK</v>
      </c>
      <c r="M25" s="6" t="n">
        <v>27</v>
      </c>
      <c r="N25" s="6" t="str">
        <f aca="false">IF(ISBLANK(M25),"Missing",IF(NOT(ISNUMBER(M25)),"Non-numeric",IF(M25&lt;0,"Invalid (negative)","OK")))</f>
        <v>OK</v>
      </c>
      <c r="O25" s="6" t="n">
        <f aca="false">IF(B25="",1,0)+IF(C25="Duplicate SKU",1,0)+IF(D25="",1,0)+IF(LEFT(F25,10)="NOT MAPPED",1,0)+IF(LEFT(J25,10)="NOT MAPPED",1,0)+IF(L25="OK",0,1)+IF(N25="OK",0,1)</f>
        <v>0</v>
      </c>
      <c r="P25" s="8" t="str">
        <f aca="false">IF(RIGHT(IF(B25="","Missing SKU; ","")&amp;IF(C25="Duplicate SKU","Duplicate SKU; ","")&amp;IF(D25="","Missing Product Name; ","")&amp;IF(LEFT(F25,10)="NOT MAPPED","Invalid Category ("&amp;E25&amp;"); ","")&amp;IF(LEFT(J25,10)="NOT MAPPED","Invalid Size ("&amp;I25&amp;"); ","")&amp;IF(L25&lt;&gt;"OK","Invalid Price ("&amp;L25&amp;"); ","")&amp;IF(N25&lt;&gt;"OK","Invalid Stock ("&amp;N25&amp;"); ",""),2)="; ",LEFT(IF(B25="","Missing SKU; ","")&amp;IF(C25="Duplicate SKU","Duplicate SKU; ","")&amp;IF(D25="","Missing Product Name; ","")&amp;IF(LEFT(F25,10)="NOT MAPPED","Invalid Category ("&amp;E25&amp;"); ","")&amp;IF(LEFT(J25,10)="NOT MAPPED","Invalid Size ("&amp;I25&amp;"); ","")&amp;IF(L25&lt;&gt;"OK","Invalid Price ("&amp;L25&amp;"); ","")&amp;IF(N25&lt;&gt;"OK","Invalid Stock ("&amp;N25&amp;"); ",""),LEN(IF(B25="","Missing SKU; ","")&amp;IF(C25="Duplicate SKU","Duplicate SKU; ","")&amp;IF(D25="","Missing Product Name; ","")&amp;IF(LEFT(F25,10)="NOT MAPPED","Invalid Category ("&amp;E25&amp;"); ","")&amp;IF(LEFT(J25,10)="NOT MAPPED","Invalid Size ("&amp;I25&amp;"); ","")&amp;IF(L25&lt;&gt;"OK","Invalid Price ("&amp;L25&amp;"); ","")&amp;IF(N25&lt;&gt;"OK","Invalid Stock ("&amp;N25&amp;"); ",""))-2),IF(B25="","Missing SKU; ","")&amp;IF(C25="Duplicate SKU","Duplicate SKU; ","")&amp;IF(D25="","Missing Product Name; ","")&amp;IF(LEFT(F25,10)="NOT MAPPED","Invalid Category ("&amp;E25&amp;"); ","")&amp;IF(LEFT(J25,10)="NOT MAPPED","Invalid Size ("&amp;I25&amp;"); ","")&amp;IF(L25&lt;&gt;"OK","Invalid Price ("&amp;L25&amp;"); ","")&amp;IF(N25&lt;&gt;"OK","Invalid Stock ("&amp;N25&amp;"); ",""))</f>
        <v/>
      </c>
      <c r="Q25" s="6" t="str">
        <f aca="false">IF(O25=0,"Ready to List",IF(O25=1,"Needs Review","Incomplete"))</f>
        <v>Ready to List</v>
      </c>
    </row>
    <row r="26" customFormat="false" ht="15" hidden="false" customHeight="false" outlineLevel="0" collapsed="false">
      <c r="A26" s="6" t="n">
        <v>29</v>
      </c>
      <c r="B26" s="6" t="s">
        <v>121</v>
      </c>
      <c r="C26" s="6" t="str">
        <f aca="false">IF(B26="","",IF(COUNTIF($B$2:$B$50,B26)&gt;1,"Duplicate SKU",""))</f>
        <v/>
      </c>
      <c r="D26" s="7" t="s">
        <v>122</v>
      </c>
      <c r="E26" s="7" t="s">
        <v>10</v>
      </c>
      <c r="F26" s="7" t="str">
        <f aca="false">IFERROR(VLOOKUP(E26,'Category Mapping'!$A$2:$B$23,2,FALSE()),"NOT MAPPED")</f>
        <v>Hijab</v>
      </c>
      <c r="G26" s="7" t="s">
        <v>123</v>
      </c>
      <c r="H26" s="7" t="str">
        <f aca="false">IF(TRIM(G26)="","",PROPER(TRIM(G26)))</f>
        <v>Blue</v>
      </c>
      <c r="I26" s="6" t="s">
        <v>30</v>
      </c>
      <c r="J26" s="6" t="str">
        <f aca="false">IFERROR(VLOOKUP(I26,'Size Mapping'!$A$2:$B$19,2,FALSE()),"NOT MAPPED")</f>
        <v>All Size</v>
      </c>
      <c r="K26" s="6" t="s">
        <v>124</v>
      </c>
      <c r="L26" s="6" t="str">
        <f aca="false">IF(ISBLANK(K26),"Missing",IF(NOT(ISNUMBER(K26)),"Non-numeric",IF(K26&lt;=0,"Invalid (&lt;=0)","OK")))</f>
        <v>Non-numeric</v>
      </c>
      <c r="M26" s="6" t="n">
        <v>16</v>
      </c>
      <c r="N26" s="6" t="str">
        <f aca="false">IF(ISBLANK(M26),"Missing",IF(NOT(ISNUMBER(M26)),"Non-numeric",IF(M26&lt;0,"Invalid (negative)","OK")))</f>
        <v>OK</v>
      </c>
      <c r="O26" s="6" t="n">
        <f aca="false">IF(B26="",1,0)+IF(C26="Duplicate SKU",1,0)+IF(D26="",1,0)+IF(LEFT(F26,10)="NOT MAPPED",1,0)+IF(LEFT(J26,10)="NOT MAPPED",1,0)+IF(L26="OK",0,1)+IF(N26="OK",0,1)</f>
        <v>1</v>
      </c>
      <c r="P26" s="8" t="str">
        <f aca="false">IF(RIGHT(IF(B26="","Missing SKU; ","")&amp;IF(C26="Duplicate SKU","Duplicate SKU; ","")&amp;IF(D26="","Missing Product Name; ","")&amp;IF(LEFT(F26,10)="NOT MAPPED","Invalid Category ("&amp;E26&amp;"); ","")&amp;IF(LEFT(J26,10)="NOT MAPPED","Invalid Size ("&amp;I26&amp;"); ","")&amp;IF(L26&lt;&gt;"OK","Invalid Price ("&amp;L26&amp;"); ","")&amp;IF(N26&lt;&gt;"OK","Invalid Stock ("&amp;N26&amp;"); ",""),2)="; ",LEFT(IF(B26="","Missing SKU; ","")&amp;IF(C26="Duplicate SKU","Duplicate SKU; ","")&amp;IF(D26="","Missing Product Name; ","")&amp;IF(LEFT(F26,10)="NOT MAPPED","Invalid Category ("&amp;E26&amp;"); ","")&amp;IF(LEFT(J26,10)="NOT MAPPED","Invalid Size ("&amp;I26&amp;"); ","")&amp;IF(L26&lt;&gt;"OK","Invalid Price ("&amp;L26&amp;"); ","")&amp;IF(N26&lt;&gt;"OK","Invalid Stock ("&amp;N26&amp;"); ",""),LEN(IF(B26="","Missing SKU; ","")&amp;IF(C26="Duplicate SKU","Duplicate SKU; ","")&amp;IF(D26="","Missing Product Name; ","")&amp;IF(LEFT(F26,10)="NOT MAPPED","Invalid Category ("&amp;E26&amp;"); ","")&amp;IF(LEFT(J26,10)="NOT MAPPED","Invalid Size ("&amp;I26&amp;"); ","")&amp;IF(L26&lt;&gt;"OK","Invalid Price ("&amp;L26&amp;"); ","")&amp;IF(N26&lt;&gt;"OK","Invalid Stock ("&amp;N26&amp;"); ",""))-2),IF(B26="","Missing SKU; ","")&amp;IF(C26="Duplicate SKU","Duplicate SKU; ","")&amp;IF(D26="","Missing Product Name; ","")&amp;IF(LEFT(F26,10)="NOT MAPPED","Invalid Category ("&amp;E26&amp;"); ","")&amp;IF(LEFT(J26,10)="NOT MAPPED","Invalid Size ("&amp;I26&amp;"); ","")&amp;IF(L26&lt;&gt;"OK","Invalid Price ("&amp;L26&amp;"); ","")&amp;IF(N26&lt;&gt;"OK","Invalid Stock ("&amp;N26&amp;"); ",""))</f>
        <v>Invalid Price (Non-numeric)</v>
      </c>
      <c r="Q26" s="6" t="str">
        <f aca="false">IF(O26=0,"Ready to List",IF(O26=1,"Needs Review","Incomplete"))</f>
        <v>Needs Review</v>
      </c>
    </row>
    <row r="27" customFormat="false" ht="15" hidden="false" customHeight="false" outlineLevel="0" collapsed="false">
      <c r="A27" s="6" t="n">
        <v>30</v>
      </c>
      <c r="B27" s="6" t="s">
        <v>125</v>
      </c>
      <c r="C27" s="6" t="str">
        <f aca="false">IF(B27="","",IF(COUNTIF($B$2:$B$50,B27)&gt;1,"Duplicate SKU",""))</f>
        <v/>
      </c>
      <c r="D27" s="7" t="s">
        <v>68</v>
      </c>
      <c r="E27" s="7" t="s">
        <v>18</v>
      </c>
      <c r="F27" s="7" t="str">
        <f aca="false">IFERROR(VLOOKUP(E27,'Category Mapping'!$A$2:$B$23,2,FALSE()),"NOT MAPPED")</f>
        <v>Hijab</v>
      </c>
      <c r="G27" s="7" t="s">
        <v>126</v>
      </c>
      <c r="H27" s="7" t="str">
        <f aca="false">IF(TRIM(G27)="","",PROPER(TRIM(G27)))</f>
        <v>Mocha Brown</v>
      </c>
      <c r="I27" s="6" t="s">
        <v>38</v>
      </c>
      <c r="J27" s="6" t="str">
        <f aca="false">IFERROR(VLOOKUP(I27,'Size Mapping'!$A$2:$B$19,2,FALSE()),"NOT MAPPED")</f>
        <v>All Size</v>
      </c>
      <c r="K27" s="6" t="n">
        <v>12.5</v>
      </c>
      <c r="L27" s="6" t="str">
        <f aca="false">IF(ISBLANK(K27),"Missing",IF(NOT(ISNUMBER(K27)),"Non-numeric",IF(K27&lt;=0,"Invalid (&lt;=0)","OK")))</f>
        <v>OK</v>
      </c>
      <c r="M27" s="6" t="n">
        <v>28</v>
      </c>
      <c r="N27" s="6" t="str">
        <f aca="false">IF(ISBLANK(M27),"Missing",IF(NOT(ISNUMBER(M27)),"Non-numeric",IF(M27&lt;0,"Invalid (negative)","OK")))</f>
        <v>OK</v>
      </c>
      <c r="O27" s="6" t="n">
        <f aca="false">IF(B27="",1,0)+IF(C27="Duplicate SKU",1,0)+IF(D27="",1,0)+IF(LEFT(F27,10)="NOT MAPPED",1,0)+IF(LEFT(J27,10)="NOT MAPPED",1,0)+IF(L27="OK",0,1)+IF(N27="OK",0,1)</f>
        <v>0</v>
      </c>
      <c r="P27" s="8" t="str">
        <f aca="false">IF(RIGHT(IF(B27="","Missing SKU; ","")&amp;IF(C27="Duplicate SKU","Duplicate SKU; ","")&amp;IF(D27="","Missing Product Name; ","")&amp;IF(LEFT(F27,10)="NOT MAPPED","Invalid Category ("&amp;E27&amp;"); ","")&amp;IF(LEFT(J27,10)="NOT MAPPED","Invalid Size ("&amp;I27&amp;"); ","")&amp;IF(L27&lt;&gt;"OK","Invalid Price ("&amp;L27&amp;"); ","")&amp;IF(N27&lt;&gt;"OK","Invalid Stock ("&amp;N27&amp;"); ",""),2)="; ",LEFT(IF(B27="","Missing SKU; ","")&amp;IF(C27="Duplicate SKU","Duplicate SKU; ","")&amp;IF(D27="","Missing Product Name; ","")&amp;IF(LEFT(F27,10)="NOT MAPPED","Invalid Category ("&amp;E27&amp;"); ","")&amp;IF(LEFT(J27,10)="NOT MAPPED","Invalid Size ("&amp;I27&amp;"); ","")&amp;IF(L27&lt;&gt;"OK","Invalid Price ("&amp;L27&amp;"); ","")&amp;IF(N27&lt;&gt;"OK","Invalid Stock ("&amp;N27&amp;"); ",""),LEN(IF(B27="","Missing SKU; ","")&amp;IF(C27="Duplicate SKU","Duplicate SKU; ","")&amp;IF(D27="","Missing Product Name; ","")&amp;IF(LEFT(F27,10)="NOT MAPPED","Invalid Category ("&amp;E27&amp;"); ","")&amp;IF(LEFT(J27,10)="NOT MAPPED","Invalid Size ("&amp;I27&amp;"); ","")&amp;IF(L27&lt;&gt;"OK","Invalid Price ("&amp;L27&amp;"); ","")&amp;IF(N27&lt;&gt;"OK","Invalid Stock ("&amp;N27&amp;"); ",""))-2),IF(B27="","Missing SKU; ","")&amp;IF(C27="Duplicate SKU","Duplicate SKU; ","")&amp;IF(D27="","Missing Product Name; ","")&amp;IF(LEFT(F27,10)="NOT MAPPED","Invalid Category ("&amp;E27&amp;"); ","")&amp;IF(LEFT(J27,10)="NOT MAPPED","Invalid Size ("&amp;I27&amp;"); ","")&amp;IF(L27&lt;&gt;"OK","Invalid Price ("&amp;L27&amp;"); ","")&amp;IF(N27&lt;&gt;"OK","Invalid Stock ("&amp;N27&amp;"); ",""))</f>
        <v/>
      </c>
      <c r="Q27" s="6" t="str">
        <f aca="false">IF(O27=0,"Ready to List",IF(O27=1,"Needs Review","Incomplete"))</f>
        <v>Ready to List</v>
      </c>
    </row>
    <row r="28" customFormat="false" ht="15" hidden="false" customHeight="false" outlineLevel="0" collapsed="false">
      <c r="A28" s="6" t="n">
        <v>31</v>
      </c>
      <c r="B28" s="6" t="s">
        <v>127</v>
      </c>
      <c r="C28" s="6" t="str">
        <f aca="false">IF(B28="","",IF(COUNTIF($B$2:$B$50,B28)&gt;1,"Duplicate SKU",""))</f>
        <v/>
      </c>
      <c r="D28" s="7" t="s">
        <v>85</v>
      </c>
      <c r="E28" s="7" t="s">
        <v>5</v>
      </c>
      <c r="F28" s="7" t="str">
        <f aca="false">IFERROR(VLOOKUP(E28,'Category Mapping'!$A$2:$B$23,2,FALSE()),"NOT MAPPED")</f>
        <v>Prayer Set</v>
      </c>
      <c r="G28" s="7" t="s">
        <v>86</v>
      </c>
      <c r="H28" s="7" t="str">
        <f aca="false">IF(TRIM(G28)="","",PROPER(TRIM(G28)))</f>
        <v>Dusty Pink</v>
      </c>
      <c r="I28" s="6" t="s">
        <v>29</v>
      </c>
      <c r="J28" s="6" t="str">
        <f aca="false">IFERROR(VLOOKUP(I28,'Size Mapping'!$A$2:$B$19,2,FALSE()),"NOT MAPPED")</f>
        <v>All Size</v>
      </c>
      <c r="K28" s="6" t="n">
        <v>28</v>
      </c>
      <c r="L28" s="6" t="str">
        <f aca="false">IF(ISBLANK(K28),"Missing",IF(NOT(ISNUMBER(K28)),"Non-numeric",IF(K28&lt;=0,"Invalid (&lt;=0)","OK")))</f>
        <v>OK</v>
      </c>
      <c r="M28" s="6" t="n">
        <v>12</v>
      </c>
      <c r="N28" s="6" t="str">
        <f aca="false">IF(ISBLANK(M28),"Missing",IF(NOT(ISNUMBER(M28)),"Non-numeric",IF(M28&lt;0,"Invalid (negative)","OK")))</f>
        <v>OK</v>
      </c>
      <c r="O28" s="6" t="n">
        <f aca="false">IF(B28="",1,0)+IF(C28="Duplicate SKU",1,0)+IF(D28="",1,0)+IF(LEFT(F28,10)="NOT MAPPED",1,0)+IF(LEFT(J28,10)="NOT MAPPED",1,0)+IF(L28="OK",0,1)+IF(N28="OK",0,1)</f>
        <v>0</v>
      </c>
      <c r="P28" s="8" t="str">
        <f aca="false">IF(RIGHT(IF(B28="","Missing SKU; ","")&amp;IF(C28="Duplicate SKU","Duplicate SKU; ","")&amp;IF(D28="","Missing Product Name; ","")&amp;IF(LEFT(F28,10)="NOT MAPPED","Invalid Category ("&amp;E28&amp;"); ","")&amp;IF(LEFT(J28,10)="NOT MAPPED","Invalid Size ("&amp;I28&amp;"); ","")&amp;IF(L28&lt;&gt;"OK","Invalid Price ("&amp;L28&amp;"); ","")&amp;IF(N28&lt;&gt;"OK","Invalid Stock ("&amp;N28&amp;"); ",""),2)="; ",LEFT(IF(B28="","Missing SKU; ","")&amp;IF(C28="Duplicate SKU","Duplicate SKU; ","")&amp;IF(D28="","Missing Product Name; ","")&amp;IF(LEFT(F28,10)="NOT MAPPED","Invalid Category ("&amp;E28&amp;"); ","")&amp;IF(LEFT(J28,10)="NOT MAPPED","Invalid Size ("&amp;I28&amp;"); ","")&amp;IF(L28&lt;&gt;"OK","Invalid Price ("&amp;L28&amp;"); ","")&amp;IF(N28&lt;&gt;"OK","Invalid Stock ("&amp;N28&amp;"); ",""),LEN(IF(B28="","Missing SKU; ","")&amp;IF(C28="Duplicate SKU","Duplicate SKU; ","")&amp;IF(D28="","Missing Product Name; ","")&amp;IF(LEFT(F28,10)="NOT MAPPED","Invalid Category ("&amp;E28&amp;"); ","")&amp;IF(LEFT(J28,10)="NOT MAPPED","Invalid Size ("&amp;I28&amp;"); ","")&amp;IF(L28&lt;&gt;"OK","Invalid Price ("&amp;L28&amp;"); ","")&amp;IF(N28&lt;&gt;"OK","Invalid Stock ("&amp;N28&amp;"); ",""))-2),IF(B28="","Missing SKU; ","")&amp;IF(C28="Duplicate SKU","Duplicate SKU; ","")&amp;IF(D28="","Missing Product Name; ","")&amp;IF(LEFT(F28,10)="NOT MAPPED","Invalid Category ("&amp;E28&amp;"); ","")&amp;IF(LEFT(J28,10)="NOT MAPPED","Invalid Size ("&amp;I28&amp;"); ","")&amp;IF(L28&lt;&gt;"OK","Invalid Price ("&amp;L28&amp;"); ","")&amp;IF(N28&lt;&gt;"OK","Invalid Stock ("&amp;N28&amp;"); ",""))</f>
        <v/>
      </c>
      <c r="Q28" s="6" t="str">
        <f aca="false">IF(O28=0,"Ready to List",IF(O28=1,"Needs Review","Incomplete"))</f>
        <v>Ready to List</v>
      </c>
    </row>
    <row r="29" customFormat="false" ht="15" hidden="false" customHeight="false" outlineLevel="0" collapsed="false">
      <c r="A29" s="6" t="n">
        <v>32</v>
      </c>
      <c r="B29" s="6" t="s">
        <v>128</v>
      </c>
      <c r="C29" s="6" t="str">
        <f aca="false">IF(B29="","",IF(COUNTIF($B$2:$B$50,B29)&gt;1,"Duplicate SKU",""))</f>
        <v/>
      </c>
      <c r="D29" s="7" t="s">
        <v>85</v>
      </c>
      <c r="E29" s="7" t="s">
        <v>4</v>
      </c>
      <c r="F29" s="7" t="str">
        <f aca="false">IFERROR(VLOOKUP(E29,'Category Mapping'!$A$2:$B$23,2,FALSE()),"NOT MAPPED")</f>
        <v>Prayer Set</v>
      </c>
      <c r="G29" s="7" t="s">
        <v>106</v>
      </c>
      <c r="H29" s="7" t="str">
        <f aca="false">IF(TRIM(G29)="","",PROPER(TRIM(G29)))</f>
        <v>Cream</v>
      </c>
      <c r="I29" s="6" t="s">
        <v>32</v>
      </c>
      <c r="J29" s="6" t="str">
        <f aca="false">IFERROR(VLOOKUP(I29,'Size Mapping'!$A$2:$B$19,2,FALSE()),"NOT MAPPED")</f>
        <v>All Size</v>
      </c>
      <c r="K29" s="6" t="n">
        <v>0</v>
      </c>
      <c r="L29" s="6" t="str">
        <f aca="false">IF(ISBLANK(K29),"Missing",IF(NOT(ISNUMBER(K29)),"Non-numeric",IF(K29&lt;=0,"Invalid (&lt;=0)","OK")))</f>
        <v>Invalid (&lt;=0)</v>
      </c>
      <c r="M29" s="6" t="n">
        <v>17</v>
      </c>
      <c r="N29" s="6" t="str">
        <f aca="false">IF(ISBLANK(M29),"Missing",IF(NOT(ISNUMBER(M29)),"Non-numeric",IF(M29&lt;0,"Invalid (negative)","OK")))</f>
        <v>OK</v>
      </c>
      <c r="O29" s="6" t="n">
        <f aca="false">IF(B29="",1,0)+IF(C29="Duplicate SKU",1,0)+IF(D29="",1,0)+IF(LEFT(F29,10)="NOT MAPPED",1,0)+IF(LEFT(J29,10)="NOT MAPPED",1,0)+IF(L29="OK",0,1)+IF(N29="OK",0,1)</f>
        <v>1</v>
      </c>
      <c r="P29" s="8" t="str">
        <f aca="false">IF(RIGHT(IF(B29="","Missing SKU; ","")&amp;IF(C29="Duplicate SKU","Duplicate SKU; ","")&amp;IF(D29="","Missing Product Name; ","")&amp;IF(LEFT(F29,10)="NOT MAPPED","Invalid Category ("&amp;E29&amp;"); ","")&amp;IF(LEFT(J29,10)="NOT MAPPED","Invalid Size ("&amp;I29&amp;"); ","")&amp;IF(L29&lt;&gt;"OK","Invalid Price ("&amp;L29&amp;"); ","")&amp;IF(N29&lt;&gt;"OK","Invalid Stock ("&amp;N29&amp;"); ",""),2)="; ",LEFT(IF(B29="","Missing SKU; ","")&amp;IF(C29="Duplicate SKU","Duplicate SKU; ","")&amp;IF(D29="","Missing Product Name; ","")&amp;IF(LEFT(F29,10)="NOT MAPPED","Invalid Category ("&amp;E29&amp;"); ","")&amp;IF(LEFT(J29,10)="NOT MAPPED","Invalid Size ("&amp;I29&amp;"); ","")&amp;IF(L29&lt;&gt;"OK","Invalid Price ("&amp;L29&amp;"); ","")&amp;IF(N29&lt;&gt;"OK","Invalid Stock ("&amp;N29&amp;"); ",""),LEN(IF(B29="","Missing SKU; ","")&amp;IF(C29="Duplicate SKU","Duplicate SKU; ","")&amp;IF(D29="","Missing Product Name; ","")&amp;IF(LEFT(F29,10)="NOT MAPPED","Invalid Category ("&amp;E29&amp;"); ","")&amp;IF(LEFT(J29,10)="NOT MAPPED","Invalid Size ("&amp;I29&amp;"); ","")&amp;IF(L29&lt;&gt;"OK","Invalid Price ("&amp;L29&amp;"); ","")&amp;IF(N29&lt;&gt;"OK","Invalid Stock ("&amp;N29&amp;"); ",""))-2),IF(B29="","Missing SKU; ","")&amp;IF(C29="Duplicate SKU","Duplicate SKU; ","")&amp;IF(D29="","Missing Product Name; ","")&amp;IF(LEFT(F29,10)="NOT MAPPED","Invalid Category ("&amp;E29&amp;"); ","")&amp;IF(LEFT(J29,10)="NOT MAPPED","Invalid Size ("&amp;I29&amp;"); ","")&amp;IF(L29&lt;&gt;"OK","Invalid Price ("&amp;L29&amp;"); ","")&amp;IF(N29&lt;&gt;"OK","Invalid Stock ("&amp;N29&amp;"); ",""))</f>
        <v>Invalid Price (Invalid (&lt;=0))</v>
      </c>
      <c r="Q29" s="6" t="str">
        <f aca="false">IF(O29=0,"Ready to List",IF(O29=1,"Needs Review","Incomplete"))</f>
        <v>Needs Review</v>
      </c>
    </row>
    <row r="30" customFormat="false" ht="15" hidden="false" customHeight="false" outlineLevel="0" collapsed="false">
      <c r="A30" s="6" t="n">
        <v>33</v>
      </c>
      <c r="B30" s="6" t="s">
        <v>129</v>
      </c>
      <c r="C30" s="6" t="str">
        <f aca="false">IF(B30="","",IF(COUNTIF($B$2:$B$50,B30)&gt;1,"Duplicate SKU",""))</f>
        <v/>
      </c>
      <c r="D30" s="7" t="s">
        <v>76</v>
      </c>
      <c r="E30" s="7" t="s">
        <v>22</v>
      </c>
      <c r="F30" s="7" t="str">
        <f aca="false">IFERROR(VLOOKUP(E30,'Category Mapping'!$A$2:$B$23,2,FALSE()),"NOT MAPPED")</f>
        <v>Abaya</v>
      </c>
      <c r="G30" s="7" t="s">
        <v>130</v>
      </c>
      <c r="H30" s="7" t="str">
        <f aca="false">IF(TRIM(G30)="","",PROPER(TRIM(G30)))</f>
        <v>Olive</v>
      </c>
      <c r="I30" s="6" t="s">
        <v>36</v>
      </c>
      <c r="J30" s="6" t="str">
        <f aca="false">IFERROR(VLOOKUP(I30,'Size Mapping'!$A$2:$B$19,2,FALSE()),"NOT MAPPED")</f>
        <v>L</v>
      </c>
      <c r="K30" s="6" t="n">
        <v>24</v>
      </c>
      <c r="L30" s="6" t="str">
        <f aca="false">IF(ISBLANK(K30),"Missing",IF(NOT(ISNUMBER(K30)),"Non-numeric",IF(K30&lt;=0,"Invalid (&lt;=0)","OK")))</f>
        <v>OK</v>
      </c>
      <c r="M30" s="6" t="n">
        <v>6</v>
      </c>
      <c r="N30" s="6" t="str">
        <f aca="false">IF(ISBLANK(M30),"Missing",IF(NOT(ISNUMBER(M30)),"Non-numeric",IF(M30&lt;0,"Invalid (negative)","OK")))</f>
        <v>OK</v>
      </c>
      <c r="O30" s="6" t="n">
        <f aca="false">IF(B30="",1,0)+IF(C30="Duplicate SKU",1,0)+IF(D30="",1,0)+IF(LEFT(F30,10)="NOT MAPPED",1,0)+IF(LEFT(J30,10)="NOT MAPPED",1,0)+IF(L30="OK",0,1)+IF(N30="OK",0,1)</f>
        <v>0</v>
      </c>
      <c r="P30" s="8" t="str">
        <f aca="false">IF(RIGHT(IF(B30="","Missing SKU; ","")&amp;IF(C30="Duplicate SKU","Duplicate SKU; ","")&amp;IF(D30="","Missing Product Name; ","")&amp;IF(LEFT(F30,10)="NOT MAPPED","Invalid Category ("&amp;E30&amp;"); ","")&amp;IF(LEFT(J30,10)="NOT MAPPED","Invalid Size ("&amp;I30&amp;"); ","")&amp;IF(L30&lt;&gt;"OK","Invalid Price ("&amp;L30&amp;"); ","")&amp;IF(N30&lt;&gt;"OK","Invalid Stock ("&amp;N30&amp;"); ",""),2)="; ",LEFT(IF(B30="","Missing SKU; ","")&amp;IF(C30="Duplicate SKU","Duplicate SKU; ","")&amp;IF(D30="","Missing Product Name; ","")&amp;IF(LEFT(F30,10)="NOT MAPPED","Invalid Category ("&amp;E30&amp;"); ","")&amp;IF(LEFT(J30,10)="NOT MAPPED","Invalid Size ("&amp;I30&amp;"); ","")&amp;IF(L30&lt;&gt;"OK","Invalid Price ("&amp;L30&amp;"); ","")&amp;IF(N30&lt;&gt;"OK","Invalid Stock ("&amp;N30&amp;"); ",""),LEN(IF(B30="","Missing SKU; ","")&amp;IF(C30="Duplicate SKU","Duplicate SKU; ","")&amp;IF(D30="","Missing Product Name; ","")&amp;IF(LEFT(F30,10)="NOT MAPPED","Invalid Category ("&amp;E30&amp;"); ","")&amp;IF(LEFT(J30,10)="NOT MAPPED","Invalid Size ("&amp;I30&amp;"); ","")&amp;IF(L30&lt;&gt;"OK","Invalid Price ("&amp;L30&amp;"); ","")&amp;IF(N30&lt;&gt;"OK","Invalid Stock ("&amp;N30&amp;"); ",""))-2),IF(B30="","Missing SKU; ","")&amp;IF(C30="Duplicate SKU","Duplicate SKU; ","")&amp;IF(D30="","Missing Product Name; ","")&amp;IF(LEFT(F30,10)="NOT MAPPED","Invalid Category ("&amp;E30&amp;"); ","")&amp;IF(LEFT(J30,10)="NOT MAPPED","Invalid Size ("&amp;I30&amp;"); ","")&amp;IF(L30&lt;&gt;"OK","Invalid Price ("&amp;L30&amp;"); ","")&amp;IF(N30&lt;&gt;"OK","Invalid Stock ("&amp;N30&amp;"); ",""))</f>
        <v/>
      </c>
      <c r="Q30" s="6" t="str">
        <f aca="false">IF(O30=0,"Ready to List",IF(O30=1,"Needs Review","Incomplete"))</f>
        <v>Ready to List</v>
      </c>
    </row>
    <row r="31" customFormat="false" ht="15" hidden="false" customHeight="false" outlineLevel="0" collapsed="false">
      <c r="A31" s="6" t="n">
        <v>34</v>
      </c>
      <c r="B31" s="6" t="s">
        <v>131</v>
      </c>
      <c r="C31" s="6" t="str">
        <f aca="false">IF(B31="","",IF(COUNTIF($B$2:$B$50,B31)&gt;1,"Duplicate SKU",""))</f>
        <v/>
      </c>
      <c r="D31" s="7" t="s">
        <v>132</v>
      </c>
      <c r="E31" s="7" t="s">
        <v>7</v>
      </c>
      <c r="F31" s="7" t="str">
        <f aca="false">IFERROR(VLOOKUP(E31,'Category Mapping'!$A$2:$B$23,2,FALSE()),"NOT MAPPED")</f>
        <v>Hijab</v>
      </c>
      <c r="G31" s="7" t="s">
        <v>86</v>
      </c>
      <c r="H31" s="7" t="str">
        <f aca="false">IF(TRIM(G31)="","",PROPER(TRIM(G31)))</f>
        <v>Dusty Pink</v>
      </c>
      <c r="I31" s="6" t="s">
        <v>28</v>
      </c>
      <c r="J31" s="6" t="str">
        <f aca="false">IFERROR(VLOOKUP(I31,'Size Mapping'!$A$2:$B$19,2,FALSE()),"NOT MAPPED")</f>
        <v>All Size</v>
      </c>
      <c r="K31" s="6" t="n">
        <v>12.5</v>
      </c>
      <c r="L31" s="6" t="str">
        <f aca="false">IF(ISBLANK(K31),"Missing",IF(NOT(ISNUMBER(K31)),"Non-numeric",IF(K31&lt;=0,"Invalid (&lt;=0)","OK")))</f>
        <v>OK</v>
      </c>
      <c r="M31" s="6" t="n">
        <v>34</v>
      </c>
      <c r="N31" s="6" t="str">
        <f aca="false">IF(ISBLANK(M31),"Missing",IF(NOT(ISNUMBER(M31)),"Non-numeric",IF(M31&lt;0,"Invalid (negative)","OK")))</f>
        <v>OK</v>
      </c>
      <c r="O31" s="6" t="n">
        <f aca="false">IF(B31="",1,0)+IF(C31="Duplicate SKU",1,0)+IF(D31="",1,0)+IF(LEFT(F31,10)="NOT MAPPED",1,0)+IF(LEFT(J31,10)="NOT MAPPED",1,0)+IF(L31="OK",0,1)+IF(N31="OK",0,1)</f>
        <v>0</v>
      </c>
      <c r="P31" s="8" t="str">
        <f aca="false">IF(RIGHT(IF(B31="","Missing SKU; ","")&amp;IF(C31="Duplicate SKU","Duplicate SKU; ","")&amp;IF(D31="","Missing Product Name; ","")&amp;IF(LEFT(F31,10)="NOT MAPPED","Invalid Category ("&amp;E31&amp;"); ","")&amp;IF(LEFT(J31,10)="NOT MAPPED","Invalid Size ("&amp;I31&amp;"); ","")&amp;IF(L31&lt;&gt;"OK","Invalid Price ("&amp;L31&amp;"); ","")&amp;IF(N31&lt;&gt;"OK","Invalid Stock ("&amp;N31&amp;"); ",""),2)="; ",LEFT(IF(B31="","Missing SKU; ","")&amp;IF(C31="Duplicate SKU","Duplicate SKU; ","")&amp;IF(D31="","Missing Product Name; ","")&amp;IF(LEFT(F31,10)="NOT MAPPED","Invalid Category ("&amp;E31&amp;"); ","")&amp;IF(LEFT(J31,10)="NOT MAPPED","Invalid Size ("&amp;I31&amp;"); ","")&amp;IF(L31&lt;&gt;"OK","Invalid Price ("&amp;L31&amp;"); ","")&amp;IF(N31&lt;&gt;"OK","Invalid Stock ("&amp;N31&amp;"); ",""),LEN(IF(B31="","Missing SKU; ","")&amp;IF(C31="Duplicate SKU","Duplicate SKU; ","")&amp;IF(D31="","Missing Product Name; ","")&amp;IF(LEFT(F31,10)="NOT MAPPED","Invalid Category ("&amp;E31&amp;"); ","")&amp;IF(LEFT(J31,10)="NOT MAPPED","Invalid Size ("&amp;I31&amp;"); ","")&amp;IF(L31&lt;&gt;"OK","Invalid Price ("&amp;L31&amp;"); ","")&amp;IF(N31&lt;&gt;"OK","Invalid Stock ("&amp;N31&amp;"); ",""))-2),IF(B31="","Missing SKU; ","")&amp;IF(C31="Duplicate SKU","Duplicate SKU; ","")&amp;IF(D31="","Missing Product Name; ","")&amp;IF(LEFT(F31,10)="NOT MAPPED","Invalid Category ("&amp;E31&amp;"); ","")&amp;IF(LEFT(J31,10)="NOT MAPPED","Invalid Size ("&amp;I31&amp;"); ","")&amp;IF(L31&lt;&gt;"OK","Invalid Price ("&amp;L31&amp;"); ","")&amp;IF(N31&lt;&gt;"OK","Invalid Stock ("&amp;N31&amp;"); ",""))</f>
        <v/>
      </c>
      <c r="Q31" s="6" t="str">
        <f aca="false">IF(O31=0,"Ready to List",IF(O31=1,"Needs Review","Incomplete"))</f>
        <v>Ready to List</v>
      </c>
    </row>
    <row r="32" customFormat="false" ht="15" hidden="false" customHeight="false" outlineLevel="0" collapsed="false">
      <c r="A32" s="6" t="n">
        <v>35</v>
      </c>
      <c r="B32" s="6" t="s">
        <v>133</v>
      </c>
      <c r="C32" s="6" t="str">
        <f aca="false">IF(B32="","",IF(COUNTIF($B$2:$B$50,B32)&gt;1,"Duplicate SKU",""))</f>
        <v/>
      </c>
      <c r="D32" s="7" t="s">
        <v>134</v>
      </c>
      <c r="E32" s="7" t="s">
        <v>16</v>
      </c>
      <c r="F32" s="7" t="str">
        <f aca="false">IFERROR(VLOOKUP(E32,'Category Mapping'!$A$2:$B$23,2,FALSE()),"NOT MAPPED")</f>
        <v>Accessories</v>
      </c>
      <c r="G32" s="7" t="s">
        <v>135</v>
      </c>
      <c r="H32" s="7" t="str">
        <f aca="false">IF(TRIM(G32)="","",PROPER(TRIM(G32)))</f>
        <v>Silver</v>
      </c>
      <c r="I32" s="6" t="s">
        <v>33</v>
      </c>
      <c r="J32" s="6" t="str">
        <f aca="false">IFERROR(VLOOKUP(I32,'Size Mapping'!$A$2:$B$19,2,FALSE()),"NOT MAPPED")</f>
        <v>All Size</v>
      </c>
      <c r="K32" s="6" t="n">
        <v>3.5</v>
      </c>
      <c r="L32" s="6" t="str">
        <f aca="false">IF(ISBLANK(K32),"Missing",IF(NOT(ISNUMBER(K32)),"Non-numeric",IF(K32&lt;=0,"Invalid (&lt;=0)","OK")))</f>
        <v>OK</v>
      </c>
      <c r="M32" s="6" t="n">
        <v>40</v>
      </c>
      <c r="N32" s="6" t="str">
        <f aca="false">IF(ISBLANK(M32),"Missing",IF(NOT(ISNUMBER(M32)),"Non-numeric",IF(M32&lt;0,"Invalid (negative)","OK")))</f>
        <v>OK</v>
      </c>
      <c r="O32" s="6" t="n">
        <f aca="false">IF(B32="",1,0)+IF(C32="Duplicate SKU",1,0)+IF(D32="",1,0)+IF(LEFT(F32,10)="NOT MAPPED",1,0)+IF(LEFT(J32,10)="NOT MAPPED",1,0)+IF(L32="OK",0,1)+IF(N32="OK",0,1)</f>
        <v>0</v>
      </c>
      <c r="P32" s="8" t="str">
        <f aca="false">IF(RIGHT(IF(B32="","Missing SKU; ","")&amp;IF(C32="Duplicate SKU","Duplicate SKU; ","")&amp;IF(D32="","Missing Product Name; ","")&amp;IF(LEFT(F32,10)="NOT MAPPED","Invalid Category ("&amp;E32&amp;"); ","")&amp;IF(LEFT(J32,10)="NOT MAPPED","Invalid Size ("&amp;I32&amp;"); ","")&amp;IF(L32&lt;&gt;"OK","Invalid Price ("&amp;L32&amp;"); ","")&amp;IF(N32&lt;&gt;"OK","Invalid Stock ("&amp;N32&amp;"); ",""),2)="; ",LEFT(IF(B32="","Missing SKU; ","")&amp;IF(C32="Duplicate SKU","Duplicate SKU; ","")&amp;IF(D32="","Missing Product Name; ","")&amp;IF(LEFT(F32,10)="NOT MAPPED","Invalid Category ("&amp;E32&amp;"); ","")&amp;IF(LEFT(J32,10)="NOT MAPPED","Invalid Size ("&amp;I32&amp;"); ","")&amp;IF(L32&lt;&gt;"OK","Invalid Price ("&amp;L32&amp;"); ","")&amp;IF(N32&lt;&gt;"OK","Invalid Stock ("&amp;N32&amp;"); ",""),LEN(IF(B32="","Missing SKU; ","")&amp;IF(C32="Duplicate SKU","Duplicate SKU; ","")&amp;IF(D32="","Missing Product Name; ","")&amp;IF(LEFT(F32,10)="NOT MAPPED","Invalid Category ("&amp;E32&amp;"); ","")&amp;IF(LEFT(J32,10)="NOT MAPPED","Invalid Size ("&amp;I32&amp;"); ","")&amp;IF(L32&lt;&gt;"OK","Invalid Price ("&amp;L32&amp;"); ","")&amp;IF(N32&lt;&gt;"OK","Invalid Stock ("&amp;N32&amp;"); ",""))-2),IF(B32="","Missing SKU; ","")&amp;IF(C32="Duplicate SKU","Duplicate SKU; ","")&amp;IF(D32="","Missing Product Name; ","")&amp;IF(LEFT(F32,10)="NOT MAPPED","Invalid Category ("&amp;E32&amp;"); ","")&amp;IF(LEFT(J32,10)="NOT MAPPED","Invalid Size ("&amp;I32&amp;"); ","")&amp;IF(L32&lt;&gt;"OK","Invalid Price ("&amp;L32&amp;"); ","")&amp;IF(N32&lt;&gt;"OK","Invalid Stock ("&amp;N32&amp;"); ",""))</f>
        <v/>
      </c>
      <c r="Q32" s="6" t="str">
        <f aca="false">IF(O32=0,"Ready to List",IF(O32=1,"Needs Review","Incomplete"))</f>
        <v>Ready to List</v>
      </c>
    </row>
    <row r="33" customFormat="false" ht="15" hidden="false" customHeight="false" outlineLevel="0" collapsed="false">
      <c r="A33" s="6" t="n">
        <v>36</v>
      </c>
      <c r="B33" s="6" t="s">
        <v>136</v>
      </c>
      <c r="C33" s="6" t="str">
        <f aca="false">IF(B33="","",IF(COUNTIF($B$2:$B$50,B33)&gt;1,"Duplicate SKU",""))</f>
        <v/>
      </c>
      <c r="D33" s="7" t="s">
        <v>76</v>
      </c>
      <c r="E33" s="7" t="s">
        <v>3</v>
      </c>
      <c r="F33" s="7" t="str">
        <f aca="false">IFERROR(VLOOKUP(E33,'Category Mapping'!$A$2:$B$23,2,FALSE()),"NOT MAPPED")</f>
        <v>Abaya</v>
      </c>
      <c r="G33" s="7" t="s">
        <v>137</v>
      </c>
      <c r="H33" s="7" t="str">
        <f aca="false">IF(TRIM(G33)="","",PROPER(TRIM(G33)))</f>
        <v>Olive</v>
      </c>
      <c r="I33" s="6" t="s">
        <v>39</v>
      </c>
      <c r="J33" s="6" t="str">
        <f aca="false">IFERROR(VLOOKUP(I33,'Size Mapping'!$A$2:$B$19,2,FALSE()),"NOT MAPPED")</f>
        <v>M</v>
      </c>
      <c r="K33" s="6" t="n">
        <v>24</v>
      </c>
      <c r="L33" s="6" t="str">
        <f aca="false">IF(ISBLANK(K33),"Missing",IF(NOT(ISNUMBER(K33)),"Non-numeric",IF(K33&lt;=0,"Invalid (&lt;=0)","OK")))</f>
        <v>OK</v>
      </c>
      <c r="M33" s="6" t="n">
        <v>7</v>
      </c>
      <c r="N33" s="6" t="str">
        <f aca="false">IF(ISBLANK(M33),"Missing",IF(NOT(ISNUMBER(M33)),"Non-numeric",IF(M33&lt;0,"Invalid (negative)","OK")))</f>
        <v>OK</v>
      </c>
      <c r="O33" s="6" t="n">
        <f aca="false">IF(B33="",1,0)+IF(C33="Duplicate SKU",1,0)+IF(D33="",1,0)+IF(LEFT(F33,10)="NOT MAPPED",1,0)+IF(LEFT(J33,10)="NOT MAPPED",1,0)+IF(L33="OK",0,1)+IF(N33="OK",0,1)</f>
        <v>0</v>
      </c>
      <c r="P33" s="8" t="str">
        <f aca="false">IF(RIGHT(IF(B33="","Missing SKU; ","")&amp;IF(C33="Duplicate SKU","Duplicate SKU; ","")&amp;IF(D33="","Missing Product Name; ","")&amp;IF(LEFT(F33,10)="NOT MAPPED","Invalid Category ("&amp;E33&amp;"); ","")&amp;IF(LEFT(J33,10)="NOT MAPPED","Invalid Size ("&amp;I33&amp;"); ","")&amp;IF(L33&lt;&gt;"OK","Invalid Price ("&amp;L33&amp;"); ","")&amp;IF(N33&lt;&gt;"OK","Invalid Stock ("&amp;N33&amp;"); ",""),2)="; ",LEFT(IF(B33="","Missing SKU; ","")&amp;IF(C33="Duplicate SKU","Duplicate SKU; ","")&amp;IF(D33="","Missing Product Name; ","")&amp;IF(LEFT(F33,10)="NOT MAPPED","Invalid Category ("&amp;E33&amp;"); ","")&amp;IF(LEFT(J33,10)="NOT MAPPED","Invalid Size ("&amp;I33&amp;"); ","")&amp;IF(L33&lt;&gt;"OK","Invalid Price ("&amp;L33&amp;"); ","")&amp;IF(N33&lt;&gt;"OK","Invalid Stock ("&amp;N33&amp;"); ",""),LEN(IF(B33="","Missing SKU; ","")&amp;IF(C33="Duplicate SKU","Duplicate SKU; ","")&amp;IF(D33="","Missing Product Name; ","")&amp;IF(LEFT(F33,10)="NOT MAPPED","Invalid Category ("&amp;E33&amp;"); ","")&amp;IF(LEFT(J33,10)="NOT MAPPED","Invalid Size ("&amp;I33&amp;"); ","")&amp;IF(L33&lt;&gt;"OK","Invalid Price ("&amp;L33&amp;"); ","")&amp;IF(N33&lt;&gt;"OK","Invalid Stock ("&amp;N33&amp;"); ",""))-2),IF(B33="","Missing SKU; ","")&amp;IF(C33="Duplicate SKU","Duplicate SKU; ","")&amp;IF(D33="","Missing Product Name; ","")&amp;IF(LEFT(F33,10)="NOT MAPPED","Invalid Category ("&amp;E33&amp;"); ","")&amp;IF(LEFT(J33,10)="NOT MAPPED","Invalid Size ("&amp;I33&amp;"); ","")&amp;IF(L33&lt;&gt;"OK","Invalid Price ("&amp;L33&amp;"); ","")&amp;IF(N33&lt;&gt;"OK","Invalid Stock ("&amp;N33&amp;"); ",""))</f>
        <v/>
      </c>
      <c r="Q33" s="6" t="str">
        <f aca="false">IF(O33=0,"Ready to List",IF(O33=1,"Needs Review","Incomplete"))</f>
        <v>Ready to List</v>
      </c>
    </row>
    <row r="34" customFormat="false" ht="15" hidden="false" customHeight="false" outlineLevel="0" collapsed="false">
      <c r="A34" s="6" t="n">
        <v>37</v>
      </c>
      <c r="B34" s="6" t="s">
        <v>138</v>
      </c>
      <c r="C34" s="6" t="str">
        <f aca="false">IF(B34="","",IF(COUNTIF($B$2:$B$50,B34)&gt;1,"Duplicate SKU",""))</f>
        <v/>
      </c>
      <c r="D34" s="7" t="s">
        <v>98</v>
      </c>
      <c r="E34" s="7" t="s">
        <v>7</v>
      </c>
      <c r="F34" s="7" t="str">
        <f aca="false">IFERROR(VLOOKUP(E34,'Category Mapping'!$A$2:$B$23,2,FALSE()),"NOT MAPPED")</f>
        <v>Hijab</v>
      </c>
      <c r="G34" s="7" t="s">
        <v>63</v>
      </c>
      <c r="H34" s="7" t="str">
        <f aca="false">IF(TRIM(G34)="","",PROPER(TRIM(G34)))</f>
        <v>Navy</v>
      </c>
      <c r="I34" s="6" t="s">
        <v>28</v>
      </c>
      <c r="J34" s="6" t="str">
        <f aca="false">IFERROR(VLOOKUP(I34,'Size Mapping'!$A$2:$B$19,2,FALSE()),"NOT MAPPED")</f>
        <v>All Size</v>
      </c>
      <c r="K34" s="6" t="n">
        <v>10</v>
      </c>
      <c r="L34" s="6" t="str">
        <f aca="false">IF(ISBLANK(K34),"Missing",IF(NOT(ISNUMBER(K34)),"Non-numeric",IF(K34&lt;=0,"Invalid (&lt;=0)","OK")))</f>
        <v>OK</v>
      </c>
      <c r="M34" s="6" t="n">
        <v>33</v>
      </c>
      <c r="N34" s="6" t="str">
        <f aca="false">IF(ISBLANK(M34),"Missing",IF(NOT(ISNUMBER(M34)),"Non-numeric",IF(M34&lt;0,"Invalid (negative)","OK")))</f>
        <v>OK</v>
      </c>
      <c r="O34" s="6" t="n">
        <f aca="false">IF(B34="",1,0)+IF(C34="Duplicate SKU",1,0)+IF(D34="",1,0)+IF(LEFT(F34,10)="NOT MAPPED",1,0)+IF(LEFT(J34,10)="NOT MAPPED",1,0)+IF(L34="OK",0,1)+IF(N34="OK",0,1)</f>
        <v>0</v>
      </c>
      <c r="P34" s="8" t="str">
        <f aca="false">IF(RIGHT(IF(B34="","Missing SKU; ","")&amp;IF(C34="Duplicate SKU","Duplicate SKU; ","")&amp;IF(D34="","Missing Product Name; ","")&amp;IF(LEFT(F34,10)="NOT MAPPED","Invalid Category ("&amp;E34&amp;"); ","")&amp;IF(LEFT(J34,10)="NOT MAPPED","Invalid Size ("&amp;I34&amp;"); ","")&amp;IF(L34&lt;&gt;"OK","Invalid Price ("&amp;L34&amp;"); ","")&amp;IF(N34&lt;&gt;"OK","Invalid Stock ("&amp;N34&amp;"); ",""),2)="; ",LEFT(IF(B34="","Missing SKU; ","")&amp;IF(C34="Duplicate SKU","Duplicate SKU; ","")&amp;IF(D34="","Missing Product Name; ","")&amp;IF(LEFT(F34,10)="NOT MAPPED","Invalid Category ("&amp;E34&amp;"); ","")&amp;IF(LEFT(J34,10)="NOT MAPPED","Invalid Size ("&amp;I34&amp;"); ","")&amp;IF(L34&lt;&gt;"OK","Invalid Price ("&amp;L34&amp;"); ","")&amp;IF(N34&lt;&gt;"OK","Invalid Stock ("&amp;N34&amp;"); ",""),LEN(IF(B34="","Missing SKU; ","")&amp;IF(C34="Duplicate SKU","Duplicate SKU; ","")&amp;IF(D34="","Missing Product Name; ","")&amp;IF(LEFT(F34,10)="NOT MAPPED","Invalid Category ("&amp;E34&amp;"); ","")&amp;IF(LEFT(J34,10)="NOT MAPPED","Invalid Size ("&amp;I34&amp;"); ","")&amp;IF(L34&lt;&gt;"OK","Invalid Price ("&amp;L34&amp;"); ","")&amp;IF(N34&lt;&gt;"OK","Invalid Stock ("&amp;N34&amp;"); ",""))-2),IF(B34="","Missing SKU; ","")&amp;IF(C34="Duplicate SKU","Duplicate SKU; ","")&amp;IF(D34="","Missing Product Name; ","")&amp;IF(LEFT(F34,10)="NOT MAPPED","Invalid Category ("&amp;E34&amp;"); ","")&amp;IF(LEFT(J34,10)="NOT MAPPED","Invalid Size ("&amp;I34&amp;"); ","")&amp;IF(L34&lt;&gt;"OK","Invalid Price ("&amp;L34&amp;"); ","")&amp;IF(N34&lt;&gt;"OK","Invalid Stock ("&amp;N34&amp;"); ",""))</f>
        <v/>
      </c>
      <c r="Q34" s="6" t="str">
        <f aca="false">IF(O34=0,"Ready to List",IF(O34=1,"Needs Review","Incomplete"))</f>
        <v>Ready to List</v>
      </c>
    </row>
    <row r="35" customFormat="false" ht="15" hidden="false" customHeight="false" outlineLevel="0" collapsed="false">
      <c r="A35" s="6" t="n">
        <v>38</v>
      </c>
      <c r="B35" s="6" t="s">
        <v>139</v>
      </c>
      <c r="C35" s="6" t="str">
        <f aca="false">IF(B35="","",IF(COUNTIF($B$2:$B$50,B35)&gt;1,"Duplicate SKU",""))</f>
        <v/>
      </c>
      <c r="D35" s="7" t="s">
        <v>114</v>
      </c>
      <c r="E35" s="7" t="s">
        <v>8</v>
      </c>
      <c r="F35" s="7" t="str">
        <f aca="false">IFERROR(VLOOKUP(E35,'Category Mapping'!$A$2:$B$23,2,FALSE()),"NOT MAPPED")</f>
        <v>Accessories</v>
      </c>
      <c r="G35" s="7" t="s">
        <v>72</v>
      </c>
      <c r="H35" s="7" t="str">
        <f aca="false">IF(TRIM(G35)="","",PROPER(TRIM(G35)))</f>
        <v>Black</v>
      </c>
      <c r="I35" s="6" t="s">
        <v>38</v>
      </c>
      <c r="J35" s="6" t="str">
        <f aca="false">IFERROR(VLOOKUP(I35,'Size Mapping'!$A$2:$B$19,2,FALSE()),"NOT MAPPED")</f>
        <v>All Size</v>
      </c>
      <c r="K35" s="6" t="n">
        <v>4.5</v>
      </c>
      <c r="L35" s="6" t="str">
        <f aca="false">IF(ISBLANK(K35),"Missing",IF(NOT(ISNUMBER(K35)),"Non-numeric",IF(K35&lt;=0,"Invalid (&lt;=0)","OK")))</f>
        <v>OK</v>
      </c>
      <c r="M35" s="6" t="n">
        <v>27</v>
      </c>
      <c r="N35" s="6" t="str">
        <f aca="false">IF(ISBLANK(M35),"Missing",IF(NOT(ISNUMBER(M35)),"Non-numeric",IF(M35&lt;0,"Invalid (negative)","OK")))</f>
        <v>OK</v>
      </c>
      <c r="O35" s="6" t="n">
        <f aca="false">IF(B35="",1,0)+IF(C35="Duplicate SKU",1,0)+IF(D35="",1,0)+IF(LEFT(F35,10)="NOT MAPPED",1,0)+IF(LEFT(J35,10)="NOT MAPPED",1,0)+IF(L35="OK",0,1)+IF(N35="OK",0,1)</f>
        <v>0</v>
      </c>
      <c r="P35" s="8" t="str">
        <f aca="false">IF(RIGHT(IF(B35="","Missing SKU; ","")&amp;IF(C35="Duplicate SKU","Duplicate SKU; ","")&amp;IF(D35="","Missing Product Name; ","")&amp;IF(LEFT(F35,10)="NOT MAPPED","Invalid Category ("&amp;E35&amp;"); ","")&amp;IF(LEFT(J35,10)="NOT MAPPED","Invalid Size ("&amp;I35&amp;"); ","")&amp;IF(L35&lt;&gt;"OK","Invalid Price ("&amp;L35&amp;"); ","")&amp;IF(N35&lt;&gt;"OK","Invalid Stock ("&amp;N35&amp;"); ",""),2)="; ",LEFT(IF(B35="","Missing SKU; ","")&amp;IF(C35="Duplicate SKU","Duplicate SKU; ","")&amp;IF(D35="","Missing Product Name; ","")&amp;IF(LEFT(F35,10)="NOT MAPPED","Invalid Category ("&amp;E35&amp;"); ","")&amp;IF(LEFT(J35,10)="NOT MAPPED","Invalid Size ("&amp;I35&amp;"); ","")&amp;IF(L35&lt;&gt;"OK","Invalid Price ("&amp;L35&amp;"); ","")&amp;IF(N35&lt;&gt;"OK","Invalid Stock ("&amp;N35&amp;"); ",""),LEN(IF(B35="","Missing SKU; ","")&amp;IF(C35="Duplicate SKU","Duplicate SKU; ","")&amp;IF(D35="","Missing Product Name; ","")&amp;IF(LEFT(F35,10)="NOT MAPPED","Invalid Category ("&amp;E35&amp;"); ","")&amp;IF(LEFT(J35,10)="NOT MAPPED","Invalid Size ("&amp;I35&amp;"); ","")&amp;IF(L35&lt;&gt;"OK","Invalid Price ("&amp;L35&amp;"); ","")&amp;IF(N35&lt;&gt;"OK","Invalid Stock ("&amp;N35&amp;"); ",""))-2),IF(B35="","Missing SKU; ","")&amp;IF(C35="Duplicate SKU","Duplicate SKU; ","")&amp;IF(D35="","Missing Product Name; ","")&amp;IF(LEFT(F35,10)="NOT MAPPED","Invalid Category ("&amp;E35&amp;"); ","")&amp;IF(LEFT(J35,10)="NOT MAPPED","Invalid Size ("&amp;I35&amp;"); ","")&amp;IF(L35&lt;&gt;"OK","Invalid Price ("&amp;L35&amp;"); ","")&amp;IF(N35&lt;&gt;"OK","Invalid Stock ("&amp;N35&amp;"); ",""))</f>
        <v/>
      </c>
      <c r="Q35" s="6" t="str">
        <f aca="false">IF(O35=0,"Ready to List",IF(O35=1,"Needs Review","Incomplete"))</f>
        <v>Ready to List</v>
      </c>
    </row>
    <row r="36" customFormat="false" ht="15" hidden="false" customHeight="false" outlineLevel="0" collapsed="false">
      <c r="A36" s="6" t="n">
        <v>39</v>
      </c>
      <c r="B36" s="6" t="s">
        <v>140</v>
      </c>
      <c r="C36" s="6" t="str">
        <f aca="false">IF(B36="","",IF(COUNTIF($B$2:$B$50,B36)&gt;1,"Duplicate SKU",""))</f>
        <v/>
      </c>
      <c r="D36" s="7" t="s">
        <v>79</v>
      </c>
      <c r="E36" s="7" t="s">
        <v>23</v>
      </c>
      <c r="F36" s="7" t="str">
        <f aca="false">IFERROR(VLOOKUP(E36,'Category Mapping'!$A$2:$B$23,2,FALSE()),"NOT MAPPED")</f>
        <v>Hijab</v>
      </c>
      <c r="G36" s="7" t="s">
        <v>141</v>
      </c>
      <c r="H36" s="7" t="str">
        <f aca="false">IF(TRIM(G36)="","",PROPER(TRIM(G36)))</f>
        <v>Sage Green</v>
      </c>
      <c r="I36" s="6" t="s">
        <v>33</v>
      </c>
      <c r="J36" s="6" t="str">
        <f aca="false">IFERROR(VLOOKUP(I36,'Size Mapping'!$A$2:$B$19,2,FALSE()),"NOT MAPPED")</f>
        <v>All Size</v>
      </c>
      <c r="K36" s="6" t="n">
        <v>13</v>
      </c>
      <c r="L36" s="6" t="str">
        <f aca="false">IF(ISBLANK(K36),"Missing",IF(NOT(ISNUMBER(K36)),"Non-numeric",IF(K36&lt;=0,"Invalid (&lt;=0)","OK")))</f>
        <v>OK</v>
      </c>
      <c r="M36" s="6" t="n">
        <v>19</v>
      </c>
      <c r="N36" s="6" t="str">
        <f aca="false">IF(ISBLANK(M36),"Missing",IF(NOT(ISNUMBER(M36)),"Non-numeric",IF(M36&lt;0,"Invalid (negative)","OK")))</f>
        <v>OK</v>
      </c>
      <c r="O36" s="6" t="n">
        <f aca="false">IF(B36="",1,0)+IF(C36="Duplicate SKU",1,0)+IF(D36="",1,0)+IF(LEFT(F36,10)="NOT MAPPED",1,0)+IF(LEFT(J36,10)="NOT MAPPED",1,0)+IF(L36="OK",0,1)+IF(N36="OK",0,1)</f>
        <v>0</v>
      </c>
      <c r="P36" s="8" t="str">
        <f aca="false">IF(RIGHT(IF(B36="","Missing SKU; ","")&amp;IF(C36="Duplicate SKU","Duplicate SKU; ","")&amp;IF(D36="","Missing Product Name; ","")&amp;IF(LEFT(F36,10)="NOT MAPPED","Invalid Category ("&amp;E36&amp;"); ","")&amp;IF(LEFT(J36,10)="NOT MAPPED","Invalid Size ("&amp;I36&amp;"); ","")&amp;IF(L36&lt;&gt;"OK","Invalid Price ("&amp;L36&amp;"); ","")&amp;IF(N36&lt;&gt;"OK","Invalid Stock ("&amp;N36&amp;"); ",""),2)="; ",LEFT(IF(B36="","Missing SKU; ","")&amp;IF(C36="Duplicate SKU","Duplicate SKU; ","")&amp;IF(D36="","Missing Product Name; ","")&amp;IF(LEFT(F36,10)="NOT MAPPED","Invalid Category ("&amp;E36&amp;"); ","")&amp;IF(LEFT(J36,10)="NOT MAPPED","Invalid Size ("&amp;I36&amp;"); ","")&amp;IF(L36&lt;&gt;"OK","Invalid Price ("&amp;L36&amp;"); ","")&amp;IF(N36&lt;&gt;"OK","Invalid Stock ("&amp;N36&amp;"); ",""),LEN(IF(B36="","Missing SKU; ","")&amp;IF(C36="Duplicate SKU","Duplicate SKU; ","")&amp;IF(D36="","Missing Product Name; ","")&amp;IF(LEFT(F36,10)="NOT MAPPED","Invalid Category ("&amp;E36&amp;"); ","")&amp;IF(LEFT(J36,10)="NOT MAPPED","Invalid Size ("&amp;I36&amp;"); ","")&amp;IF(L36&lt;&gt;"OK","Invalid Price ("&amp;L36&amp;"); ","")&amp;IF(N36&lt;&gt;"OK","Invalid Stock ("&amp;N36&amp;"); ",""))-2),IF(B36="","Missing SKU; ","")&amp;IF(C36="Duplicate SKU","Duplicate SKU; ","")&amp;IF(D36="","Missing Product Name; ","")&amp;IF(LEFT(F36,10)="NOT MAPPED","Invalid Category ("&amp;E36&amp;"); ","")&amp;IF(LEFT(J36,10)="NOT MAPPED","Invalid Size ("&amp;I36&amp;"); ","")&amp;IF(L36&lt;&gt;"OK","Invalid Price ("&amp;L36&amp;"); ","")&amp;IF(N36&lt;&gt;"OK","Invalid Stock ("&amp;N36&amp;"); ",""))</f>
        <v/>
      </c>
      <c r="Q36" s="6" t="str">
        <f aca="false">IF(O36=0,"Ready to List",IF(O36=1,"Needs Review","Incomplete"))</f>
        <v>Ready to List</v>
      </c>
    </row>
    <row r="37" customFormat="false" ht="15" hidden="false" customHeight="false" outlineLevel="0" collapsed="false">
      <c r="A37" s="6" t="n">
        <v>40</v>
      </c>
      <c r="B37" s="6" t="s">
        <v>142</v>
      </c>
      <c r="C37" s="6" t="str">
        <f aca="false">IF(B37="","",IF(COUNTIF($B$2:$B$50,B37)&gt;1,"Duplicate SKU",""))</f>
        <v/>
      </c>
      <c r="D37" s="7" t="s">
        <v>143</v>
      </c>
      <c r="E37" s="7" t="s">
        <v>19</v>
      </c>
      <c r="F37" s="7" t="str">
        <f aca="false">IFERROR(VLOOKUP(E37,'Category Mapping'!$A$2:$B$23,2,FALSE()),"NOT MAPPED")</f>
        <v>Abaya</v>
      </c>
      <c r="G37" s="7" t="s">
        <v>144</v>
      </c>
      <c r="H37" s="7" t="str">
        <f aca="false">IF(TRIM(G37)="","",PROPER(TRIM(G37)))</f>
        <v>Charcoal</v>
      </c>
      <c r="I37" s="6" t="s">
        <v>32</v>
      </c>
      <c r="J37" s="6" t="str">
        <f aca="false">IFERROR(VLOOKUP(I37,'Size Mapping'!$A$2:$B$19,2,FALSE()),"NOT MAPPED")</f>
        <v>All Size</v>
      </c>
      <c r="K37" s="6" t="n">
        <v>41</v>
      </c>
      <c r="L37" s="6" t="str">
        <f aca="false">IF(ISBLANK(K37),"Missing",IF(NOT(ISNUMBER(K37)),"Non-numeric",IF(K37&lt;=0,"Invalid (&lt;=0)","OK")))</f>
        <v>OK</v>
      </c>
      <c r="M37" s="6" t="n">
        <v>9</v>
      </c>
      <c r="N37" s="6" t="str">
        <f aca="false">IF(ISBLANK(M37),"Missing",IF(NOT(ISNUMBER(M37)),"Non-numeric",IF(M37&lt;0,"Invalid (negative)","OK")))</f>
        <v>OK</v>
      </c>
      <c r="O37" s="6" t="n">
        <f aca="false">IF(B37="",1,0)+IF(C37="Duplicate SKU",1,0)+IF(D37="",1,0)+IF(LEFT(F37,10)="NOT MAPPED",1,0)+IF(LEFT(J37,10)="NOT MAPPED",1,0)+IF(L37="OK",0,1)+IF(N37="OK",0,1)</f>
        <v>0</v>
      </c>
      <c r="P37" s="8" t="str">
        <f aca="false">IF(RIGHT(IF(B37="","Missing SKU; ","")&amp;IF(C37="Duplicate SKU","Duplicate SKU; ","")&amp;IF(D37="","Missing Product Name; ","")&amp;IF(LEFT(F37,10)="NOT MAPPED","Invalid Category ("&amp;E37&amp;"); ","")&amp;IF(LEFT(J37,10)="NOT MAPPED","Invalid Size ("&amp;I37&amp;"); ","")&amp;IF(L37&lt;&gt;"OK","Invalid Price ("&amp;L37&amp;"); ","")&amp;IF(N37&lt;&gt;"OK","Invalid Stock ("&amp;N37&amp;"); ",""),2)="; ",LEFT(IF(B37="","Missing SKU; ","")&amp;IF(C37="Duplicate SKU","Duplicate SKU; ","")&amp;IF(D37="","Missing Product Name; ","")&amp;IF(LEFT(F37,10)="NOT MAPPED","Invalid Category ("&amp;E37&amp;"); ","")&amp;IF(LEFT(J37,10)="NOT MAPPED","Invalid Size ("&amp;I37&amp;"); ","")&amp;IF(L37&lt;&gt;"OK","Invalid Price ("&amp;L37&amp;"); ","")&amp;IF(N37&lt;&gt;"OK","Invalid Stock ("&amp;N37&amp;"); ",""),LEN(IF(B37="","Missing SKU; ","")&amp;IF(C37="Duplicate SKU","Duplicate SKU; ","")&amp;IF(D37="","Missing Product Name; ","")&amp;IF(LEFT(F37,10)="NOT MAPPED","Invalid Category ("&amp;E37&amp;"); ","")&amp;IF(LEFT(J37,10)="NOT MAPPED","Invalid Size ("&amp;I37&amp;"); ","")&amp;IF(L37&lt;&gt;"OK","Invalid Price ("&amp;L37&amp;"); ","")&amp;IF(N37&lt;&gt;"OK","Invalid Stock ("&amp;N37&amp;"); ",""))-2),IF(B37="","Missing SKU; ","")&amp;IF(C37="Duplicate SKU","Duplicate SKU; ","")&amp;IF(D37="","Missing Product Name; ","")&amp;IF(LEFT(F37,10)="NOT MAPPED","Invalid Category ("&amp;E37&amp;"); ","")&amp;IF(LEFT(J37,10)="NOT MAPPED","Invalid Size ("&amp;I37&amp;"); ","")&amp;IF(L37&lt;&gt;"OK","Invalid Price ("&amp;L37&amp;"); ","")&amp;IF(N37&lt;&gt;"OK","Invalid Stock ("&amp;N37&amp;"); ",""))</f>
        <v/>
      </c>
      <c r="Q37" s="6" t="str">
        <f aca="false">IF(O37=0,"Ready to List",IF(O37=1,"Needs Review","Incomplete"))</f>
        <v>Ready to List</v>
      </c>
    </row>
    <row r="38" customFormat="false" ht="15" hidden="false" customHeight="false" outlineLevel="0" collapsed="false">
      <c r="A38" s="6" t="n">
        <v>41</v>
      </c>
      <c r="B38" s="6" t="s">
        <v>145</v>
      </c>
      <c r="C38" s="6" t="str">
        <f aca="false">IF(B38="","",IF(COUNTIF($B$2:$B$50,B38)&gt;1,"Duplicate SKU",""))</f>
        <v>Duplicate SKU</v>
      </c>
      <c r="D38" s="7" t="s">
        <v>98</v>
      </c>
      <c r="E38" s="7" t="s">
        <v>6</v>
      </c>
      <c r="F38" s="7" t="str">
        <f aca="false">IFERROR(VLOOKUP(E38,'Category Mapping'!$A$2:$B$23,2,FALSE()),"NOT MAPPED")</f>
        <v>Hijab</v>
      </c>
      <c r="G38" s="7" t="s">
        <v>146</v>
      </c>
      <c r="H38" s="7" t="str">
        <f aca="false">IF(TRIM(G38)="","",PROPER(TRIM(G38)))</f>
        <v>Maroon</v>
      </c>
      <c r="I38" s="6" t="s">
        <v>29</v>
      </c>
      <c r="J38" s="6" t="str">
        <f aca="false">IFERROR(VLOOKUP(I38,'Size Mapping'!$A$2:$B$19,2,FALSE()),"NOT MAPPED")</f>
        <v>All Size</v>
      </c>
      <c r="K38" s="6" t="n">
        <v>10</v>
      </c>
      <c r="L38" s="6" t="str">
        <f aca="false">IF(ISBLANK(K38),"Missing",IF(NOT(ISNUMBER(K38)),"Non-numeric",IF(K38&lt;=0,"Invalid (&lt;=0)","OK")))</f>
        <v>OK</v>
      </c>
      <c r="M38" s="6" t="n">
        <v>15</v>
      </c>
      <c r="N38" s="6" t="str">
        <f aca="false">IF(ISBLANK(M38),"Missing",IF(NOT(ISNUMBER(M38)),"Non-numeric",IF(M38&lt;0,"Invalid (negative)","OK")))</f>
        <v>OK</v>
      </c>
      <c r="O38" s="6" t="n">
        <f aca="false">IF(B38="",1,0)+IF(C38="Duplicate SKU",1,0)+IF(D38="",1,0)+IF(LEFT(F38,10)="NOT MAPPED",1,0)+IF(LEFT(J38,10)="NOT MAPPED",1,0)+IF(L38="OK",0,1)+IF(N38="OK",0,1)</f>
        <v>1</v>
      </c>
      <c r="P38" s="8" t="str">
        <f aca="false">IF(RIGHT(IF(B38="","Missing SKU; ","")&amp;IF(C38="Duplicate SKU","Duplicate SKU; ","")&amp;IF(D38="","Missing Product Name; ","")&amp;IF(LEFT(F38,10)="NOT MAPPED","Invalid Category ("&amp;E38&amp;"); ","")&amp;IF(LEFT(J38,10)="NOT MAPPED","Invalid Size ("&amp;I38&amp;"); ","")&amp;IF(L38&lt;&gt;"OK","Invalid Price ("&amp;L38&amp;"); ","")&amp;IF(N38&lt;&gt;"OK","Invalid Stock ("&amp;N38&amp;"); ",""),2)="; ",LEFT(IF(B38="","Missing SKU; ","")&amp;IF(C38="Duplicate SKU","Duplicate SKU; ","")&amp;IF(D38="","Missing Product Name; ","")&amp;IF(LEFT(F38,10)="NOT MAPPED","Invalid Category ("&amp;E38&amp;"); ","")&amp;IF(LEFT(J38,10)="NOT MAPPED","Invalid Size ("&amp;I38&amp;"); ","")&amp;IF(L38&lt;&gt;"OK","Invalid Price ("&amp;L38&amp;"); ","")&amp;IF(N38&lt;&gt;"OK","Invalid Stock ("&amp;N38&amp;"); ",""),LEN(IF(B38="","Missing SKU; ","")&amp;IF(C38="Duplicate SKU","Duplicate SKU; ","")&amp;IF(D38="","Missing Product Name; ","")&amp;IF(LEFT(F38,10)="NOT MAPPED","Invalid Category ("&amp;E38&amp;"); ","")&amp;IF(LEFT(J38,10)="NOT MAPPED","Invalid Size ("&amp;I38&amp;"); ","")&amp;IF(L38&lt;&gt;"OK","Invalid Price ("&amp;L38&amp;"); ","")&amp;IF(N38&lt;&gt;"OK","Invalid Stock ("&amp;N38&amp;"); ",""))-2),IF(B38="","Missing SKU; ","")&amp;IF(C38="Duplicate SKU","Duplicate SKU; ","")&amp;IF(D38="","Missing Product Name; ","")&amp;IF(LEFT(F38,10)="NOT MAPPED","Invalid Category ("&amp;E38&amp;"); ","")&amp;IF(LEFT(J38,10)="NOT MAPPED","Invalid Size ("&amp;I38&amp;"); ","")&amp;IF(L38&lt;&gt;"OK","Invalid Price ("&amp;L38&amp;"); ","")&amp;IF(N38&lt;&gt;"OK","Invalid Stock ("&amp;N38&amp;"); ",""))</f>
        <v>Duplicate SKU</v>
      </c>
      <c r="Q38" s="6" t="str">
        <f aca="false">IF(O38=0,"Ready to List",IF(O38=1,"Needs Review","Incomplete"))</f>
        <v>Needs Review</v>
      </c>
    </row>
    <row r="39" customFormat="false" ht="15" hidden="false" customHeight="false" outlineLevel="0" collapsed="false">
      <c r="A39" s="6" t="n">
        <v>42</v>
      </c>
      <c r="B39" s="6" t="s">
        <v>147</v>
      </c>
      <c r="C39" s="6" t="str">
        <f aca="false">IF(B39="","",IF(COUNTIF($B$2:$B$50,B39)&gt;1,"Duplicate SKU",""))</f>
        <v/>
      </c>
      <c r="D39" s="7" t="s">
        <v>76</v>
      </c>
      <c r="E39" s="7" t="s">
        <v>19</v>
      </c>
      <c r="F39" s="7" t="str">
        <f aca="false">IFERROR(VLOOKUP(E39,'Category Mapping'!$A$2:$B$23,2,FALSE()),"NOT MAPPED")</f>
        <v>Abaya</v>
      </c>
      <c r="G39" s="7" t="s">
        <v>99</v>
      </c>
      <c r="H39" s="7" t="str">
        <f aca="false">IF(TRIM(G39)="","",PROPER(TRIM(G39)))</f>
        <v>Black</v>
      </c>
      <c r="I39" s="6" t="s">
        <v>40</v>
      </c>
      <c r="J39" s="6" t="str">
        <f aca="false">IFERROR(VLOOKUP(I39,'Size Mapping'!$A$2:$B$19,2,FALSE()),"NOT MAPPED")</f>
        <v>L</v>
      </c>
      <c r="K39" s="6" t="n">
        <v>24</v>
      </c>
      <c r="L39" s="6" t="str">
        <f aca="false">IF(ISBLANK(K39),"Missing",IF(NOT(ISNUMBER(K39)),"Non-numeric",IF(K39&lt;=0,"Invalid (&lt;=0)","OK")))</f>
        <v>OK</v>
      </c>
      <c r="M39" s="6"/>
      <c r="N39" s="6" t="str">
        <f aca="false">IF(ISBLANK(M39),"Missing",IF(NOT(ISNUMBER(M39)),"Non-numeric",IF(M39&lt;0,"Invalid (negative)","OK")))</f>
        <v>Missing</v>
      </c>
      <c r="O39" s="6" t="n">
        <f aca="false">IF(B39="",1,0)+IF(C39="Duplicate SKU",1,0)+IF(D39="",1,0)+IF(LEFT(F39,10)="NOT MAPPED",1,0)+IF(LEFT(J39,10)="NOT MAPPED",1,0)+IF(L39="OK",0,1)+IF(N39="OK",0,1)</f>
        <v>1</v>
      </c>
      <c r="P39" s="8" t="str">
        <f aca="false">IF(RIGHT(IF(B39="","Missing SKU; ","")&amp;IF(C39="Duplicate SKU","Duplicate SKU; ","")&amp;IF(D39="","Missing Product Name; ","")&amp;IF(LEFT(F39,10)="NOT MAPPED","Invalid Category ("&amp;E39&amp;"); ","")&amp;IF(LEFT(J39,10)="NOT MAPPED","Invalid Size ("&amp;I39&amp;"); ","")&amp;IF(L39&lt;&gt;"OK","Invalid Price ("&amp;L39&amp;"); ","")&amp;IF(N39&lt;&gt;"OK","Invalid Stock ("&amp;N39&amp;"); ",""),2)="; ",LEFT(IF(B39="","Missing SKU; ","")&amp;IF(C39="Duplicate SKU","Duplicate SKU; ","")&amp;IF(D39="","Missing Product Name; ","")&amp;IF(LEFT(F39,10)="NOT MAPPED","Invalid Category ("&amp;E39&amp;"); ","")&amp;IF(LEFT(J39,10)="NOT MAPPED","Invalid Size ("&amp;I39&amp;"); ","")&amp;IF(L39&lt;&gt;"OK","Invalid Price ("&amp;L39&amp;"); ","")&amp;IF(N39&lt;&gt;"OK","Invalid Stock ("&amp;N39&amp;"); ",""),LEN(IF(B39="","Missing SKU; ","")&amp;IF(C39="Duplicate SKU","Duplicate SKU; ","")&amp;IF(D39="","Missing Product Name; ","")&amp;IF(LEFT(F39,10)="NOT MAPPED","Invalid Category ("&amp;E39&amp;"); ","")&amp;IF(LEFT(J39,10)="NOT MAPPED","Invalid Size ("&amp;I39&amp;"); ","")&amp;IF(L39&lt;&gt;"OK","Invalid Price ("&amp;L39&amp;"); ","")&amp;IF(N39&lt;&gt;"OK","Invalid Stock ("&amp;N39&amp;"); ",""))-2),IF(B39="","Missing SKU; ","")&amp;IF(C39="Duplicate SKU","Duplicate SKU; ","")&amp;IF(D39="","Missing Product Name; ","")&amp;IF(LEFT(F39,10)="NOT MAPPED","Invalid Category ("&amp;E39&amp;"); ","")&amp;IF(LEFT(J39,10)="NOT MAPPED","Invalid Size ("&amp;I39&amp;"); ","")&amp;IF(L39&lt;&gt;"OK","Invalid Price ("&amp;L39&amp;"); ","")&amp;IF(N39&lt;&gt;"OK","Invalid Stock ("&amp;N39&amp;"); ",""))</f>
        <v>Invalid Stock (Missing)</v>
      </c>
      <c r="Q39" s="6" t="str">
        <f aca="false">IF(O39=0,"Ready to List",IF(O39=1,"Needs Review","Incomplete"))</f>
        <v>Needs Review</v>
      </c>
    </row>
    <row r="40" customFormat="false" ht="15" hidden="false" customHeight="false" outlineLevel="0" collapsed="false">
      <c r="A40" s="6" t="n">
        <v>43</v>
      </c>
      <c r="B40" s="6" t="s">
        <v>148</v>
      </c>
      <c r="C40" s="6" t="str">
        <f aca="false">IF(B40="","",IF(COUNTIF($B$2:$B$50,B40)&gt;1,"Duplicate SKU",""))</f>
        <v/>
      </c>
      <c r="D40" s="7" t="s">
        <v>149</v>
      </c>
      <c r="E40" s="7" t="s">
        <v>11</v>
      </c>
      <c r="F40" s="7" t="str">
        <f aca="false">IFERROR(VLOOKUP(E40,'Category Mapping'!$A$2:$B$23,2,FALSE()),"NOT MAPPED")</f>
        <v>Accessories</v>
      </c>
      <c r="G40" s="7" t="s">
        <v>99</v>
      </c>
      <c r="H40" s="7" t="str">
        <f aca="false">IF(TRIM(G40)="","",PROPER(TRIM(G40)))</f>
        <v>Black</v>
      </c>
      <c r="I40" s="6" t="s">
        <v>38</v>
      </c>
      <c r="J40" s="6" t="str">
        <f aca="false">IFERROR(VLOOKUP(I40,'Size Mapping'!$A$2:$B$19,2,FALSE()),"NOT MAPPED")</f>
        <v>All Size</v>
      </c>
      <c r="K40" s="6" t="n">
        <v>6.5</v>
      </c>
      <c r="L40" s="6" t="str">
        <f aca="false">IF(ISBLANK(K40),"Missing",IF(NOT(ISNUMBER(K40)),"Non-numeric",IF(K40&lt;=0,"Invalid (&lt;=0)","OK")))</f>
        <v>OK</v>
      </c>
      <c r="M40" s="6" t="n">
        <v>-3</v>
      </c>
      <c r="N40" s="6" t="str">
        <f aca="false">IF(ISBLANK(M40),"Missing",IF(NOT(ISNUMBER(M40)),"Non-numeric",IF(M40&lt;0,"Invalid (negative)","OK")))</f>
        <v>Invalid (negative)</v>
      </c>
      <c r="O40" s="6" t="n">
        <f aca="false">IF(B40="",1,0)+IF(C40="Duplicate SKU",1,0)+IF(D40="",1,0)+IF(LEFT(F40,10)="NOT MAPPED",1,0)+IF(LEFT(J40,10)="NOT MAPPED",1,0)+IF(L40="OK",0,1)+IF(N40="OK",0,1)</f>
        <v>1</v>
      </c>
      <c r="P40" s="8" t="str">
        <f aca="false">IF(RIGHT(IF(B40="","Missing SKU; ","")&amp;IF(C40="Duplicate SKU","Duplicate SKU; ","")&amp;IF(D40="","Missing Product Name; ","")&amp;IF(LEFT(F40,10)="NOT MAPPED","Invalid Category ("&amp;E40&amp;"); ","")&amp;IF(LEFT(J40,10)="NOT MAPPED","Invalid Size ("&amp;I40&amp;"); ","")&amp;IF(L40&lt;&gt;"OK","Invalid Price ("&amp;L40&amp;"); ","")&amp;IF(N40&lt;&gt;"OK","Invalid Stock ("&amp;N40&amp;"); ",""),2)="; ",LEFT(IF(B40="","Missing SKU; ","")&amp;IF(C40="Duplicate SKU","Duplicate SKU; ","")&amp;IF(D40="","Missing Product Name; ","")&amp;IF(LEFT(F40,10)="NOT MAPPED","Invalid Category ("&amp;E40&amp;"); ","")&amp;IF(LEFT(J40,10)="NOT MAPPED","Invalid Size ("&amp;I40&amp;"); ","")&amp;IF(L40&lt;&gt;"OK","Invalid Price ("&amp;L40&amp;"); ","")&amp;IF(N40&lt;&gt;"OK","Invalid Stock ("&amp;N40&amp;"); ",""),LEN(IF(B40="","Missing SKU; ","")&amp;IF(C40="Duplicate SKU","Duplicate SKU; ","")&amp;IF(D40="","Missing Product Name; ","")&amp;IF(LEFT(F40,10)="NOT MAPPED","Invalid Category ("&amp;E40&amp;"); ","")&amp;IF(LEFT(J40,10)="NOT MAPPED","Invalid Size ("&amp;I40&amp;"); ","")&amp;IF(L40&lt;&gt;"OK","Invalid Price ("&amp;L40&amp;"); ","")&amp;IF(N40&lt;&gt;"OK","Invalid Stock ("&amp;N40&amp;"); ",""))-2),IF(B40="","Missing SKU; ","")&amp;IF(C40="Duplicate SKU","Duplicate SKU; ","")&amp;IF(D40="","Missing Product Name; ","")&amp;IF(LEFT(F40,10)="NOT MAPPED","Invalid Category ("&amp;E40&amp;"); ","")&amp;IF(LEFT(J40,10)="NOT MAPPED","Invalid Size ("&amp;I40&amp;"); ","")&amp;IF(L40&lt;&gt;"OK","Invalid Price ("&amp;L40&amp;"); ","")&amp;IF(N40&lt;&gt;"OK","Invalid Stock ("&amp;N40&amp;"); ",""))</f>
        <v>Invalid Stock (Invalid (negative))</v>
      </c>
      <c r="Q40" s="6" t="str">
        <f aca="false">IF(O40=0,"Ready to List",IF(O40=1,"Needs Review","Incomplete"))</f>
        <v>Needs Review</v>
      </c>
    </row>
    <row r="41" customFormat="false" ht="15" hidden="false" customHeight="false" outlineLevel="0" collapsed="false">
      <c r="A41" s="6" t="n">
        <v>44</v>
      </c>
      <c r="B41" s="6" t="s">
        <v>150</v>
      </c>
      <c r="C41" s="6" t="str">
        <f aca="false">IF(B41="","",IF(COUNTIF($B$2:$B$50,B41)&gt;1,"Duplicate SKU",""))</f>
        <v/>
      </c>
      <c r="D41" s="7" t="s">
        <v>62</v>
      </c>
      <c r="E41" s="7" t="s">
        <v>9</v>
      </c>
      <c r="F41" s="7" t="str">
        <f aca="false">IFERROR(VLOOKUP(E41,'Category Mapping'!$A$2:$B$23,2,FALSE()),"NOT MAPPED")</f>
        <v>Abaya</v>
      </c>
      <c r="G41" s="7" t="s">
        <v>151</v>
      </c>
      <c r="H41" s="7" t="str">
        <f aca="false">IF(TRIM(G41)="","",PROPER(TRIM(G41)))</f>
        <v>Navy</v>
      </c>
      <c r="I41" s="6" t="s">
        <v>37</v>
      </c>
      <c r="J41" s="6" t="str">
        <f aca="false">IFERROR(VLOOKUP(I41,'Size Mapping'!$A$2:$B$19,2,FALSE()),"NOT MAPPED")</f>
        <v>L</v>
      </c>
      <c r="K41" s="6" t="n">
        <v>38</v>
      </c>
      <c r="L41" s="6" t="str">
        <f aca="false">IF(ISBLANK(K41),"Missing",IF(NOT(ISNUMBER(K41)),"Non-numeric",IF(K41&lt;=0,"Invalid (&lt;=0)","OK")))</f>
        <v>OK</v>
      </c>
      <c r="M41" s="6" t="n">
        <v>7</v>
      </c>
      <c r="N41" s="6" t="str">
        <f aca="false">IF(ISBLANK(M41),"Missing",IF(NOT(ISNUMBER(M41)),"Non-numeric",IF(M41&lt;0,"Invalid (negative)","OK")))</f>
        <v>OK</v>
      </c>
      <c r="O41" s="6" t="n">
        <f aca="false">IF(B41="",1,0)+IF(C41="Duplicate SKU",1,0)+IF(D41="",1,0)+IF(LEFT(F41,10)="NOT MAPPED",1,0)+IF(LEFT(J41,10)="NOT MAPPED",1,0)+IF(L41="OK",0,1)+IF(N41="OK",0,1)</f>
        <v>0</v>
      </c>
      <c r="P41" s="8" t="str">
        <f aca="false">IF(RIGHT(IF(B41="","Missing SKU; ","")&amp;IF(C41="Duplicate SKU","Duplicate SKU; ","")&amp;IF(D41="","Missing Product Name; ","")&amp;IF(LEFT(F41,10)="NOT MAPPED","Invalid Category ("&amp;E41&amp;"); ","")&amp;IF(LEFT(J41,10)="NOT MAPPED","Invalid Size ("&amp;I41&amp;"); ","")&amp;IF(L41&lt;&gt;"OK","Invalid Price ("&amp;L41&amp;"); ","")&amp;IF(N41&lt;&gt;"OK","Invalid Stock ("&amp;N41&amp;"); ",""),2)="; ",LEFT(IF(B41="","Missing SKU; ","")&amp;IF(C41="Duplicate SKU","Duplicate SKU; ","")&amp;IF(D41="","Missing Product Name; ","")&amp;IF(LEFT(F41,10)="NOT MAPPED","Invalid Category ("&amp;E41&amp;"); ","")&amp;IF(LEFT(J41,10)="NOT MAPPED","Invalid Size ("&amp;I41&amp;"); ","")&amp;IF(L41&lt;&gt;"OK","Invalid Price ("&amp;L41&amp;"); ","")&amp;IF(N41&lt;&gt;"OK","Invalid Stock ("&amp;N41&amp;"); ",""),LEN(IF(B41="","Missing SKU; ","")&amp;IF(C41="Duplicate SKU","Duplicate SKU; ","")&amp;IF(D41="","Missing Product Name; ","")&amp;IF(LEFT(F41,10)="NOT MAPPED","Invalid Category ("&amp;E41&amp;"); ","")&amp;IF(LEFT(J41,10)="NOT MAPPED","Invalid Size ("&amp;I41&amp;"); ","")&amp;IF(L41&lt;&gt;"OK","Invalid Price ("&amp;L41&amp;"); ","")&amp;IF(N41&lt;&gt;"OK","Invalid Stock ("&amp;N41&amp;"); ",""))-2),IF(B41="","Missing SKU; ","")&amp;IF(C41="Duplicate SKU","Duplicate SKU; ","")&amp;IF(D41="","Missing Product Name; ","")&amp;IF(LEFT(F41,10)="NOT MAPPED","Invalid Category ("&amp;E41&amp;"); ","")&amp;IF(LEFT(J41,10)="NOT MAPPED","Invalid Size ("&amp;I41&amp;"); ","")&amp;IF(L41&lt;&gt;"OK","Invalid Price ("&amp;L41&amp;"); ","")&amp;IF(N41&lt;&gt;"OK","Invalid Stock ("&amp;N41&amp;"); ",""))</f>
        <v/>
      </c>
      <c r="Q41" s="6" t="str">
        <f aca="false">IF(O41=0,"Ready to List",IF(O41=1,"Needs Review","Incomplete"))</f>
        <v>Ready to List</v>
      </c>
    </row>
    <row r="42" customFormat="false" ht="15" hidden="false" customHeight="false" outlineLevel="0" collapsed="false">
      <c r="A42" s="6" t="n">
        <v>45</v>
      </c>
      <c r="B42" s="6" t="s">
        <v>152</v>
      </c>
      <c r="C42" s="6" t="str">
        <f aca="false">IF(B42="","",IF(COUNTIF($B$2:$B$50,B42)&gt;1,"Duplicate SKU",""))</f>
        <v/>
      </c>
      <c r="D42" s="7" t="s">
        <v>153</v>
      </c>
      <c r="E42" s="7" t="s">
        <v>7</v>
      </c>
      <c r="F42" s="7" t="str">
        <f aca="false">IFERROR(VLOOKUP(E42,'Category Mapping'!$A$2:$B$23,2,FALSE()),"NOT MAPPED")</f>
        <v>Hijab</v>
      </c>
      <c r="G42" s="7" t="s">
        <v>154</v>
      </c>
      <c r="H42" s="7" t="str">
        <f aca="false">IF(TRIM(G42)="","",PROPER(TRIM(G42)))</f>
        <v>Multicolor</v>
      </c>
      <c r="I42" s="6" t="s">
        <v>28</v>
      </c>
      <c r="J42" s="6" t="str">
        <f aca="false">IFERROR(VLOOKUP(I42,'Size Mapping'!$A$2:$B$19,2,FALSE()),"NOT MAPPED")</f>
        <v>All Size</v>
      </c>
      <c r="K42" s="6" t="n">
        <v>11</v>
      </c>
      <c r="L42" s="6" t="str">
        <f aca="false">IF(ISBLANK(K42),"Missing",IF(NOT(ISNUMBER(K42)),"Non-numeric",IF(K42&lt;=0,"Invalid (&lt;=0)","OK")))</f>
        <v>OK</v>
      </c>
      <c r="M42" s="6" t="n">
        <v>26</v>
      </c>
      <c r="N42" s="6" t="str">
        <f aca="false">IF(ISBLANK(M42),"Missing",IF(NOT(ISNUMBER(M42)),"Non-numeric",IF(M42&lt;0,"Invalid (negative)","OK")))</f>
        <v>OK</v>
      </c>
      <c r="O42" s="6" t="n">
        <f aca="false">IF(B42="",1,0)+IF(C42="Duplicate SKU",1,0)+IF(D42="",1,0)+IF(LEFT(F42,10)="NOT MAPPED",1,0)+IF(LEFT(J42,10)="NOT MAPPED",1,0)+IF(L42="OK",0,1)+IF(N42="OK",0,1)</f>
        <v>0</v>
      </c>
      <c r="P42" s="8" t="str">
        <f aca="false">IF(RIGHT(IF(B42="","Missing SKU; ","")&amp;IF(C42="Duplicate SKU","Duplicate SKU; ","")&amp;IF(D42="","Missing Product Name; ","")&amp;IF(LEFT(F42,10)="NOT MAPPED","Invalid Category ("&amp;E42&amp;"); ","")&amp;IF(LEFT(J42,10)="NOT MAPPED","Invalid Size ("&amp;I42&amp;"); ","")&amp;IF(L42&lt;&gt;"OK","Invalid Price ("&amp;L42&amp;"); ","")&amp;IF(N42&lt;&gt;"OK","Invalid Stock ("&amp;N42&amp;"); ",""),2)="; ",LEFT(IF(B42="","Missing SKU; ","")&amp;IF(C42="Duplicate SKU","Duplicate SKU; ","")&amp;IF(D42="","Missing Product Name; ","")&amp;IF(LEFT(F42,10)="NOT MAPPED","Invalid Category ("&amp;E42&amp;"); ","")&amp;IF(LEFT(J42,10)="NOT MAPPED","Invalid Size ("&amp;I42&amp;"); ","")&amp;IF(L42&lt;&gt;"OK","Invalid Price ("&amp;L42&amp;"); ","")&amp;IF(N42&lt;&gt;"OK","Invalid Stock ("&amp;N42&amp;"); ",""),LEN(IF(B42="","Missing SKU; ","")&amp;IF(C42="Duplicate SKU","Duplicate SKU; ","")&amp;IF(D42="","Missing Product Name; ","")&amp;IF(LEFT(F42,10)="NOT MAPPED","Invalid Category ("&amp;E42&amp;"); ","")&amp;IF(LEFT(J42,10)="NOT MAPPED","Invalid Size ("&amp;I42&amp;"); ","")&amp;IF(L42&lt;&gt;"OK","Invalid Price ("&amp;L42&amp;"); ","")&amp;IF(N42&lt;&gt;"OK","Invalid Stock ("&amp;N42&amp;"); ",""))-2),IF(B42="","Missing SKU; ","")&amp;IF(C42="Duplicate SKU","Duplicate SKU; ","")&amp;IF(D42="","Missing Product Name; ","")&amp;IF(LEFT(F42,10)="NOT MAPPED","Invalid Category ("&amp;E42&amp;"); ","")&amp;IF(LEFT(J42,10)="NOT MAPPED","Invalid Size ("&amp;I42&amp;"); ","")&amp;IF(L42&lt;&gt;"OK","Invalid Price ("&amp;L42&amp;"); ","")&amp;IF(N42&lt;&gt;"OK","Invalid Stock ("&amp;N42&amp;"); ",""))</f>
        <v/>
      </c>
      <c r="Q42" s="6" t="str">
        <f aca="false">IF(O42=0,"Ready to List",IF(O42=1,"Needs Review","Incomplete"))</f>
        <v>Ready to List</v>
      </c>
    </row>
    <row r="43" customFormat="false" ht="15" hidden="false" customHeight="false" outlineLevel="0" collapsed="false">
      <c r="A43" s="6" t="n">
        <v>46</v>
      </c>
      <c r="B43" s="6" t="s">
        <v>145</v>
      </c>
      <c r="C43" s="6" t="str">
        <f aca="false">IF(B43="","",IF(COUNTIF($B$2:$B$50,B43)&gt;1,"Duplicate SKU",""))</f>
        <v>Duplicate SKU</v>
      </c>
      <c r="D43" s="7" t="s">
        <v>62</v>
      </c>
      <c r="E43" s="7" t="s">
        <v>19</v>
      </c>
      <c r="F43" s="7" t="str">
        <f aca="false">IFERROR(VLOOKUP(E43,'Category Mapping'!$A$2:$B$23,2,FALSE()),"NOT MAPPED")</f>
        <v>Abaya</v>
      </c>
      <c r="G43" s="7" t="s">
        <v>155</v>
      </c>
      <c r="H43" s="7" t="str">
        <f aca="false">IF(TRIM(G43)="","",PROPER(TRIM(G43)))</f>
        <v>Navy</v>
      </c>
      <c r="I43" s="6" t="s">
        <v>41</v>
      </c>
      <c r="J43" s="6" t="str">
        <f aca="false">IFERROR(VLOOKUP(I43,'Size Mapping'!$A$2:$B$19,2,FALSE()),"NOT MAPPED")</f>
        <v>L</v>
      </c>
      <c r="K43" s="6" t="n">
        <v>38</v>
      </c>
      <c r="L43" s="6" t="str">
        <f aca="false">IF(ISBLANK(K43),"Missing",IF(NOT(ISNUMBER(K43)),"Non-numeric",IF(K43&lt;=0,"Invalid (&lt;=0)","OK")))</f>
        <v>OK</v>
      </c>
      <c r="M43" s="6" t="n">
        <v>7</v>
      </c>
      <c r="N43" s="6" t="str">
        <f aca="false">IF(ISBLANK(M43),"Missing",IF(NOT(ISNUMBER(M43)),"Non-numeric",IF(M43&lt;0,"Invalid (negative)","OK")))</f>
        <v>OK</v>
      </c>
      <c r="O43" s="6" t="n">
        <f aca="false">IF(B43="",1,0)+IF(C43="Duplicate SKU",1,0)+IF(D43="",1,0)+IF(LEFT(F43,10)="NOT MAPPED",1,0)+IF(LEFT(J43,10)="NOT MAPPED",1,0)+IF(L43="OK",0,1)+IF(N43="OK",0,1)</f>
        <v>1</v>
      </c>
      <c r="P43" s="8" t="str">
        <f aca="false">IF(RIGHT(IF(B43="","Missing SKU; ","")&amp;IF(C43="Duplicate SKU","Duplicate SKU; ","")&amp;IF(D43="","Missing Product Name; ","")&amp;IF(LEFT(F43,10)="NOT MAPPED","Invalid Category ("&amp;E43&amp;"); ","")&amp;IF(LEFT(J43,10)="NOT MAPPED","Invalid Size ("&amp;I43&amp;"); ","")&amp;IF(L43&lt;&gt;"OK","Invalid Price ("&amp;L43&amp;"); ","")&amp;IF(N43&lt;&gt;"OK","Invalid Stock ("&amp;N43&amp;"); ",""),2)="; ",LEFT(IF(B43="","Missing SKU; ","")&amp;IF(C43="Duplicate SKU","Duplicate SKU; ","")&amp;IF(D43="","Missing Product Name; ","")&amp;IF(LEFT(F43,10)="NOT MAPPED","Invalid Category ("&amp;E43&amp;"); ","")&amp;IF(LEFT(J43,10)="NOT MAPPED","Invalid Size ("&amp;I43&amp;"); ","")&amp;IF(L43&lt;&gt;"OK","Invalid Price ("&amp;L43&amp;"); ","")&amp;IF(N43&lt;&gt;"OK","Invalid Stock ("&amp;N43&amp;"); ",""),LEN(IF(B43="","Missing SKU; ","")&amp;IF(C43="Duplicate SKU","Duplicate SKU; ","")&amp;IF(D43="","Missing Product Name; ","")&amp;IF(LEFT(F43,10)="NOT MAPPED","Invalid Category ("&amp;E43&amp;"); ","")&amp;IF(LEFT(J43,10)="NOT MAPPED","Invalid Size ("&amp;I43&amp;"); ","")&amp;IF(L43&lt;&gt;"OK","Invalid Price ("&amp;L43&amp;"); ","")&amp;IF(N43&lt;&gt;"OK","Invalid Stock ("&amp;N43&amp;"); ",""))-2),IF(B43="","Missing SKU; ","")&amp;IF(C43="Duplicate SKU","Duplicate SKU; ","")&amp;IF(D43="","Missing Product Name; ","")&amp;IF(LEFT(F43,10)="NOT MAPPED","Invalid Category ("&amp;E43&amp;"); ","")&amp;IF(LEFT(J43,10)="NOT MAPPED","Invalid Size ("&amp;I43&amp;"); ","")&amp;IF(L43&lt;&gt;"OK","Invalid Price ("&amp;L43&amp;"); ","")&amp;IF(N43&lt;&gt;"OK","Invalid Stock ("&amp;N43&amp;"); ",""))</f>
        <v>Duplicate SKU</v>
      </c>
      <c r="Q43" s="6" t="str">
        <f aca="false">IF(O43=0,"Ready to List",IF(O43=1,"Needs Review","Incomplete"))</f>
        <v>Needs Review</v>
      </c>
    </row>
    <row r="44" customFormat="false" ht="15" hidden="false" customHeight="false" outlineLevel="0" collapsed="false">
      <c r="A44" s="6" t="n">
        <v>47</v>
      </c>
      <c r="B44" s="6" t="s">
        <v>156</v>
      </c>
      <c r="C44" s="6" t="str">
        <f aca="false">IF(B44="","",IF(COUNTIF($B$2:$B$50,B44)&gt;1,"Duplicate SKU",""))</f>
        <v/>
      </c>
      <c r="D44" s="7" t="s">
        <v>82</v>
      </c>
      <c r="E44" s="7" t="s">
        <v>19</v>
      </c>
      <c r="F44" s="7" t="str">
        <f aca="false">IFERROR(VLOOKUP(E44,'Category Mapping'!$A$2:$B$23,2,FALSE()),"NOT MAPPED")</f>
        <v>Abaya</v>
      </c>
      <c r="G44" s="7" t="s">
        <v>99</v>
      </c>
      <c r="H44" s="7" t="str">
        <f aca="false">IF(TRIM(G44)="","",PROPER(TRIM(G44)))</f>
        <v>Black</v>
      </c>
      <c r="I44" s="6" t="s">
        <v>42</v>
      </c>
      <c r="J44" s="6" t="str">
        <f aca="false">IFERROR(VLOOKUP(I44,'Size Mapping'!$A$2:$B$19,2,FALSE()),"NOT MAPPED")</f>
        <v>S</v>
      </c>
      <c r="K44" s="6" t="n">
        <v>45</v>
      </c>
      <c r="L44" s="6" t="str">
        <f aca="false">IF(ISBLANK(K44),"Missing",IF(NOT(ISNUMBER(K44)),"Non-numeric",IF(K44&lt;=0,"Invalid (&lt;=0)","OK")))</f>
        <v>OK</v>
      </c>
      <c r="M44" s="6" t="n">
        <v>4</v>
      </c>
      <c r="N44" s="6" t="str">
        <f aca="false">IF(ISBLANK(M44),"Missing",IF(NOT(ISNUMBER(M44)),"Non-numeric",IF(M44&lt;0,"Invalid (negative)","OK")))</f>
        <v>OK</v>
      </c>
      <c r="O44" s="6" t="n">
        <f aca="false">IF(B44="",1,0)+IF(C44="Duplicate SKU",1,0)+IF(D44="",1,0)+IF(LEFT(F44,10)="NOT MAPPED",1,0)+IF(LEFT(J44,10)="NOT MAPPED",1,0)+IF(L44="OK",0,1)+IF(N44="OK",0,1)</f>
        <v>0</v>
      </c>
      <c r="P44" s="8" t="str">
        <f aca="false">IF(RIGHT(IF(B44="","Missing SKU; ","")&amp;IF(C44="Duplicate SKU","Duplicate SKU; ","")&amp;IF(D44="","Missing Product Name; ","")&amp;IF(LEFT(F44,10)="NOT MAPPED","Invalid Category ("&amp;E44&amp;"); ","")&amp;IF(LEFT(J44,10)="NOT MAPPED","Invalid Size ("&amp;I44&amp;"); ","")&amp;IF(L44&lt;&gt;"OK","Invalid Price ("&amp;L44&amp;"); ","")&amp;IF(N44&lt;&gt;"OK","Invalid Stock ("&amp;N44&amp;"); ",""),2)="; ",LEFT(IF(B44="","Missing SKU; ","")&amp;IF(C44="Duplicate SKU","Duplicate SKU; ","")&amp;IF(D44="","Missing Product Name; ","")&amp;IF(LEFT(F44,10)="NOT MAPPED","Invalid Category ("&amp;E44&amp;"); ","")&amp;IF(LEFT(J44,10)="NOT MAPPED","Invalid Size ("&amp;I44&amp;"); ","")&amp;IF(L44&lt;&gt;"OK","Invalid Price ("&amp;L44&amp;"); ","")&amp;IF(N44&lt;&gt;"OK","Invalid Stock ("&amp;N44&amp;"); ",""),LEN(IF(B44="","Missing SKU; ","")&amp;IF(C44="Duplicate SKU","Duplicate SKU; ","")&amp;IF(D44="","Missing Product Name; ","")&amp;IF(LEFT(F44,10)="NOT MAPPED","Invalid Category ("&amp;E44&amp;"); ","")&amp;IF(LEFT(J44,10)="NOT MAPPED","Invalid Size ("&amp;I44&amp;"); ","")&amp;IF(L44&lt;&gt;"OK","Invalid Price ("&amp;L44&amp;"); ","")&amp;IF(N44&lt;&gt;"OK","Invalid Stock ("&amp;N44&amp;"); ",""))-2),IF(B44="","Missing SKU; ","")&amp;IF(C44="Duplicate SKU","Duplicate SKU; ","")&amp;IF(D44="","Missing Product Name; ","")&amp;IF(LEFT(F44,10)="NOT MAPPED","Invalid Category ("&amp;E44&amp;"); ","")&amp;IF(LEFT(J44,10)="NOT MAPPED","Invalid Size ("&amp;I44&amp;"); ","")&amp;IF(L44&lt;&gt;"OK","Invalid Price ("&amp;L44&amp;"); ","")&amp;IF(N44&lt;&gt;"OK","Invalid Stock ("&amp;N44&amp;"); ",""))</f>
        <v/>
      </c>
      <c r="Q44" s="6" t="str">
        <f aca="false">IF(O44=0,"Ready to List",IF(O44=1,"Needs Review","Incomplete"))</f>
        <v>Ready to List</v>
      </c>
    </row>
    <row r="45" customFormat="false" ht="15" hidden="false" customHeight="false" outlineLevel="0" collapsed="false">
      <c r="A45" s="6" t="n">
        <v>48</v>
      </c>
      <c r="B45" s="6"/>
      <c r="C45" s="6" t="str">
        <f aca="false">IF(B45="","",IF(COUNTIF($B$2:$B$50,B45)&gt;1,"Duplicate SKU",""))</f>
        <v/>
      </c>
      <c r="D45" s="7" t="s">
        <v>76</v>
      </c>
      <c r="E45" s="7" t="s">
        <v>3</v>
      </c>
      <c r="F45" s="7" t="str">
        <f aca="false">IFERROR(VLOOKUP(E45,'Category Mapping'!$A$2:$B$23,2,FALSE()),"NOT MAPPED")</f>
        <v>Abaya</v>
      </c>
      <c r="G45" s="7" t="s">
        <v>157</v>
      </c>
      <c r="H45" s="7" t="str">
        <f aca="false">IF(TRIM(G45)="","",PROPER(TRIM(G45)))</f>
        <v>Navy</v>
      </c>
      <c r="I45" s="6" t="s">
        <v>43</v>
      </c>
      <c r="J45" s="6" t="str">
        <f aca="false">IFERROR(VLOOKUP(I45,'Size Mapping'!$A$2:$B$19,2,FALSE()),"NOT MAPPED")</f>
        <v>S</v>
      </c>
      <c r="K45" s="6" t="n">
        <v>24</v>
      </c>
      <c r="L45" s="6" t="str">
        <f aca="false">IF(ISBLANK(K45),"Missing",IF(NOT(ISNUMBER(K45)),"Non-numeric",IF(K45&lt;=0,"Invalid (&lt;=0)","OK")))</f>
        <v>OK</v>
      </c>
      <c r="M45" s="6" t="n">
        <v>8</v>
      </c>
      <c r="N45" s="6" t="str">
        <f aca="false">IF(ISBLANK(M45),"Missing",IF(NOT(ISNUMBER(M45)),"Non-numeric",IF(M45&lt;0,"Invalid (negative)","OK")))</f>
        <v>OK</v>
      </c>
      <c r="O45" s="6" t="n">
        <f aca="false">IF(B45="",1,0)+IF(C45="Duplicate SKU",1,0)+IF(D45="",1,0)+IF(LEFT(F45,10)="NOT MAPPED",1,0)+IF(LEFT(J45,10)="NOT MAPPED",1,0)+IF(L45="OK",0,1)+IF(N45="OK",0,1)</f>
        <v>1</v>
      </c>
      <c r="P45" s="8" t="str">
        <f aca="false">IF(RIGHT(IF(B45="","Missing SKU; ","")&amp;IF(C45="Duplicate SKU","Duplicate SKU; ","")&amp;IF(D45="","Missing Product Name; ","")&amp;IF(LEFT(F45,10)="NOT MAPPED","Invalid Category ("&amp;E45&amp;"); ","")&amp;IF(LEFT(J45,10)="NOT MAPPED","Invalid Size ("&amp;I45&amp;"); ","")&amp;IF(L45&lt;&gt;"OK","Invalid Price ("&amp;L45&amp;"); ","")&amp;IF(N45&lt;&gt;"OK","Invalid Stock ("&amp;N45&amp;"); ",""),2)="; ",LEFT(IF(B45="","Missing SKU; ","")&amp;IF(C45="Duplicate SKU","Duplicate SKU; ","")&amp;IF(D45="","Missing Product Name; ","")&amp;IF(LEFT(F45,10)="NOT MAPPED","Invalid Category ("&amp;E45&amp;"); ","")&amp;IF(LEFT(J45,10)="NOT MAPPED","Invalid Size ("&amp;I45&amp;"); ","")&amp;IF(L45&lt;&gt;"OK","Invalid Price ("&amp;L45&amp;"); ","")&amp;IF(N45&lt;&gt;"OK","Invalid Stock ("&amp;N45&amp;"); ",""),LEN(IF(B45="","Missing SKU; ","")&amp;IF(C45="Duplicate SKU","Duplicate SKU; ","")&amp;IF(D45="","Missing Product Name; ","")&amp;IF(LEFT(F45,10)="NOT MAPPED","Invalid Category ("&amp;E45&amp;"); ","")&amp;IF(LEFT(J45,10)="NOT MAPPED","Invalid Size ("&amp;I45&amp;"); ","")&amp;IF(L45&lt;&gt;"OK","Invalid Price ("&amp;L45&amp;"); ","")&amp;IF(N45&lt;&gt;"OK","Invalid Stock ("&amp;N45&amp;"); ",""))-2),IF(B45="","Missing SKU; ","")&amp;IF(C45="Duplicate SKU","Duplicate SKU; ","")&amp;IF(D45="","Missing Product Name; ","")&amp;IF(LEFT(F45,10)="NOT MAPPED","Invalid Category ("&amp;E45&amp;"); ","")&amp;IF(LEFT(J45,10)="NOT MAPPED","Invalid Size ("&amp;I45&amp;"); ","")&amp;IF(L45&lt;&gt;"OK","Invalid Price ("&amp;L45&amp;"); ","")&amp;IF(N45&lt;&gt;"OK","Invalid Stock ("&amp;N45&amp;"); ",""))</f>
        <v>Missing SKU</v>
      </c>
      <c r="Q45" s="6" t="str">
        <f aca="false">IF(O45=0,"Ready to List",IF(O45=1,"Needs Review","Incomplete"))</f>
        <v>Needs Review</v>
      </c>
    </row>
    <row r="46" customFormat="false" ht="15" hidden="false" customHeight="false" outlineLevel="0" collapsed="false">
      <c r="A46" s="6" t="n">
        <v>49</v>
      </c>
      <c r="B46" s="6" t="s">
        <v>158</v>
      </c>
      <c r="C46" s="6" t="str">
        <f aca="false">IF(B46="","",IF(COUNTIF($B$2:$B$50,B46)&gt;1,"Duplicate SKU",""))</f>
        <v/>
      </c>
      <c r="D46" s="7" t="s">
        <v>79</v>
      </c>
      <c r="E46" s="7" t="s">
        <v>24</v>
      </c>
      <c r="F46" s="7" t="str">
        <f aca="false">IFERROR(VLOOKUP(E46,'Category Mapping'!$A$2:$B$23,2,FALSE()),"NOT MAPPED")</f>
        <v>NOT MAPPED - INVALID</v>
      </c>
      <c r="G46" s="7" t="s">
        <v>159</v>
      </c>
      <c r="H46" s="7" t="str">
        <f aca="false">IF(TRIM(G46)="","",PROPER(TRIM(G46)))</f>
        <v>Peach</v>
      </c>
      <c r="I46" s="6" t="s">
        <v>28</v>
      </c>
      <c r="J46" s="6" t="str">
        <f aca="false">IFERROR(VLOOKUP(I46,'Size Mapping'!$A$2:$B$19,2,FALSE()),"NOT MAPPED")</f>
        <v>All Size</v>
      </c>
      <c r="K46" s="6" t="n">
        <v>13</v>
      </c>
      <c r="L46" s="6" t="str">
        <f aca="false">IF(ISBLANK(K46),"Missing",IF(NOT(ISNUMBER(K46)),"Non-numeric",IF(K46&lt;=0,"Invalid (&lt;=0)","OK")))</f>
        <v>OK</v>
      </c>
      <c r="M46" s="6" t="n">
        <v>18</v>
      </c>
      <c r="N46" s="6" t="str">
        <f aca="false">IF(ISBLANK(M46),"Missing",IF(NOT(ISNUMBER(M46)),"Non-numeric",IF(M46&lt;0,"Invalid (negative)","OK")))</f>
        <v>OK</v>
      </c>
      <c r="O46" s="6" t="n">
        <f aca="false">IF(B46="",1,0)+IF(C46="Duplicate SKU",1,0)+IF(D46="",1,0)+IF(LEFT(F46,10)="NOT MAPPED",1,0)+IF(LEFT(J46,10)="NOT MAPPED",1,0)+IF(L46="OK",0,1)+IF(N46="OK",0,1)</f>
        <v>1</v>
      </c>
      <c r="P46" s="8" t="str">
        <f aca="false">IF(RIGHT(IF(B46="","Missing SKU; ","")&amp;IF(C46="Duplicate SKU","Duplicate SKU; ","")&amp;IF(D46="","Missing Product Name; ","")&amp;IF(LEFT(F46,10)="NOT MAPPED","Invalid Category ("&amp;E46&amp;"); ","")&amp;IF(LEFT(J46,10)="NOT MAPPED","Invalid Size ("&amp;I46&amp;"); ","")&amp;IF(L46&lt;&gt;"OK","Invalid Price ("&amp;L46&amp;"); ","")&amp;IF(N46&lt;&gt;"OK","Invalid Stock ("&amp;N46&amp;"); ",""),2)="; ",LEFT(IF(B46="","Missing SKU; ","")&amp;IF(C46="Duplicate SKU","Duplicate SKU; ","")&amp;IF(D46="","Missing Product Name; ","")&amp;IF(LEFT(F46,10)="NOT MAPPED","Invalid Category ("&amp;E46&amp;"); ","")&amp;IF(LEFT(J46,10)="NOT MAPPED","Invalid Size ("&amp;I46&amp;"); ","")&amp;IF(L46&lt;&gt;"OK","Invalid Price ("&amp;L46&amp;"); ","")&amp;IF(N46&lt;&gt;"OK","Invalid Stock ("&amp;N46&amp;"); ",""),LEN(IF(B46="","Missing SKU; ","")&amp;IF(C46="Duplicate SKU","Duplicate SKU; ","")&amp;IF(D46="","Missing Product Name; ","")&amp;IF(LEFT(F46,10)="NOT MAPPED","Invalid Category ("&amp;E46&amp;"); ","")&amp;IF(LEFT(J46,10)="NOT MAPPED","Invalid Size ("&amp;I46&amp;"); ","")&amp;IF(L46&lt;&gt;"OK","Invalid Price ("&amp;L46&amp;"); ","")&amp;IF(N46&lt;&gt;"OK","Invalid Stock ("&amp;N46&amp;"); ",""))-2),IF(B46="","Missing SKU; ","")&amp;IF(C46="Duplicate SKU","Duplicate SKU; ","")&amp;IF(D46="","Missing Product Name; ","")&amp;IF(LEFT(F46,10)="NOT MAPPED","Invalid Category ("&amp;E46&amp;"); ","")&amp;IF(LEFT(J46,10)="NOT MAPPED","Invalid Size ("&amp;I46&amp;"); ","")&amp;IF(L46&lt;&gt;"OK","Invalid Price ("&amp;L46&amp;"); ","")&amp;IF(N46&lt;&gt;"OK","Invalid Stock ("&amp;N46&amp;"); ",""))</f>
        <v>Invalid Category (New Arrival)</v>
      </c>
      <c r="Q46" s="6" t="str">
        <f aca="false">IF(O46=0,"Ready to List",IF(O46=1,"Needs Review","Incomplete"))</f>
        <v>Needs Review</v>
      </c>
    </row>
    <row r="47" customFormat="false" ht="15" hidden="false" customHeight="false" outlineLevel="0" collapsed="false">
      <c r="A47" s="6" t="n">
        <v>50</v>
      </c>
      <c r="B47" s="6" t="s">
        <v>160</v>
      </c>
      <c r="C47" s="6" t="str">
        <f aca="false">IF(B47="","",IF(COUNTIF($B$2:$B$50,B47)&gt;1,"Duplicate SKU",""))</f>
        <v/>
      </c>
      <c r="D47" s="7" t="s">
        <v>108</v>
      </c>
      <c r="E47" s="7" t="s">
        <v>23</v>
      </c>
      <c r="F47" s="7" t="str">
        <f aca="false">IFERROR(VLOOKUP(E47,'Category Mapping'!$A$2:$B$23,2,FALSE()),"NOT MAPPED")</f>
        <v>Hijab</v>
      </c>
      <c r="G47" s="7" t="s">
        <v>161</v>
      </c>
      <c r="H47" s="7" t="str">
        <f aca="false">IF(TRIM(G47)="","",PROPER(TRIM(G47)))</f>
        <v>Black</v>
      </c>
      <c r="I47" s="6" t="s">
        <v>35</v>
      </c>
      <c r="J47" s="6" t="str">
        <f aca="false">IFERROR(VLOOKUP(I47,'Size Mapping'!$A$2:$B$19,2,FALSE()),"NOT MAPPED")</f>
        <v>XL</v>
      </c>
      <c r="K47" s="6" t="n">
        <v>14</v>
      </c>
      <c r="L47" s="6" t="str">
        <f aca="false">IF(ISBLANK(K47),"Missing",IF(NOT(ISNUMBER(K47)),"Non-numeric",IF(K47&lt;=0,"Invalid (&lt;=0)","OK")))</f>
        <v>OK</v>
      </c>
      <c r="M47" s="6" t="n">
        <v>11</v>
      </c>
      <c r="N47" s="6" t="str">
        <f aca="false">IF(ISBLANK(M47),"Missing",IF(NOT(ISNUMBER(M47)),"Non-numeric",IF(M47&lt;0,"Invalid (negative)","OK")))</f>
        <v>OK</v>
      </c>
      <c r="O47" s="6" t="n">
        <f aca="false">IF(B47="",1,0)+IF(C47="Duplicate SKU",1,0)+IF(D47="",1,0)+IF(LEFT(F47,10)="NOT MAPPED",1,0)+IF(LEFT(J47,10)="NOT MAPPED",1,0)+IF(L47="OK",0,1)+IF(N47="OK",0,1)</f>
        <v>0</v>
      </c>
      <c r="P47" s="8" t="str">
        <f aca="false">IF(RIGHT(IF(B47="","Missing SKU; ","")&amp;IF(C47="Duplicate SKU","Duplicate SKU; ","")&amp;IF(D47="","Missing Product Name; ","")&amp;IF(LEFT(F47,10)="NOT MAPPED","Invalid Category ("&amp;E47&amp;"); ","")&amp;IF(LEFT(J47,10)="NOT MAPPED","Invalid Size ("&amp;I47&amp;"); ","")&amp;IF(L47&lt;&gt;"OK","Invalid Price ("&amp;L47&amp;"); ","")&amp;IF(N47&lt;&gt;"OK","Invalid Stock ("&amp;N47&amp;"); ",""),2)="; ",LEFT(IF(B47="","Missing SKU; ","")&amp;IF(C47="Duplicate SKU","Duplicate SKU; ","")&amp;IF(D47="","Missing Product Name; ","")&amp;IF(LEFT(F47,10)="NOT MAPPED","Invalid Category ("&amp;E47&amp;"); ","")&amp;IF(LEFT(J47,10)="NOT MAPPED","Invalid Size ("&amp;I47&amp;"); ","")&amp;IF(L47&lt;&gt;"OK","Invalid Price ("&amp;L47&amp;"); ","")&amp;IF(N47&lt;&gt;"OK","Invalid Stock ("&amp;N47&amp;"); ",""),LEN(IF(B47="","Missing SKU; ","")&amp;IF(C47="Duplicate SKU","Duplicate SKU; ","")&amp;IF(D47="","Missing Product Name; ","")&amp;IF(LEFT(F47,10)="NOT MAPPED","Invalid Category ("&amp;E47&amp;"); ","")&amp;IF(LEFT(J47,10)="NOT MAPPED","Invalid Size ("&amp;I47&amp;"); ","")&amp;IF(L47&lt;&gt;"OK","Invalid Price ("&amp;L47&amp;"); ","")&amp;IF(N47&lt;&gt;"OK","Invalid Stock ("&amp;N47&amp;"); ",""))-2),IF(B47="","Missing SKU; ","")&amp;IF(C47="Duplicate SKU","Duplicate SKU; ","")&amp;IF(D47="","Missing Product Name; ","")&amp;IF(LEFT(F47,10)="NOT MAPPED","Invalid Category ("&amp;E47&amp;"); ","")&amp;IF(LEFT(J47,10)="NOT MAPPED","Invalid Size ("&amp;I47&amp;"); ","")&amp;IF(L47&lt;&gt;"OK","Invalid Price ("&amp;L47&amp;"); ","")&amp;IF(N47&lt;&gt;"OK","Invalid Stock ("&amp;N47&amp;"); ",""))</f>
        <v/>
      </c>
      <c r="Q47" s="6" t="str">
        <f aca="false">IF(O47=0,"Ready to List",IF(O47=1,"Needs Review","Incomplete"))</f>
        <v>Ready to List</v>
      </c>
    </row>
    <row r="48" customFormat="false" ht="15" hidden="false" customHeight="false" outlineLevel="0" collapsed="false">
      <c r="A48" s="6" t="n">
        <v>51</v>
      </c>
      <c r="B48" s="6" t="s">
        <v>162</v>
      </c>
      <c r="C48" s="6" t="str">
        <f aca="false">IF(B48="","",IF(COUNTIF($B$2:$B$50,B48)&gt;1,"Duplicate SKU",""))</f>
        <v/>
      </c>
      <c r="D48" s="7" t="s">
        <v>62</v>
      </c>
      <c r="E48" s="7" t="s">
        <v>22</v>
      </c>
      <c r="F48" s="7" t="str">
        <f aca="false">IFERROR(VLOOKUP(E48,'Category Mapping'!$A$2:$B$23,2,FALSE()),"NOT MAPPED")</f>
        <v>Abaya</v>
      </c>
      <c r="G48" s="7" t="s">
        <v>163</v>
      </c>
      <c r="H48" s="7" t="str">
        <f aca="false">IF(TRIM(G48)="","",PROPER(TRIM(G48)))</f>
        <v>Black</v>
      </c>
      <c r="I48" s="6" t="s">
        <v>26</v>
      </c>
      <c r="J48" s="6" t="str">
        <f aca="false">IFERROR(VLOOKUP(I48,'Size Mapping'!$A$2:$B$19,2,FALSE()),"NOT MAPPED")</f>
        <v>M</v>
      </c>
      <c r="K48" s="6" t="n">
        <v>38</v>
      </c>
      <c r="L48" s="6" t="str">
        <f aca="false">IF(ISBLANK(K48),"Missing",IF(NOT(ISNUMBER(K48)),"Non-numeric",IF(K48&lt;=0,"Invalid (&lt;=0)","OK")))</f>
        <v>OK</v>
      </c>
      <c r="M48" s="6" t="n">
        <v>14</v>
      </c>
      <c r="N48" s="6" t="str">
        <f aca="false">IF(ISBLANK(M48),"Missing",IF(NOT(ISNUMBER(M48)),"Non-numeric",IF(M48&lt;0,"Invalid (negative)","OK")))</f>
        <v>OK</v>
      </c>
      <c r="O48" s="6" t="n">
        <f aca="false">IF(B48="",1,0)+IF(C48="Duplicate SKU",1,0)+IF(D48="",1,0)+IF(LEFT(F48,10)="NOT MAPPED",1,0)+IF(LEFT(J48,10)="NOT MAPPED",1,0)+IF(L48="OK",0,1)+IF(N48="OK",0,1)</f>
        <v>0</v>
      </c>
      <c r="P48" s="8" t="str">
        <f aca="false">IF(RIGHT(IF(B48="","Missing SKU; ","")&amp;IF(C48="Duplicate SKU","Duplicate SKU; ","")&amp;IF(D48="","Missing Product Name; ","")&amp;IF(LEFT(F48,10)="NOT MAPPED","Invalid Category ("&amp;E48&amp;"); ","")&amp;IF(LEFT(J48,10)="NOT MAPPED","Invalid Size ("&amp;I48&amp;"); ","")&amp;IF(L48&lt;&gt;"OK","Invalid Price ("&amp;L48&amp;"); ","")&amp;IF(N48&lt;&gt;"OK","Invalid Stock ("&amp;N48&amp;"); ",""),2)="; ",LEFT(IF(B48="","Missing SKU; ","")&amp;IF(C48="Duplicate SKU","Duplicate SKU; ","")&amp;IF(D48="","Missing Product Name; ","")&amp;IF(LEFT(F48,10)="NOT MAPPED","Invalid Category ("&amp;E48&amp;"); ","")&amp;IF(LEFT(J48,10)="NOT MAPPED","Invalid Size ("&amp;I48&amp;"); ","")&amp;IF(L48&lt;&gt;"OK","Invalid Price ("&amp;L48&amp;"); ","")&amp;IF(N48&lt;&gt;"OK","Invalid Stock ("&amp;N48&amp;"); ",""),LEN(IF(B48="","Missing SKU; ","")&amp;IF(C48="Duplicate SKU","Duplicate SKU; ","")&amp;IF(D48="","Missing Product Name; ","")&amp;IF(LEFT(F48,10)="NOT MAPPED","Invalid Category ("&amp;E48&amp;"); ","")&amp;IF(LEFT(J48,10)="NOT MAPPED","Invalid Size ("&amp;I48&amp;"); ","")&amp;IF(L48&lt;&gt;"OK","Invalid Price ("&amp;L48&amp;"); ","")&amp;IF(N48&lt;&gt;"OK","Invalid Stock ("&amp;N48&amp;"); ",""))-2),IF(B48="","Missing SKU; ","")&amp;IF(C48="Duplicate SKU","Duplicate SKU; ","")&amp;IF(D48="","Missing Product Name; ","")&amp;IF(LEFT(F48,10)="NOT MAPPED","Invalid Category ("&amp;E48&amp;"); ","")&amp;IF(LEFT(J48,10)="NOT MAPPED","Invalid Size ("&amp;I48&amp;"); ","")&amp;IF(L48&lt;&gt;"OK","Invalid Price ("&amp;L48&amp;"); ","")&amp;IF(N48&lt;&gt;"OK","Invalid Stock ("&amp;N48&amp;"); ",""))</f>
        <v/>
      </c>
      <c r="Q48" s="6" t="str">
        <f aca="false">IF(O48=0,"Ready to List",IF(O48=1,"Needs Review","Incomplete"))</f>
        <v>Ready to List</v>
      </c>
    </row>
    <row r="49" customFormat="false" ht="15" hidden="false" customHeight="false" outlineLevel="0" collapsed="false">
      <c r="A49" s="6" t="n">
        <v>52</v>
      </c>
      <c r="B49" s="6" t="s">
        <v>164</v>
      </c>
      <c r="C49" s="6" t="str">
        <f aca="false">IF(B49="","",IF(COUNTIF($B$2:$B$50,B49)&gt;1,"Duplicate SKU",""))</f>
        <v/>
      </c>
      <c r="D49" s="7" t="s">
        <v>62</v>
      </c>
      <c r="E49" s="7" t="s">
        <v>2</v>
      </c>
      <c r="F49" s="7" t="str">
        <f aca="false">IFERROR(VLOOKUP(E49,'Category Mapping'!$A$2:$B$23,2,FALSE()),"NOT MAPPED")</f>
        <v>Abaya</v>
      </c>
      <c r="G49" s="7" t="s">
        <v>161</v>
      </c>
      <c r="H49" s="7" t="str">
        <f aca="false">IF(TRIM(G49)="","",PROPER(TRIM(G49)))</f>
        <v>Black</v>
      </c>
      <c r="I49" s="6" t="s">
        <v>37</v>
      </c>
      <c r="J49" s="6" t="str">
        <f aca="false">IFERROR(VLOOKUP(I49,'Size Mapping'!$A$2:$B$19,2,FALSE()),"NOT MAPPED")</f>
        <v>L</v>
      </c>
      <c r="K49" s="6" t="n">
        <v>38</v>
      </c>
      <c r="L49" s="6" t="str">
        <f aca="false">IF(ISBLANK(K49),"Missing",IF(NOT(ISNUMBER(K49)),"Non-numeric",IF(K49&lt;=0,"Invalid (&lt;=0)","OK")))</f>
        <v>OK</v>
      </c>
      <c r="M49" s="6" t="n">
        <v>10</v>
      </c>
      <c r="N49" s="6" t="str">
        <f aca="false">IF(ISBLANK(M49),"Missing",IF(NOT(ISNUMBER(M49)),"Non-numeric",IF(M49&lt;0,"Invalid (negative)","OK")))</f>
        <v>OK</v>
      </c>
      <c r="O49" s="6" t="n">
        <f aca="false">IF(B49="",1,0)+IF(C49="Duplicate SKU",1,0)+IF(D49="",1,0)+IF(LEFT(F49,10)="NOT MAPPED",1,0)+IF(LEFT(J49,10)="NOT MAPPED",1,0)+IF(L49="OK",0,1)+IF(N49="OK",0,1)</f>
        <v>0</v>
      </c>
      <c r="P49" s="8" t="str">
        <f aca="false">IF(RIGHT(IF(B49="","Missing SKU; ","")&amp;IF(C49="Duplicate SKU","Duplicate SKU; ","")&amp;IF(D49="","Missing Product Name; ","")&amp;IF(LEFT(F49,10)="NOT MAPPED","Invalid Category ("&amp;E49&amp;"); ","")&amp;IF(LEFT(J49,10)="NOT MAPPED","Invalid Size ("&amp;I49&amp;"); ","")&amp;IF(L49&lt;&gt;"OK","Invalid Price ("&amp;L49&amp;"); ","")&amp;IF(N49&lt;&gt;"OK","Invalid Stock ("&amp;N49&amp;"); ",""),2)="; ",LEFT(IF(B49="","Missing SKU; ","")&amp;IF(C49="Duplicate SKU","Duplicate SKU; ","")&amp;IF(D49="","Missing Product Name; ","")&amp;IF(LEFT(F49,10)="NOT MAPPED","Invalid Category ("&amp;E49&amp;"); ","")&amp;IF(LEFT(J49,10)="NOT MAPPED","Invalid Size ("&amp;I49&amp;"); ","")&amp;IF(L49&lt;&gt;"OK","Invalid Price ("&amp;L49&amp;"); ","")&amp;IF(N49&lt;&gt;"OK","Invalid Stock ("&amp;N49&amp;"); ",""),LEN(IF(B49="","Missing SKU; ","")&amp;IF(C49="Duplicate SKU","Duplicate SKU; ","")&amp;IF(D49="","Missing Product Name; ","")&amp;IF(LEFT(F49,10)="NOT MAPPED","Invalid Category ("&amp;E49&amp;"); ","")&amp;IF(LEFT(J49,10)="NOT MAPPED","Invalid Size ("&amp;I49&amp;"); ","")&amp;IF(L49&lt;&gt;"OK","Invalid Price ("&amp;L49&amp;"); ","")&amp;IF(N49&lt;&gt;"OK","Invalid Stock ("&amp;N49&amp;"); ",""))-2),IF(B49="","Missing SKU; ","")&amp;IF(C49="Duplicate SKU","Duplicate SKU; ","")&amp;IF(D49="","Missing Product Name; ","")&amp;IF(LEFT(F49,10)="NOT MAPPED","Invalid Category ("&amp;E49&amp;"); ","")&amp;IF(LEFT(J49,10)="NOT MAPPED","Invalid Size ("&amp;I49&amp;"); ","")&amp;IF(L49&lt;&gt;"OK","Invalid Price ("&amp;L49&amp;"); ","")&amp;IF(N49&lt;&gt;"OK","Invalid Stock ("&amp;N49&amp;"); ",""))</f>
        <v/>
      </c>
      <c r="Q49" s="6" t="str">
        <f aca="false">IF(O49=0,"Ready to List",IF(O49=1,"Needs Review","Incomplete"))</f>
        <v>Ready to List</v>
      </c>
    </row>
    <row r="50" customFormat="false" ht="15" hidden="false" customHeight="false" outlineLevel="0" collapsed="false">
      <c r="A50" s="6" t="n">
        <v>53</v>
      </c>
      <c r="B50" s="6" t="s">
        <v>165</v>
      </c>
      <c r="C50" s="6" t="str">
        <f aca="false">IF(B50="","",IF(COUNTIF($B$2:$B$50,B50)&gt;1,"Duplicate SKU",""))</f>
        <v/>
      </c>
      <c r="D50" s="7" t="s">
        <v>149</v>
      </c>
      <c r="E50" s="7" t="s">
        <v>15</v>
      </c>
      <c r="F50" s="7" t="str">
        <f aca="false">IFERROR(VLOOKUP(E50,'Category Mapping'!$A$2:$B$23,2,FALSE()),"NOT MAPPED")</f>
        <v>Accessories</v>
      </c>
      <c r="G50" s="7" t="s">
        <v>166</v>
      </c>
      <c r="H50" s="7" t="str">
        <f aca="false">IF(TRIM(G50)="","",PROPER(TRIM(G50)))</f>
        <v>Silver</v>
      </c>
      <c r="I50" s="6" t="s">
        <v>38</v>
      </c>
      <c r="J50" s="6" t="str">
        <f aca="false">IFERROR(VLOOKUP(I50,'Size Mapping'!$A$2:$B$19,2,FALSE()),"NOT MAPPED")</f>
        <v>All Size</v>
      </c>
      <c r="K50" s="6" t="n">
        <v>6.5</v>
      </c>
      <c r="L50" s="6" t="str">
        <f aca="false">IF(ISBLANK(K50),"Missing",IF(NOT(ISNUMBER(K50)),"Non-numeric",IF(K50&lt;=0,"Invalid (&lt;=0)","OK")))</f>
        <v>OK</v>
      </c>
      <c r="M50" s="6" t="n">
        <v>24</v>
      </c>
      <c r="N50" s="6" t="str">
        <f aca="false">IF(ISBLANK(M50),"Missing",IF(NOT(ISNUMBER(M50)),"Non-numeric",IF(M50&lt;0,"Invalid (negative)","OK")))</f>
        <v>OK</v>
      </c>
      <c r="O50" s="6" t="n">
        <f aca="false">IF(B50="",1,0)+IF(C50="Duplicate SKU",1,0)+IF(D50="",1,0)+IF(LEFT(F50,10)="NOT MAPPED",1,0)+IF(LEFT(J50,10)="NOT MAPPED",1,0)+IF(L50="OK",0,1)+IF(N50="OK",0,1)</f>
        <v>0</v>
      </c>
      <c r="P50" s="8" t="str">
        <f aca="false">IF(RIGHT(IF(B50="","Missing SKU; ","")&amp;IF(C50="Duplicate SKU","Duplicate SKU; ","")&amp;IF(D50="","Missing Product Name; ","")&amp;IF(LEFT(F50,10)="NOT MAPPED","Invalid Category ("&amp;E50&amp;"); ","")&amp;IF(LEFT(J50,10)="NOT MAPPED","Invalid Size ("&amp;I50&amp;"); ","")&amp;IF(L50&lt;&gt;"OK","Invalid Price ("&amp;L50&amp;"); ","")&amp;IF(N50&lt;&gt;"OK","Invalid Stock ("&amp;N50&amp;"); ",""),2)="; ",LEFT(IF(B50="","Missing SKU; ","")&amp;IF(C50="Duplicate SKU","Duplicate SKU; ","")&amp;IF(D50="","Missing Product Name; ","")&amp;IF(LEFT(F50,10)="NOT MAPPED","Invalid Category ("&amp;E50&amp;"); ","")&amp;IF(LEFT(J50,10)="NOT MAPPED","Invalid Size ("&amp;I50&amp;"); ","")&amp;IF(L50&lt;&gt;"OK","Invalid Price ("&amp;L50&amp;"); ","")&amp;IF(N50&lt;&gt;"OK","Invalid Stock ("&amp;N50&amp;"); ",""),LEN(IF(B50="","Missing SKU; ","")&amp;IF(C50="Duplicate SKU","Duplicate SKU; ","")&amp;IF(D50="","Missing Product Name; ","")&amp;IF(LEFT(F50,10)="NOT MAPPED","Invalid Category ("&amp;E50&amp;"); ","")&amp;IF(LEFT(J50,10)="NOT MAPPED","Invalid Size ("&amp;I50&amp;"); ","")&amp;IF(L50&lt;&gt;"OK","Invalid Price ("&amp;L50&amp;"); ","")&amp;IF(N50&lt;&gt;"OK","Invalid Stock ("&amp;N50&amp;"); ",""))-2),IF(B50="","Missing SKU; ","")&amp;IF(C50="Duplicate SKU","Duplicate SKU; ","")&amp;IF(D50="","Missing Product Name; ","")&amp;IF(LEFT(F50,10)="NOT MAPPED","Invalid Category ("&amp;E50&amp;"); ","")&amp;IF(LEFT(J50,10)="NOT MAPPED","Invalid Size ("&amp;I50&amp;"); ","")&amp;IF(L50&lt;&gt;"OK","Invalid Price ("&amp;L50&amp;"); ","")&amp;IF(N50&lt;&gt;"OK","Invalid Stock ("&amp;N50&amp;"); ",""))</f>
        <v/>
      </c>
      <c r="Q50" s="6" t="str">
        <f aca="false">IF(O50=0,"Ready to List",IF(O50=1,"Needs Review","Incomplete"))</f>
        <v>Ready to List</v>
      </c>
    </row>
  </sheetData>
  <conditionalFormatting sqref="Q2:Q50">
    <cfRule type="expression" priority="2" aboveAverage="0" equalAverage="0" bottom="0" percent="0" rank="0" text="" dxfId="0">
      <formula>Q2="Ready to List"</formula>
    </cfRule>
    <cfRule type="expression" priority="3" aboveAverage="0" equalAverage="0" bottom="0" percent="0" rank="0" text="" dxfId="1">
      <formula>Q2="Incomplete"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5F"/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3" min="3" style="1" width="52"/>
  </cols>
  <sheetData>
    <row r="1" customFormat="false" ht="24" hidden="false" customHeight="true" outlineLevel="0" collapsed="false">
      <c r="A1" s="9" t="s">
        <v>167</v>
      </c>
      <c r="B1" s="9"/>
      <c r="C1" s="9"/>
    </row>
    <row r="3" customFormat="false" ht="15" hidden="false" customHeight="false" outlineLevel="0" collapsed="false">
      <c r="A3" s="10" t="s">
        <v>168</v>
      </c>
    </row>
    <row r="4" customFormat="false" ht="43.5" hidden="false" customHeight="true" outlineLevel="0" collapsed="false">
      <c r="A4" s="11" t="s">
        <v>169</v>
      </c>
      <c r="B4" s="12" t="s">
        <v>170</v>
      </c>
      <c r="C4" s="12"/>
    </row>
    <row r="6" customFormat="false" ht="43.5" hidden="false" customHeight="true" outlineLevel="0" collapsed="false">
      <c r="A6" s="11" t="s">
        <v>171</v>
      </c>
      <c r="B6" s="12" t="s">
        <v>172</v>
      </c>
      <c r="C6" s="12"/>
    </row>
    <row r="8" customFormat="false" ht="43.5" hidden="false" customHeight="true" outlineLevel="0" collapsed="false">
      <c r="A8" s="11" t="s">
        <v>173</v>
      </c>
      <c r="B8" s="12" t="s">
        <v>174</v>
      </c>
      <c r="C8" s="12"/>
    </row>
    <row r="10" customFormat="false" ht="43.5" hidden="false" customHeight="true" outlineLevel="0" collapsed="false">
      <c r="A10" s="11" t="s">
        <v>175</v>
      </c>
      <c r="B10" s="12" t="s">
        <v>176</v>
      </c>
      <c r="C10" s="12"/>
    </row>
    <row r="12" customFormat="false" ht="43.5" hidden="false" customHeight="true" outlineLevel="0" collapsed="false">
      <c r="A12" s="11" t="s">
        <v>177</v>
      </c>
      <c r="B12" s="12" t="s">
        <v>178</v>
      </c>
      <c r="C12" s="12"/>
    </row>
    <row r="15" customFormat="false" ht="15" hidden="false" customHeight="false" outlineLevel="0" collapsed="false">
      <c r="A15" s="10" t="s">
        <v>179</v>
      </c>
    </row>
    <row r="16" customFormat="false" ht="18" hidden="false" customHeight="true" outlineLevel="0" collapsed="false">
      <c r="A16" s="2" t="s">
        <v>169</v>
      </c>
      <c r="B16" s="2" t="s">
        <v>180</v>
      </c>
      <c r="C16" s="2" t="s">
        <v>181</v>
      </c>
    </row>
    <row r="17" customFormat="false" ht="30" hidden="false" customHeight="true" outlineLevel="0" collapsed="false">
      <c r="A17" s="4" t="s">
        <v>182</v>
      </c>
      <c r="B17" s="13" t="n">
        <f aca="false">COUNTIF('Cleaned Catalog'!B2:B50,"")</f>
        <v>1</v>
      </c>
      <c r="C17" s="14" t="s">
        <v>183</v>
      </c>
    </row>
    <row r="18" customFormat="false" ht="30" hidden="false" customHeight="true" outlineLevel="0" collapsed="false">
      <c r="A18" s="4" t="s">
        <v>184</v>
      </c>
      <c r="B18" s="13" t="n">
        <f aca="false">COUNTIF('Cleaned Catalog'!D2:D50,"")</f>
        <v>1</v>
      </c>
      <c r="C18" s="14" t="s">
        <v>185</v>
      </c>
    </row>
    <row r="19" customFormat="false" ht="30" hidden="false" customHeight="true" outlineLevel="0" collapsed="false">
      <c r="A19" s="4" t="s">
        <v>175</v>
      </c>
      <c r="B19" s="13" t="n">
        <f aca="false">COUNTIF('Cleaned Catalog'!C2:C50,"Duplicate SKU")</f>
        <v>6</v>
      </c>
      <c r="C19" s="14" t="s">
        <v>186</v>
      </c>
    </row>
    <row r="20" customFormat="false" ht="30" hidden="false" customHeight="true" outlineLevel="0" collapsed="false">
      <c r="A20" s="4" t="s">
        <v>187</v>
      </c>
      <c r="B20" s="13" t="n">
        <f aca="false">COUNTIF('Cleaned Catalog'!F2:F50,"NOT MAPPED*")</f>
        <v>2</v>
      </c>
      <c r="C20" s="14" t="s">
        <v>188</v>
      </c>
    </row>
    <row r="21" customFormat="false" ht="30" hidden="false" customHeight="true" outlineLevel="0" collapsed="false">
      <c r="A21" s="4" t="s">
        <v>189</v>
      </c>
      <c r="B21" s="13" t="n">
        <f aca="false">COUNTIF('Cleaned Catalog'!J2:J50,"NOT MAPPED*")</f>
        <v>0</v>
      </c>
      <c r="C21" s="14" t="s">
        <v>190</v>
      </c>
    </row>
    <row r="22" customFormat="false" ht="30" hidden="false" customHeight="true" outlineLevel="0" collapsed="false">
      <c r="A22" s="4" t="s">
        <v>191</v>
      </c>
      <c r="B22" s="13" t="n">
        <f aca="false">COUNTIFS('Cleaned Catalog'!L2:L50,"&lt;&gt;OK")</f>
        <v>3</v>
      </c>
      <c r="C22" s="14" t="s">
        <v>192</v>
      </c>
    </row>
    <row r="23" customFormat="false" ht="30" hidden="false" customHeight="true" outlineLevel="0" collapsed="false">
      <c r="A23" s="4" t="s">
        <v>193</v>
      </c>
      <c r="B23" s="13" t="n">
        <f aca="false">COUNTIFS('Cleaned Catalog'!N2:N50,"&lt;&gt;OK")</f>
        <v>3</v>
      </c>
      <c r="C23" s="14" t="s">
        <v>194</v>
      </c>
    </row>
    <row r="26" customFormat="false" ht="15" hidden="false" customHeight="false" outlineLevel="0" collapsed="false">
      <c r="A26" s="10" t="s">
        <v>195</v>
      </c>
    </row>
    <row r="27" customFormat="false" ht="18" hidden="false" customHeight="true" outlineLevel="0" collapsed="false">
      <c r="A27" s="2" t="s">
        <v>196</v>
      </c>
      <c r="B27" s="2" t="s">
        <v>197</v>
      </c>
    </row>
    <row r="28" customFormat="false" ht="15" hidden="false" customHeight="false" outlineLevel="0" collapsed="false">
      <c r="A28" s="4" t="s">
        <v>198</v>
      </c>
      <c r="B28" s="13" t="n">
        <f aca="false">COUNTIF('Cleaned Catalog'!Q2:Q50,"Ready to List")</f>
        <v>33</v>
      </c>
    </row>
    <row r="29" customFormat="false" ht="15" hidden="false" customHeight="false" outlineLevel="0" collapsed="false">
      <c r="A29" s="4" t="s">
        <v>199</v>
      </c>
      <c r="B29" s="13" t="n">
        <f aca="false">COUNTIF('Cleaned Catalog'!Q2:Q50,"Needs Review")</f>
        <v>16</v>
      </c>
    </row>
    <row r="30" customFormat="false" ht="15" hidden="false" customHeight="false" outlineLevel="0" collapsed="false">
      <c r="A30" s="4" t="s">
        <v>200</v>
      </c>
      <c r="B30" s="13" t="n">
        <f aca="false">COUNTIF('Cleaned Catalog'!Q2:Q50,"Incomplete")</f>
        <v>0</v>
      </c>
    </row>
  </sheetData>
  <mergeCells count="6">
    <mergeCell ref="A1:C1"/>
    <mergeCell ref="B4:C4"/>
    <mergeCell ref="B6:C6"/>
    <mergeCell ref="B8:C8"/>
    <mergeCell ref="B10:C10"/>
    <mergeCell ref="B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2026-08-08T09:34:58Z</dcterms:created>
  <dc:creator>openpyxl</dc:creator>
  <dc:description/>
  <dc:language>en-US</dc:language>
  <cp:lastModifiedBy/>
  <dcterms:modified xsi:type="dcterms:W3CDTF">2026-08-08T09:34:59Z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