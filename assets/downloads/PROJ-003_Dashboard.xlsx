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acer\Documents\Business Evidence Portofolio\02_Projek_Library\PROJ-003_Order_Reconciliation\03_Dashboard\"/>
    </mc:Choice>
  </mc:AlternateContent>
  <xr:revisionPtr revIDLastSave="0" documentId="8_{3F3A21C5-D44B-464E-97C8-63BBB424ED00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Dashboard" sheetId="1" r:id="rId1"/>
    <sheet name="Dashboard Data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7" i="1" l="1"/>
  <c r="F26" i="1"/>
  <c r="A26" i="1"/>
  <c r="F25" i="1"/>
  <c r="A25" i="1"/>
  <c r="F24" i="1"/>
  <c r="A24" i="1"/>
  <c r="F23" i="1"/>
  <c r="A23" i="1"/>
  <c r="F22" i="1"/>
  <c r="A22" i="1"/>
  <c r="F21" i="1"/>
  <c r="A21" i="1"/>
  <c r="D17" i="1"/>
  <c r="D16" i="1"/>
  <c r="G4" i="1" s="1"/>
  <c r="D15" i="1"/>
  <c r="C19" i="1" s="1"/>
  <c r="D14" i="1"/>
  <c r="D13" i="1"/>
  <c r="D12" i="1"/>
  <c r="D11" i="1"/>
  <c r="A19" i="1" s="1"/>
  <c r="E4" i="1"/>
  <c r="A4" i="1"/>
  <c r="C4" i="1" l="1"/>
</calcChain>
</file>

<file path=xl/sharedStrings.xml><?xml version="1.0" encoding="utf-8"?>
<sst xmlns="http://schemas.openxmlformats.org/spreadsheetml/2006/main" count="114" uniqueCount="79">
  <si>
    <t>PROJ-003 | Order &amp; Warehouse Reconciliation</t>
  </si>
  <si>
    <t>Order intake • warehouse dispatch matching • discrepancy analysis • QA • reporting</t>
  </si>
  <si>
    <t>BUSINESS QUESTION</t>
  </si>
  <si>
    <t>How much of our order flow can be verified end-to-end between the order system and the warehouse — and where does that traceability break down?</t>
  </si>
  <si>
    <t>OUTCOME TYPE</t>
  </si>
  <si>
    <t>COUNT</t>
  </si>
  <si>
    <t>Verified End-to-End (Match)</t>
  </si>
  <si>
    <t>N/A – Not Yet Shipped</t>
  </si>
  <si>
    <t>N/A – Order Cancelled</t>
  </si>
  <si>
    <t>Shipped, No Dispatch Record</t>
  </si>
  <si>
    <t>Dispatched, Order Status Not Updated</t>
  </si>
  <si>
    <t>Quantity Mismatch</t>
  </si>
  <si>
    <t>Missing Order Quantity (Data Issue)</t>
  </si>
  <si>
    <t>COLOR KEY</t>
  </si>
  <si>
    <t>Verified / on track</t>
  </si>
  <si>
    <t>Not yet shipped (normal)</t>
  </si>
  <si>
    <t>Cancelled (normal)</t>
  </si>
  <si>
    <t>Traceability gap</t>
  </si>
  <si>
    <t>Reverse traceability gap</t>
  </si>
  <si>
    <t>Quantity mismatch / data issue</t>
  </si>
  <si>
    <t>WORKFLOW</t>
  </si>
  <si>
    <t>01  ORDERS</t>
  </si>
  <si>
    <t>02  WAREHOUSE</t>
  </si>
  <si>
    <t>03  RECONCILE</t>
  </si>
  <si>
    <t>04  QA</t>
  </si>
  <si>
    <t>05  REPORT</t>
  </si>
  <si>
    <t>Portfolio note: synthetic order and warehouse data created for demonstration. No real company, client, or confidential business data is represented.</t>
  </si>
  <si>
    <t>VERIFIED RATE</t>
  </si>
  <si>
    <t>REQUIRES REVIEW RATE</t>
  </si>
  <si>
    <t>Missing order quantity uses the orange data-issue color.</t>
  </si>
  <si>
    <t>Order ID</t>
  </si>
  <si>
    <t>Discrepancy Category</t>
  </si>
  <si>
    <t>ORD-1001</t>
  </si>
  <si>
    <t>OK - Verified</t>
  </si>
  <si>
    <t>ORD-1002</t>
  </si>
  <si>
    <t>ORD-1003</t>
  </si>
  <si>
    <t>N/A - Not Yet Shipped</t>
  </si>
  <si>
    <t>ORD-1004</t>
  </si>
  <si>
    <t>Discrepancy: Shipped but No Dispatch Record (Traceability Gap)</t>
  </si>
  <si>
    <t>ORD-1005</t>
  </si>
  <si>
    <t>ORD-1006</t>
  </si>
  <si>
    <t>ORD-1007</t>
  </si>
  <si>
    <t>Data Issue: Missing Order Quantity</t>
  </si>
  <si>
    <t>ORD-1008</t>
  </si>
  <si>
    <t>N/A - Order Cancelled</t>
  </si>
  <si>
    <t>ORD-1009</t>
  </si>
  <si>
    <t>ORD-1010</t>
  </si>
  <si>
    <t>ORD-1011</t>
  </si>
  <si>
    <t>ORD-1012</t>
  </si>
  <si>
    <t>Discrepancy: Quantity Mismatch</t>
  </si>
  <si>
    <t>ORD-1013</t>
  </si>
  <si>
    <t>Discrepancy: Dispatched but Order Status Not Updated (Reverse Traceability Gap)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</si>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</sst>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rial"/>
    </font>
    <font>
      <b/>
      <sz val="20"/>
      <color rgb="FFFFFFFF"/>
      <name val="Arial"/>
    </font>
    <font>
      <sz val="10"/>
      <color rgb="FF18212B"/>
      <name val="Arial"/>
    </font>
    <font>
      <b/>
      <sz val="14"/>
      <color rgb="FF18212B"/>
      <name val="Arial"/>
    </font>
    <font>
      <b/>
      <sz val="11"/>
      <color rgb="FFFFFFFF"/>
      <name val="Arial"/>
    </font>
    <font>
      <b/>
      <sz val="13"/>
      <color rgb="FF18212B"/>
      <name val="Arial"/>
    </font>
    <font>
      <sz val="11"/>
      <color rgb="FF18212B"/>
      <name val="Arial"/>
    </font>
    <font>
      <b/>
      <sz val="10"/>
      <color rgb="FFFFFFFF"/>
      <name val="Arial"/>
    </font>
    <font>
      <sz val="9"/>
      <color rgb="FF18212B"/>
      <name val="Arial"/>
    </font>
    <font>
      <b/>
      <sz val="10"/>
      <color rgb="FF18212B"/>
      <name val="Arial"/>
    </font>
    <font>
      <b/>
      <sz val="11"/>
      <color rgb="FF3E6B54"/>
      <name val="Arial"/>
    </font>
    <font>
      <b/>
      <sz val="11"/>
      <color rgb="FFA76D16"/>
      <name val="Arial"/>
    </font>
    <font>
      <i/>
      <sz val="9"/>
      <color rgb="FF4B5563"/>
      <name val="Arial"/>
    </font>
    <font>
      <i/>
      <sz val="11"/>
      <color rgb="FF4B5563"/>
      <name val="Arial"/>
    </font>
  </fonts>
  <fills count="20">
    <fill>
      <patternFill patternType="none"/>
    </fill>
    <fill>
      <patternFill patternType="gray125"/>
    </fill>
    <fill>
      <patternFill patternType="solid">
        <fgColor rgb="FF172D4F"/>
      </patternFill>
    </fill>
    <fill>
      <patternFill patternType="solid">
        <fgColor rgb="FFF6F4EE"/>
      </patternFill>
    </fill>
    <fill>
      <patternFill patternType="solid">
        <fgColor rgb="FFEAF1F8"/>
      </patternFill>
    </fill>
    <fill>
      <patternFill patternType="solid">
        <fgColor rgb="FFEAF5F0"/>
      </patternFill>
    </fill>
    <fill>
      <patternFill patternType="solid">
        <fgColor rgb="FFFBEAEA"/>
      </patternFill>
    </fill>
    <fill>
      <patternFill patternType="solid">
        <fgColor rgb="FFFBF2E3"/>
      </patternFill>
    </fill>
    <fill>
      <patternFill patternType="solid">
        <fgColor rgb="FF18212B"/>
      </patternFill>
    </fill>
    <fill>
      <patternFill patternType="solid">
        <fgColor rgb="FFFAFBFC"/>
      </patternFill>
    </fill>
    <fill>
      <patternFill patternType="solid">
        <fgColor rgb="FF6FA287"/>
      </patternFill>
    </fill>
    <fill>
      <patternFill patternType="solid">
        <fgColor rgb="FF6C93B8"/>
      </patternFill>
    </fill>
    <fill>
      <patternFill patternType="solid">
        <fgColor rgb="FFA8ADB3"/>
      </patternFill>
    </fill>
    <fill>
      <patternFill patternType="solid">
        <fgColor rgb="FFBC6157"/>
      </patternFill>
    </fill>
    <fill>
      <patternFill patternType="solid">
        <fgColor rgb="FF8B7AA8"/>
      </patternFill>
    </fill>
    <fill>
      <patternFill patternType="solid">
        <fgColor rgb="FFC99356"/>
      </patternFill>
    </fill>
    <fill>
      <patternFill patternType="solid">
        <fgColor theme="0"/>
      </patternFill>
    </fill>
    <fill>
      <patternFill patternType="solid">
        <fgColor rgb="FF172D4F"/>
      </patternFill>
    </fill>
    <fill>
      <patternFill patternType="solid">
        <fgColor rgb="FFE3EDE7"/>
      </patternFill>
    </fill>
    <fill>
      <patternFill patternType="solid">
        <fgColor rgb="FFFBEDD8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01820"/>
      </left>
      <right style="thin">
        <color rgb="FF101820"/>
      </right>
      <top style="thin">
        <color rgb="FF101820"/>
      </top>
      <bottom style="thin">
        <color rgb="FF10182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6" fillId="16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left" vertical="center"/>
    </xf>
    <xf numFmtId="0" fontId="6" fillId="15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/>
    </xf>
    <xf numFmtId="0" fontId="6" fillId="0" borderId="3" xfId="0" applyFont="1" applyBorder="1"/>
    <xf numFmtId="0" fontId="13" fillId="0" borderId="0" xfId="0" applyFont="1"/>
    <xf numFmtId="0" fontId="4" fillId="8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0" fillId="0" borderId="0" xfId="0"/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7" fillId="8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3" fillId="0" borderId="1" xfId="0" applyFont="1" applyBorder="1"/>
    <xf numFmtId="0" fontId="6" fillId="9" borderId="1" xfId="0" applyFont="1" applyFill="1" applyBorder="1" applyAlignment="1">
      <alignment horizontal="left" vertical="center"/>
    </xf>
    <xf numFmtId="0" fontId="2" fillId="16" borderId="0" xfId="0" applyFont="1" applyFill="1" applyAlignment="1">
      <alignment horizontal="left" vertical="center"/>
    </xf>
    <xf numFmtId="0" fontId="0" fillId="16" borderId="0" xfId="0" applyFill="1"/>
    <xf numFmtId="0" fontId="3" fillId="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7" fillId="16" borderId="0" xfId="0" applyFont="1" applyFill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8" fillId="16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17" borderId="3" xfId="0" applyFont="1" applyFill="1" applyBorder="1" applyAlignment="1">
      <alignment horizontal="center" vertical="center"/>
    </xf>
    <xf numFmtId="164" fontId="10" fillId="18" borderId="3" xfId="0" applyNumberFormat="1" applyFont="1" applyFill="1" applyBorder="1" applyAlignment="1">
      <alignment horizontal="center" vertical="center"/>
    </xf>
    <xf numFmtId="164" fontId="11" fillId="19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r>
              <a:rPr lang="en-ID"/>
              <a:t>Orders by Outcome</a:t>
            </a:r>
          </a:p>
        </c:rich>
      </c:tx>
      <c:layout>
        <c:manualLayout>
          <c:xMode val="edge"/>
          <c:yMode val="edge"/>
          <c:x val="0.53425370370370362"/>
          <c:y val="7.8395061728395062E-3"/>
        </c:manualLayout>
      </c:layout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Dashboard!$A$11:$A$17</c:f>
              <c:strCache>
                <c:ptCount val="7"/>
                <c:pt idx="0">
                  <c:v>Verified End-to-End (Match)</c:v>
                </c:pt>
                <c:pt idx="1">
                  <c:v>N/A – Not Yet Shipped</c:v>
                </c:pt>
                <c:pt idx="2">
                  <c:v>N/A – Order Cancelled</c:v>
                </c:pt>
                <c:pt idx="3">
                  <c:v>Shipped, No Dispatch Record</c:v>
                </c:pt>
                <c:pt idx="4">
                  <c:v>Dispatched, Order Status Not Updated</c:v>
                </c:pt>
                <c:pt idx="5">
                  <c:v>Quantity Mismatch</c:v>
                </c:pt>
                <c:pt idx="6">
                  <c:v>Missing Order Quantity (Data Issue)</c:v>
                </c:pt>
              </c:strCache>
            </c:strRef>
          </c:cat>
          <c:val>
            <c:numRef>
              <c:f>Dashboard!$D$11:$D$17</c:f>
              <c:numCache>
                <c:formatCode>General</c:formatCode>
                <c:ptCount val="7"/>
                <c:pt idx="0">
                  <c:v>19</c:v>
                </c:pt>
                <c:pt idx="1">
                  <c:v>9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9C-47E3-9E0B-9150D94F6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352425</xdr:colOff>
      <xdr:row>7</xdr:row>
      <xdr:rowOff>104775</xdr:rowOff>
    </xdr:from>
    <xdr:ext cx="6480000" cy="3240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shboardSourceData" displayName="DashboardSourceData" ref="A1:B42" totalsRowShown="0">
  <tableColumns count="2">
    <tableColumn id="1" xr3:uid="{00000000-0010-0000-0000-000001000000}" name="Order ID"/>
    <tableColumn id="2" xr3:uid="{00000000-0010-0000-0000-000002000000}" name="Discrepancy 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Portfolio Theme">
  <a:themeElements>
    <a:clrScheme name="Portfolio">
      <a:dk1>
        <a:sysClr val="windowText" lastClr="000000"/>
      </a:dk1>
      <a:lt1>
        <a:sysClr val="window" lastClr="FFFFFF"/>
      </a:lt1>
      <a:dk2>
        <a:srgbClr val="18212B"/>
      </a:dk2>
      <a:lt2>
        <a:srgbClr val="F6F4EE"/>
      </a:lt2>
      <a:accent1>
        <a:srgbClr val="6FA287"/>
      </a:accent1>
      <a:accent2>
        <a:srgbClr val="6C93B8"/>
      </a:accent2>
      <a:accent3>
        <a:srgbClr val="A8ADB3"/>
      </a:accent3>
      <a:accent4>
        <a:srgbClr val="BC6157"/>
      </a:accent4>
      <a:accent5>
        <a:srgbClr val="8B7AA8"/>
      </a:accent5>
      <a:accent6>
        <a:srgbClr val="C99356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Portfolio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showGridLines="0" tabSelected="1" topLeftCell="A15" workbookViewId="0">
      <selection activeCell="F28" sqref="F28:H28"/>
    </sheetView>
  </sheetViews>
  <sheetFormatPr defaultRowHeight="14.25" x14ac:dyDescent="0.2"/>
  <cols>
    <col min="1" max="5" width="16" customWidth="1"/>
    <col min="6" max="8" width="14" customWidth="1"/>
  </cols>
  <sheetData>
    <row r="1" spans="1:8" ht="33.950000000000003" customHeight="1" x14ac:dyDescent="0.2">
      <c r="A1" s="32" t="s">
        <v>0</v>
      </c>
      <c r="B1" s="21"/>
      <c r="C1" s="21"/>
      <c r="D1" s="21"/>
      <c r="E1" s="21"/>
      <c r="F1" s="21"/>
      <c r="G1" s="21"/>
      <c r="H1" s="21"/>
    </row>
    <row r="2" spans="1:8" ht="20.100000000000001" customHeight="1" x14ac:dyDescent="0.2">
      <c r="A2" s="39" t="s">
        <v>1</v>
      </c>
      <c r="B2" s="21"/>
      <c r="C2" s="21"/>
      <c r="D2" s="21"/>
      <c r="E2" s="21"/>
      <c r="F2" s="21"/>
      <c r="G2" s="21"/>
      <c r="H2" s="21"/>
    </row>
    <row r="4" spans="1:8" ht="39.950000000000003" customHeight="1" x14ac:dyDescent="0.2">
      <c r="A4" s="28" t="str">
        <f>"TOTAL ORDERS"&amp;CHAR(10)&amp;COUNTA('Dashboard Data'!$A$2:$A$42)</f>
        <v>TOTAL ORDERS
41</v>
      </c>
      <c r="B4" s="21"/>
      <c r="C4" s="34" t="str">
        <f>"VERIFIED"&amp;CHAR(10)&amp;D11</f>
        <v>VERIFIED
19</v>
      </c>
      <c r="D4" s="21"/>
      <c r="E4" s="35" t="str">
        <f>"TRACEABILITY GAPS"&amp;CHAR(10)&amp;SUM(D14:D15)</f>
        <v>TRACEABILITY GAPS
6</v>
      </c>
      <c r="F4" s="21"/>
      <c r="G4" s="29" t="str">
        <f>"QTY MISMATCH"&amp;CHAR(10)&amp;D16</f>
        <v>QTY MISMATCH
2</v>
      </c>
      <c r="H4" s="21"/>
    </row>
    <row r="6" spans="1:8" ht="20.100000000000001" customHeight="1" x14ac:dyDescent="0.2">
      <c r="A6" s="33" t="s">
        <v>2</v>
      </c>
      <c r="B6" s="21"/>
      <c r="C6" s="21"/>
      <c r="D6" s="21"/>
      <c r="E6" s="21"/>
      <c r="F6" s="21"/>
      <c r="G6" s="21"/>
      <c r="H6" s="21"/>
    </row>
    <row r="7" spans="1:8" ht="33.950000000000003" customHeight="1" x14ac:dyDescent="0.2">
      <c r="A7" s="37" t="s">
        <v>3</v>
      </c>
      <c r="B7" s="21"/>
      <c r="C7" s="21"/>
      <c r="D7" s="21"/>
      <c r="E7" s="21"/>
      <c r="F7" s="21"/>
      <c r="G7" s="21"/>
      <c r="H7" s="21"/>
    </row>
    <row r="10" spans="1:8" ht="20.100000000000001" customHeight="1" x14ac:dyDescent="0.2">
      <c r="A10" s="38" t="s">
        <v>4</v>
      </c>
      <c r="B10" s="21"/>
      <c r="C10" s="21"/>
      <c r="D10" s="2" t="s">
        <v>5</v>
      </c>
    </row>
    <row r="11" spans="1:8" x14ac:dyDescent="0.2">
      <c r="A11" s="25" t="s">
        <v>6</v>
      </c>
      <c r="B11" s="21"/>
      <c r="C11" s="21"/>
      <c r="D11" s="3">
        <f>COUNTIF('Dashboard Data'!$B$2:$B$42,"OK - Verified")</f>
        <v>19</v>
      </c>
    </row>
    <row r="12" spans="1:8" x14ac:dyDescent="0.2">
      <c r="A12" s="31" t="s">
        <v>7</v>
      </c>
      <c r="B12" s="21"/>
      <c r="C12" s="21"/>
      <c r="D12" s="4">
        <f>COUNTIF('Dashboard Data'!$B$2:$B$42,"N/A - Not Yet Shipped")</f>
        <v>9</v>
      </c>
    </row>
    <row r="13" spans="1:8" x14ac:dyDescent="0.2">
      <c r="A13" s="25" t="s">
        <v>8</v>
      </c>
      <c r="B13" s="21"/>
      <c r="C13" s="21"/>
      <c r="D13" s="3">
        <f>COUNTIF('Dashboard Data'!$B$2:$B$42,"N/A - Order Cancelled")</f>
        <v>3</v>
      </c>
    </row>
    <row r="14" spans="1:8" x14ac:dyDescent="0.2">
      <c r="A14" s="31" t="s">
        <v>9</v>
      </c>
      <c r="B14" s="21"/>
      <c r="C14" s="21"/>
      <c r="D14" s="4">
        <f>COUNTIF('Dashboard Data'!$B$2:$B$42,"Discrepancy: Shipped but No Dispatch Record (Traceability Gap)")</f>
        <v>3</v>
      </c>
    </row>
    <row r="15" spans="1:8" x14ac:dyDescent="0.2">
      <c r="A15" s="25" t="s">
        <v>10</v>
      </c>
      <c r="B15" s="21"/>
      <c r="C15" s="21"/>
      <c r="D15" s="3">
        <f>COUNTIF('Dashboard Data'!$B$2:$B$42,"Discrepancy: Dispatched but Order Status Not Updated (Reverse Traceability Gap)")</f>
        <v>3</v>
      </c>
    </row>
    <row r="16" spans="1:8" x14ac:dyDescent="0.2">
      <c r="A16" s="31" t="s">
        <v>11</v>
      </c>
      <c r="B16" s="21"/>
      <c r="C16" s="21"/>
      <c r="D16" s="4">
        <f>COUNTIF('Dashboard Data'!$B$2:$B$42,"Discrepancy: Quantity Mismatch")</f>
        <v>2</v>
      </c>
    </row>
    <row r="17" spans="1:8" x14ac:dyDescent="0.2">
      <c r="A17" s="25" t="s">
        <v>12</v>
      </c>
      <c r="B17" s="21"/>
      <c r="C17" s="21"/>
      <c r="D17" s="3">
        <f>COUNTIF('Dashboard Data'!$B$2:$B$42,"Data Issue: Missing Order Quantity")</f>
        <v>2</v>
      </c>
    </row>
    <row r="18" spans="1:8" ht="21.95" customHeight="1" x14ac:dyDescent="0.2">
      <c r="A18" s="40" t="s">
        <v>27</v>
      </c>
      <c r="B18" s="40"/>
      <c r="C18" s="40" t="s">
        <v>28</v>
      </c>
      <c r="D18" s="40"/>
    </row>
    <row r="19" spans="1:8" ht="27" customHeight="1" x14ac:dyDescent="0.2">
      <c r="A19" s="41">
        <f>D11/COUNTA('Dashboard Data'!$A$2:$A$42)</f>
        <v>0.46341463414634149</v>
      </c>
      <c r="B19" s="41"/>
      <c r="C19" s="42">
        <f>SUM(D14:D17)/COUNTA('Dashboard Data'!$A$2:$A$42)</f>
        <v>0.24390243902439024</v>
      </c>
      <c r="D19" s="42"/>
    </row>
    <row r="20" spans="1:8" x14ac:dyDescent="0.2">
      <c r="A20" s="22" t="s">
        <v>13</v>
      </c>
      <c r="B20" s="21"/>
      <c r="C20" s="21"/>
    </row>
    <row r="21" spans="1:8" x14ac:dyDescent="0.2">
      <c r="A21" s="5" t="str">
        <f>""</f>
        <v/>
      </c>
      <c r="B21" s="20" t="s">
        <v>14</v>
      </c>
      <c r="C21" s="21"/>
      <c r="F21" s="30" t="str">
        <f>""</f>
        <v/>
      </c>
      <c r="G21" s="27"/>
      <c r="H21" s="27"/>
    </row>
    <row r="22" spans="1:8" ht="15.95" customHeight="1" x14ac:dyDescent="0.2">
      <c r="A22" s="6" t="str">
        <f>""</f>
        <v/>
      </c>
      <c r="B22" s="20" t="s">
        <v>15</v>
      </c>
      <c r="C22" s="21"/>
      <c r="F22" s="1" t="str">
        <f>""</f>
        <v/>
      </c>
      <c r="G22" s="26"/>
      <c r="H22" s="27"/>
    </row>
    <row r="23" spans="1:8" ht="15.95" customHeight="1" x14ac:dyDescent="0.2">
      <c r="A23" s="7" t="str">
        <f>""</f>
        <v/>
      </c>
      <c r="B23" s="20" t="s">
        <v>16</v>
      </c>
      <c r="C23" s="21"/>
      <c r="F23" s="1" t="str">
        <f>""</f>
        <v/>
      </c>
      <c r="G23" s="26"/>
      <c r="H23" s="27"/>
    </row>
    <row r="24" spans="1:8" ht="15.95" customHeight="1" x14ac:dyDescent="0.2">
      <c r="A24" s="8" t="str">
        <f>""</f>
        <v/>
      </c>
      <c r="B24" s="20" t="s">
        <v>17</v>
      </c>
      <c r="C24" s="21"/>
      <c r="F24" s="1" t="str">
        <f>""</f>
        <v/>
      </c>
      <c r="G24" s="26"/>
      <c r="H24" s="27"/>
    </row>
    <row r="25" spans="1:8" ht="15.95" customHeight="1" x14ac:dyDescent="0.2">
      <c r="A25" s="9" t="str">
        <f>""</f>
        <v/>
      </c>
      <c r="B25" s="20" t="s">
        <v>18</v>
      </c>
      <c r="C25" s="21"/>
      <c r="F25" s="1" t="str">
        <f>""</f>
        <v/>
      </c>
      <c r="G25" s="26"/>
      <c r="H25" s="27"/>
    </row>
    <row r="26" spans="1:8" ht="15.95" customHeight="1" x14ac:dyDescent="0.2">
      <c r="A26" s="10" t="str">
        <f>""</f>
        <v/>
      </c>
      <c r="B26" s="20" t="s">
        <v>19</v>
      </c>
      <c r="C26" s="21"/>
      <c r="F26" s="1" t="str">
        <f>""</f>
        <v/>
      </c>
      <c r="G26" s="26"/>
      <c r="H26" s="27"/>
    </row>
    <row r="27" spans="1:8" ht="15.95" customHeight="1" x14ac:dyDescent="0.2">
      <c r="A27" s="23" t="s">
        <v>29</v>
      </c>
      <c r="B27" s="24"/>
      <c r="C27" s="24"/>
      <c r="D27" s="16"/>
      <c r="F27" s="1" t="str">
        <f>""</f>
        <v/>
      </c>
      <c r="G27" s="26"/>
      <c r="H27" s="27"/>
    </row>
    <row r="28" spans="1:8" ht="15.95" customHeight="1" x14ac:dyDescent="0.2">
      <c r="F28" s="36"/>
      <c r="G28" s="27"/>
      <c r="H28" s="27"/>
    </row>
    <row r="30" spans="1:8" ht="20.100000000000001" customHeight="1" x14ac:dyDescent="0.2">
      <c r="A30" s="17" t="s">
        <v>20</v>
      </c>
      <c r="B30" s="17"/>
      <c r="C30" s="17"/>
      <c r="D30" s="17"/>
      <c r="E30" s="17"/>
    </row>
    <row r="31" spans="1:8" ht="21.95" customHeight="1" x14ac:dyDescent="0.2">
      <c r="A31" s="11" t="s">
        <v>21</v>
      </c>
      <c r="B31" s="11" t="s">
        <v>22</v>
      </c>
      <c r="C31" s="12" t="s">
        <v>23</v>
      </c>
      <c r="D31" s="13" t="s">
        <v>24</v>
      </c>
      <c r="E31" s="13" t="s">
        <v>25</v>
      </c>
    </row>
    <row r="32" spans="1:8" x14ac:dyDescent="0.2">
      <c r="A32" s="18" t="s">
        <v>26</v>
      </c>
      <c r="B32" s="19"/>
      <c r="C32" s="19"/>
      <c r="D32" s="19"/>
      <c r="E32" s="19"/>
      <c r="F32" s="19"/>
      <c r="G32" s="19"/>
      <c r="H32" s="19"/>
    </row>
    <row r="33" spans="1:8" ht="20.100000000000001" customHeight="1" x14ac:dyDescent="0.2">
      <c r="A33" s="18"/>
      <c r="B33" s="19"/>
      <c r="C33" s="19"/>
      <c r="D33" s="19"/>
      <c r="E33" s="19"/>
      <c r="F33" s="19"/>
      <c r="G33" s="19"/>
      <c r="H33" s="19"/>
    </row>
  </sheetData>
  <mergeCells count="39">
    <mergeCell ref="A14:C14"/>
    <mergeCell ref="A17:C17"/>
    <mergeCell ref="A10:C10"/>
    <mergeCell ref="A13:C13"/>
    <mergeCell ref="G24:H24"/>
    <mergeCell ref="A18:B18"/>
    <mergeCell ref="C18:D18"/>
    <mergeCell ref="A19:B19"/>
    <mergeCell ref="C19:D19"/>
    <mergeCell ref="A1:H1"/>
    <mergeCell ref="A12:C12"/>
    <mergeCell ref="A6:H6"/>
    <mergeCell ref="C4:D4"/>
    <mergeCell ref="E4:F4"/>
    <mergeCell ref="A7:H7"/>
    <mergeCell ref="A2:H2"/>
    <mergeCell ref="A33:H33"/>
    <mergeCell ref="A15:C15"/>
    <mergeCell ref="G26:H26"/>
    <mergeCell ref="A4:B4"/>
    <mergeCell ref="G4:H4"/>
    <mergeCell ref="A11:C11"/>
    <mergeCell ref="G25:H25"/>
    <mergeCell ref="G22:H22"/>
    <mergeCell ref="F21:H21"/>
    <mergeCell ref="A16:C16"/>
    <mergeCell ref="B21:C21"/>
    <mergeCell ref="B22:C22"/>
    <mergeCell ref="B23:C23"/>
    <mergeCell ref="B24:C24"/>
    <mergeCell ref="G27:H27"/>
    <mergeCell ref="G23:H23"/>
    <mergeCell ref="A30:E30"/>
    <mergeCell ref="A32:H32"/>
    <mergeCell ref="B25:C25"/>
    <mergeCell ref="A20:C20"/>
    <mergeCell ref="B26:C26"/>
    <mergeCell ref="A27:C27"/>
    <mergeCell ref="F28:H2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2"/>
  <sheetViews>
    <sheetView showGridLines="0" workbookViewId="0"/>
  </sheetViews>
  <sheetFormatPr defaultRowHeight="14.25" x14ac:dyDescent="0.2"/>
  <cols>
    <col min="1" max="1" width="16" customWidth="1"/>
    <col min="2" max="2" width="66" customWidth="1"/>
  </cols>
  <sheetData>
    <row r="1" spans="1:2" ht="15" x14ac:dyDescent="0.25">
      <c r="A1" s="14" t="s">
        <v>30</v>
      </c>
      <c r="B1" s="14" t="s">
        <v>31</v>
      </c>
    </row>
    <row r="2" spans="1:2" x14ac:dyDescent="0.2">
      <c r="A2" s="15" t="s">
        <v>32</v>
      </c>
      <c r="B2" s="15" t="s">
        <v>33</v>
      </c>
    </row>
    <row r="3" spans="1:2" x14ac:dyDescent="0.2">
      <c r="A3" s="15" t="s">
        <v>34</v>
      </c>
      <c r="B3" s="15" t="s">
        <v>33</v>
      </c>
    </row>
    <row r="4" spans="1:2" x14ac:dyDescent="0.2">
      <c r="A4" s="15" t="s">
        <v>35</v>
      </c>
      <c r="B4" s="15" t="s">
        <v>36</v>
      </c>
    </row>
    <row r="5" spans="1:2" x14ac:dyDescent="0.2">
      <c r="A5" s="15" t="s">
        <v>37</v>
      </c>
      <c r="B5" s="15" t="s">
        <v>38</v>
      </c>
    </row>
    <row r="6" spans="1:2" x14ac:dyDescent="0.2">
      <c r="A6" s="15" t="s">
        <v>39</v>
      </c>
      <c r="B6" s="15" t="s">
        <v>33</v>
      </c>
    </row>
    <row r="7" spans="1:2" x14ac:dyDescent="0.2">
      <c r="A7" s="15" t="s">
        <v>40</v>
      </c>
      <c r="B7" s="15" t="s">
        <v>36</v>
      </c>
    </row>
    <row r="8" spans="1:2" x14ac:dyDescent="0.2">
      <c r="A8" s="15" t="s">
        <v>41</v>
      </c>
      <c r="B8" s="15" t="s">
        <v>42</v>
      </c>
    </row>
    <row r="9" spans="1:2" x14ac:dyDescent="0.2">
      <c r="A9" s="15" t="s">
        <v>43</v>
      </c>
      <c r="B9" s="15" t="s">
        <v>44</v>
      </c>
    </row>
    <row r="10" spans="1:2" x14ac:dyDescent="0.2">
      <c r="A10" s="15" t="s">
        <v>45</v>
      </c>
      <c r="B10" s="15" t="s">
        <v>33</v>
      </c>
    </row>
    <row r="11" spans="1:2" x14ac:dyDescent="0.2">
      <c r="A11" s="15" t="s">
        <v>46</v>
      </c>
      <c r="B11" s="15" t="s">
        <v>36</v>
      </c>
    </row>
    <row r="12" spans="1:2" x14ac:dyDescent="0.2">
      <c r="A12" s="15" t="s">
        <v>47</v>
      </c>
      <c r="B12" s="15" t="s">
        <v>33</v>
      </c>
    </row>
    <row r="13" spans="1:2" x14ac:dyDescent="0.2">
      <c r="A13" s="15" t="s">
        <v>48</v>
      </c>
      <c r="B13" s="15" t="s">
        <v>49</v>
      </c>
    </row>
    <row r="14" spans="1:2" x14ac:dyDescent="0.2">
      <c r="A14" s="15" t="s">
        <v>50</v>
      </c>
      <c r="B14" s="15" t="s">
        <v>51</v>
      </c>
    </row>
    <row r="15" spans="1:2" x14ac:dyDescent="0.2">
      <c r="A15" s="15" t="s">
        <v>52</v>
      </c>
      <c r="B15" s="15" t="s">
        <v>33</v>
      </c>
    </row>
    <row r="16" spans="1:2" x14ac:dyDescent="0.2">
      <c r="A16" s="15" t="s">
        <v>53</v>
      </c>
      <c r="B16" s="15" t="s">
        <v>51</v>
      </c>
    </row>
    <row r="17" spans="1:2" x14ac:dyDescent="0.2">
      <c r="A17" s="15" t="s">
        <v>54</v>
      </c>
      <c r="B17" s="15" t="s">
        <v>33</v>
      </c>
    </row>
    <row r="18" spans="1:2" x14ac:dyDescent="0.2">
      <c r="A18" s="15" t="s">
        <v>55</v>
      </c>
      <c r="B18" s="15" t="s">
        <v>42</v>
      </c>
    </row>
    <row r="19" spans="1:2" x14ac:dyDescent="0.2">
      <c r="A19" s="15" t="s">
        <v>56</v>
      </c>
      <c r="B19" s="15" t="s">
        <v>33</v>
      </c>
    </row>
    <row r="20" spans="1:2" x14ac:dyDescent="0.2">
      <c r="A20" s="15" t="s">
        <v>57</v>
      </c>
      <c r="B20" s="15" t="s">
        <v>33</v>
      </c>
    </row>
    <row r="21" spans="1:2" x14ac:dyDescent="0.2">
      <c r="A21" s="15" t="s">
        <v>58</v>
      </c>
      <c r="B21" s="15" t="s">
        <v>36</v>
      </c>
    </row>
    <row r="22" spans="1:2" x14ac:dyDescent="0.2">
      <c r="A22" s="15" t="s">
        <v>59</v>
      </c>
      <c r="B22" s="15" t="s">
        <v>33</v>
      </c>
    </row>
    <row r="23" spans="1:2" x14ac:dyDescent="0.2">
      <c r="A23" s="15" t="s">
        <v>60</v>
      </c>
      <c r="B23" s="15" t="s">
        <v>49</v>
      </c>
    </row>
    <row r="24" spans="1:2" x14ac:dyDescent="0.2">
      <c r="A24" s="15" t="s">
        <v>61</v>
      </c>
      <c r="B24" s="15" t="s">
        <v>36</v>
      </c>
    </row>
    <row r="25" spans="1:2" x14ac:dyDescent="0.2">
      <c r="A25" s="15" t="s">
        <v>62</v>
      </c>
      <c r="B25" s="15" t="s">
        <v>33</v>
      </c>
    </row>
    <row r="26" spans="1:2" x14ac:dyDescent="0.2">
      <c r="A26" s="15" t="s">
        <v>63</v>
      </c>
      <c r="B26" s="15" t="s">
        <v>44</v>
      </c>
    </row>
    <row r="27" spans="1:2" x14ac:dyDescent="0.2">
      <c r="A27" s="15" t="s">
        <v>45</v>
      </c>
      <c r="B27" s="15" t="s">
        <v>33</v>
      </c>
    </row>
    <row r="28" spans="1:2" x14ac:dyDescent="0.2">
      <c r="A28" s="15" t="s">
        <v>64</v>
      </c>
      <c r="B28" s="15" t="s">
        <v>38</v>
      </c>
    </row>
    <row r="29" spans="1:2" x14ac:dyDescent="0.2">
      <c r="A29" s="15" t="s">
        <v>65</v>
      </c>
      <c r="B29" s="15" t="s">
        <v>36</v>
      </c>
    </row>
    <row r="30" spans="1:2" x14ac:dyDescent="0.2">
      <c r="A30" s="15" t="s">
        <v>66</v>
      </c>
      <c r="B30" s="15" t="s">
        <v>33</v>
      </c>
    </row>
    <row r="31" spans="1:2" x14ac:dyDescent="0.2">
      <c r="A31" s="15" t="s">
        <v>67</v>
      </c>
      <c r="B31" s="15" t="s">
        <v>51</v>
      </c>
    </row>
    <row r="32" spans="1:2" x14ac:dyDescent="0.2">
      <c r="A32" s="15" t="s">
        <v>68</v>
      </c>
      <c r="B32" s="15" t="s">
        <v>33</v>
      </c>
    </row>
    <row r="33" spans="1:2" x14ac:dyDescent="0.2">
      <c r="A33" s="15" t="s">
        <v>69</v>
      </c>
      <c r="B33" s="15" t="s">
        <v>33</v>
      </c>
    </row>
    <row r="34" spans="1:2" x14ac:dyDescent="0.2">
      <c r="A34" s="15" t="s">
        <v>70</v>
      </c>
      <c r="B34" s="15" t="s">
        <v>36</v>
      </c>
    </row>
    <row r="35" spans="1:2" x14ac:dyDescent="0.2">
      <c r="A35" s="15" t="s">
        <v>71</v>
      </c>
      <c r="B35" s="15" t="s">
        <v>33</v>
      </c>
    </row>
    <row r="36" spans="1:2" x14ac:dyDescent="0.2">
      <c r="A36" s="15" t="s">
        <v>72</v>
      </c>
      <c r="B36" s="15" t="s">
        <v>38</v>
      </c>
    </row>
    <row r="37" spans="1:2" x14ac:dyDescent="0.2">
      <c r="A37" s="15" t="s">
        <v>73</v>
      </c>
      <c r="B37" s="15" t="s">
        <v>36</v>
      </c>
    </row>
    <row r="38" spans="1:2" x14ac:dyDescent="0.2">
      <c r="A38" s="15" t="s">
        <v>74</v>
      </c>
      <c r="B38" s="15" t="s">
        <v>33</v>
      </c>
    </row>
    <row r="39" spans="1:2" x14ac:dyDescent="0.2">
      <c r="A39" s="15" t="s">
        <v>75</v>
      </c>
      <c r="B39" s="15" t="s">
        <v>33</v>
      </c>
    </row>
    <row r="40" spans="1:2" x14ac:dyDescent="0.2">
      <c r="A40" s="15" t="s">
        <v>76</v>
      </c>
      <c r="B40" s="15" t="s">
        <v>44</v>
      </c>
    </row>
    <row r="41" spans="1:2" x14ac:dyDescent="0.2">
      <c r="A41" s="15" t="s">
        <v>77</v>
      </c>
      <c r="B41" s="15" t="s">
        <v>36</v>
      </c>
    </row>
    <row r="42" spans="1:2" x14ac:dyDescent="0.2">
      <c r="A42" s="15" t="s">
        <v>78</v>
      </c>
      <c r="B42" s="15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Dashboard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modified xsi:type="dcterms:W3CDTF">2026-08-16T14:18:42Z</dcterms:modified>
</cp:coreProperties>
</file>