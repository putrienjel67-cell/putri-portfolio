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82f16285ea42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Invoices" sheetId="1" r:id="Rfcb2945b1bce413d"/>
    <x:sheet xmlns:r="http://schemas.openxmlformats.org/officeDocument/2006/relationships" name="Vendor Mapping" sheetId="2" r:id="R2fff3c5f1fbd4083"/>
    <x:sheet xmlns:r="http://schemas.openxmlformats.org/officeDocument/2006/relationships" name="Invoice Validation" sheetId="3" r:id="Racf0d330c9c14ddf"/>
    <x:sheet xmlns:r="http://schemas.openxmlformats.org/officeDocument/2006/relationships" name="QA Summary" sheetId="4" r:id="R35f66c649eff4521"/>
    <x:sheet xmlns:r="http://schemas.openxmlformats.org/officeDocument/2006/relationships" name="Dashboard" sheetId="5" r:id="R2616b6f9faa243a7"/>
    <x:sheet xmlns:r="http://schemas.openxmlformats.org/officeDocument/2006/relationships" name="Email Templates" sheetId="6" r:id="Ra24055c30023491f"/>
    <x:sheet xmlns:r="http://schemas.openxmlformats.org/officeDocument/2006/relationships" name="Inbox Processing Log" sheetId="7" r:id="Ra2664103d1e14bdf"/>
    <x:sheet xmlns:r="http://schemas.openxmlformats.org/officeDocument/2006/relationships" name="Follow-Up Tracker" sheetId="8" r:id="R51d2685629df4e94"/>
    <x:sheet xmlns:r="http://schemas.openxmlformats.org/officeDocument/2006/relationships" name="File Organization Plan" sheetId="9" r:id="R2b5ae50761bd4fe1"/>
    <x:sheet xmlns:r="http://schemas.openxmlformats.org/officeDocument/2006/relationships" name="Daily VA Checklist" sheetId="10" r:id="Rd66d49a6dba241db"/>
    <x:sheet xmlns:r="http://schemas.openxmlformats.org/officeDocument/2006/relationships" name="Finance Handoff" sheetId="11" r:id="R257d40606f0f46c3"/>
  </x:sheets>
</x:workbook>
</file>

<file path=xl/sharedStrings.xml><?xml version="1.0" encoding="utf-8"?>
<x:sst xmlns:x="http://schemas.openxmlformats.org/spreadsheetml/2006/main">
  <x:si>
    <x:t xml:space="preserve">Invoice ID</x:t>
  </x:si>
  <x:si>
    <x:t xml:space="preserve">Vendor Name (Raw)</x:t>
  </x:si>
  <x:si>
    <x:t xml:space="preserve">Invoice Date</x:t>
  </x:si>
  <x:si>
    <x:t xml:space="preserve">Due Date</x:t>
  </x:si>
  <x:si>
    <x:t xml:space="preserve">Currency</x:t>
  </x:si>
  <x:si>
    <x:t xml:space="preserve">Amount</x:t>
  </x:si>
  <x:si>
    <x:t xml:space="preserve">PO Number</x:t>
  </x:si>
  <x:si>
    <x:t xml:space="preserve">Payment Status</x:t>
  </x:si>
  <x:si>
    <x:t xml:space="preserve">Payment Date</x:t>
  </x:si>
  <x:si>
    <x:t xml:space="preserve">Approval Status</x:t>
  </x:si>
  <x:si>
    <x:t xml:space="preserve">Invoice File</x:t>
  </x:si>
  <x:si>
    <x:t xml:space="preserve">INV-2026-001</x:t>
  </x:si>
  <x:si>
    <x:t xml:space="preserve">nusantara office supply</x:t>
  </x:si>
  <x:si>
    <x:t xml:space="preserve">IDR</x:t>
  </x:si>
  <x:si>
    <x:t xml:space="preserve">PO-2401</x:t>
  </x:si>
  <x:si>
    <x:t xml:space="preserve">Unpaid</x:t>
  </x:si>
  <x:si>
    <x:t xml:space="preserve">Approved</x:t>
  </x:si>
  <x:si>
    <x:t xml:space="preserve">INV-2026-001_V001.pdf</x:t>
  </x:si>
  <x:si>
    <x:t xml:space="preserve">INV-2026-002</x:t>
  </x:si>
  <x:si>
    <x:t xml:space="preserve">CITRA DIGITAL SERVICES</x:t>
  </x:si>
  <x:si>
    <x:t xml:space="preserve">PO-2402</x:t>
  </x:si>
  <x:si>
    <x:t xml:space="preserve">INV-2026-002_V002.pdf</x:t>
  </x:si>
  <x:si>
    <x:t xml:space="preserve">INV-2026-003</x:t>
  </x:si>
  <x:si>
    <x:t xml:space="preserve">BrightPath Software</x:t>
  </x:si>
  <x:si>
    <x:t xml:space="preserve">USD</x:t>
  </x:si>
  <x:si>
    <x:t xml:space="preserve">PO-2403</x:t>
  </x:si>
  <x:si>
    <x:t xml:space="preserve">Pending</x:t>
  </x:si>
  <x:si>
    <x:t xml:space="preserve">INV-2026-003_V003.pdf</x:t>
  </x:si>
  <x:si>
    <x:t xml:space="preserve">INV-2026-004</x:t>
  </x:si>
  <x:si>
    <x:t xml:space="preserve">garuda logistic</x:t>
  </x:si>
  <x:si>
    <x:t xml:space="preserve">PO-2404</x:t>
  </x:si>
  <x:si>
    <x:t xml:space="preserve">Paid</x:t>
  </x:si>
  <x:si>
    <x:t xml:space="preserve">INV-2026-004_V004.pdf</x:t>
  </x:si>
  <x:si>
    <x:t xml:space="preserve">INV-2026-005</x:t>
  </x:si>
  <x:si>
    <x:t xml:space="preserve">ATLAS WORKSPACE</x:t>
  </x:si>
  <x:si>
    <x:t xml:space="preserve">PO-2405</x:t>
  </x:si>
  <x:si>
    <x:t xml:space="preserve">INV-2026-005_V005.pdf</x:t>
  </x:si>
  <x:si>
    <x:t xml:space="preserve">INV-2026-006</x:t>
  </x:si>
  <x:si>
    <x:t xml:space="preserve">Sinar Print &amp; Pack</x:t>
  </x:si>
  <x:si>
    <x:t xml:space="preserve">PO-2406</x:t>
  </x:si>
  <x:si>
    <x:t xml:space="preserve">Pending Approval</x:t>
  </x:si>
  <x:si>
    <x:t xml:space="preserve">INV-2026-006_V006.pdf</x:t>
  </x:si>
  <x:si>
    <x:t xml:space="preserve">INV-2026-007</x:t>
  </x:si>
  <x:si>
    <x:t xml:space="preserve">karya facility support</x:t>
  </x:si>
  <x:si>
    <x:t xml:space="preserve">PO-2407</x:t>
  </x:si>
  <x:si>
    <x:t xml:space="preserve">INV-2026-007_V007.pdf</x:t>
  </x:si>
  <x:si>
    <x:t xml:space="preserve">INV-2026-008</x:t>
  </x:si>
  <x:si>
    <x:t xml:space="preserve">MERIDIAN CLOUD TOOLS</x:t>
  </x:si>
  <x:si>
    <x:t xml:space="preserve">INV-2026-008_V008.pdf</x:t>
  </x:si>
  <x:si>
    <x:t xml:space="preserve">INV-2026-009</x:t>
  </x:si>
  <x:si>
    <x:t xml:space="preserve">Nusantara Office Supply</x:t>
  </x:si>
  <x:si>
    <x:t xml:space="preserve">PO-2409</x:t>
  </x:si>
  <x:si>
    <x:t xml:space="preserve">INV-2026-009_V001.pdf</x:t>
  </x:si>
  <x:si>
    <x:t xml:space="preserve">INV-2026-010</x:t>
  </x:si>
  <x:si>
    <x:t xml:space="preserve">Citra digital service</x:t>
  </x:si>
  <x:si>
    <x:t xml:space="preserve">PO-2410</x:t>
  </x:si>
  <x:si>
    <x:t xml:space="preserve">INV-2026-010_V002.pdf</x:t>
  </x:si>
  <x:si>
    <x:t xml:space="preserve">INV-2026-011</x:t>
  </x:si>
  <x:si>
    <x:t xml:space="preserve">BRIGHTPATH SOFTWARE</x:t>
  </x:si>
  <x:si>
    <x:t xml:space="preserve">PO-2411</x:t>
  </x:si>
  <x:si>
    <x:t xml:space="preserve">INV-2026-011_V003.pdf</x:t>
  </x:si>
  <x:si>
    <x:t xml:space="preserve">INV-2026-012</x:t>
  </x:si>
  <x:si>
    <x:t xml:space="preserve">Garuda Logistics</x:t>
  </x:si>
  <x:si>
    <x:t xml:space="preserve">PO-2412</x:t>
  </x:si>
  <x:si>
    <x:t xml:space="preserve">INV-2026-012_V004.pdf</x:t>
  </x:si>
  <x:si>
    <x:t xml:space="preserve">INV-2026-013</x:t>
  </x:si>
  <x:si>
    <x:t xml:space="preserve">atlas workspace</x:t>
  </x:si>
  <x:si>
    <x:t xml:space="preserve">PO-2413</x:t>
  </x:si>
  <x:si>
    <x:t xml:space="preserve">INV-2026-013_V005.pdf</x:t>
  </x:si>
  <x:si>
    <x:t xml:space="preserve">INV-2026-014</x:t>
  </x:si>
  <x:si>
    <x:t xml:space="preserve">SINAR PRINT &amp; PACK</x:t>
  </x:si>
  <x:si>
    <x:t xml:space="preserve">PO-2414</x:t>
  </x:si>
  <x:si>
    <x:t xml:space="preserve">INV-2026-014_V006.pdf</x:t>
  </x:si>
  <x:si>
    <x:t xml:space="preserve">Karya Facility Support</x:t>
  </x:si>
  <x:si>
    <x:t xml:space="preserve">PO-2415</x:t>
  </x:si>
  <x:si>
    <x:t xml:space="preserve">INV-2026-015_V007.pdf</x:t>
  </x:si>
  <x:si>
    <x:t xml:space="preserve">INV-2026-016</x:t>
  </x:si>
  <x:si>
    <x:t xml:space="preserve">meridian cloud tools</x:t>
  </x:si>
  <x:si>
    <x:t xml:space="preserve">PO-2416</x:t>
  </x:si>
  <x:si>
    <x:t xml:space="preserve">INV-2026-016_V008.pdf</x:t>
  </x:si>
  <x:si>
    <x:t xml:space="preserve">INV-2026-017</x:t>
  </x:si>
  <x:si>
    <x:t xml:space="preserve">NUSANTARA OFFICE SUPPLY</x:t>
  </x:si>
  <x:si>
    <x:t xml:space="preserve">PO-2417</x:t>
  </x:si>
  <x:si>
    <x:t xml:space="preserve">INV-2026-017_V001.pdf</x:t>
  </x:si>
  <x:si>
    <x:t xml:space="preserve">INV-2026-018</x:t>
  </x:si>
  <x:si>
    <x:t xml:space="preserve">Citra Digital Services</x:t>
  </x:si>
  <x:si>
    <x:t xml:space="preserve">PO-2418</x:t>
  </x:si>
  <x:si>
    <x:t xml:space="preserve">INV-2026-018_V002.pdf</x:t>
  </x:si>
  <x:si>
    <x:t xml:space="preserve">INV-2026-019</x:t>
  </x:si>
  <x:si>
    <x:t xml:space="preserve">brightpath software</x:t>
  </x:si>
  <x:si>
    <x:t xml:space="preserve">PO-2419</x:t>
  </x:si>
  <x:si>
    <x:t xml:space="preserve">INV-2026-019_V003.pdf</x:t>
  </x:si>
  <x:si>
    <x:t xml:space="preserve">INV-2026-020</x:t>
  </x:si>
  <x:si>
    <x:t xml:space="preserve">GARUDA LOGISTICS</x:t>
  </x:si>
  <x:si>
    <x:t xml:space="preserve">PO-2420</x:t>
  </x:si>
  <x:si>
    <x:t xml:space="preserve">INV-2026-020_V004.pdf</x:t>
  </x:si>
  <x:si>
    <x:t xml:space="preserve">INV-2026-021</x:t>
  </x:si>
  <x:si>
    <x:t xml:space="preserve">Atlas Workspace</x:t>
  </x:si>
  <x:si>
    <x:t xml:space="preserve">PO-2421</x:t>
  </x:si>
  <x:si>
    <x:t xml:space="preserve">INV-2026-021_V005.pdf</x:t>
  </x:si>
  <x:si>
    <x:t xml:space="preserve">INV-2026-022</x:t>
  </x:si>
  <x:si>
    <x:t xml:space="preserve">Sinar Print and Pack</x:t>
  </x:si>
  <x:si>
    <x:t xml:space="preserve">PO-2422</x:t>
  </x:si>
  <x:si>
    <x:t xml:space="preserve">INV-2026-022_V006.pdf</x:t>
  </x:si>
  <x:si>
    <x:t xml:space="preserve">INV-2026-023</x:t>
  </x:si>
  <x:si>
    <x:t xml:space="preserve">KARYA FACILITY SUPPORT</x:t>
  </x:si>
  <x:si>
    <x:t xml:space="preserve">PO-2423</x:t>
  </x:si>
  <x:si>
    <x:t xml:space="preserve">INV-2026-023_V007.pdf</x:t>
  </x:si>
  <x:si>
    <x:t xml:space="preserve">INV-2026-024</x:t>
  </x:si>
  <x:si>
    <x:t xml:space="preserve">Meridian Cloud Tools</x:t>
  </x:si>
  <x:si>
    <x:t xml:space="preserve">PO-2424</x:t>
  </x:si>
  <x:si>
    <x:t xml:space="preserve">INV-2026-024_V008.pdf</x:t>
  </x:si>
  <x:si>
    <x:t xml:space="preserve">INV-2026-025</x:t>
  </x:si>
  <x:si>
    <x:t xml:space="preserve">PO-2425</x:t>
  </x:si>
  <x:si>
    <x:t xml:space="preserve">INV-2026-025_V001.pdf</x:t>
  </x:si>
  <x:si>
    <x:t xml:space="preserve">INV-2026-026</x:t>
  </x:si>
  <x:si>
    <x:t xml:space="preserve">PO-2426</x:t>
  </x:si>
  <x:si>
    <x:t xml:space="preserve">INV-2026-026_V002.pdf</x:t>
  </x:si>
  <x:si>
    <x:t xml:space="preserve">INV-2026-027</x:t>
  </x:si>
  <x:si>
    <x:t xml:space="preserve">INV-2026-027_V003.pdf</x:t>
  </x:si>
  <x:si>
    <x:t xml:space="preserve">INV-2026-028</x:t>
  </x:si>
  <x:si>
    <x:t xml:space="preserve">PO-2428</x:t>
  </x:si>
  <x:si>
    <x:t xml:space="preserve">INV-2026-028_V004.pdf</x:t>
  </x:si>
  <x:si>
    <x:t xml:space="preserve">INV-2026-029</x:t>
  </x:si>
  <x:si>
    <x:t xml:space="preserve">PO-2429</x:t>
  </x:si>
  <x:si>
    <x:t xml:space="preserve">INV-2026-029_V005.pdf</x:t>
  </x:si>
  <x:si>
    <x:t xml:space="preserve">INV-2026-030</x:t>
  </x:si>
  <x:si>
    <x:t xml:space="preserve">PO-2430</x:t>
  </x:si>
  <x:si>
    <x:t xml:space="preserve">INV-2026-030_V006.pdf</x:t>
  </x:si>
  <x:si>
    <x:t xml:space="preserve">INV-2026-031</x:t>
  </x:si>
  <x:si>
    <x:t xml:space="preserve">Unknown Creative Partner</x:t>
  </x:si>
  <x:si>
    <x:t xml:space="preserve">PO-2431</x:t>
  </x:si>
  <x:si>
    <x:t xml:space="preserve">INV-2026-031_V007.pdf</x:t>
  </x:si>
  <x:si>
    <x:t xml:space="preserve">INV-2026-032</x:t>
  </x:si>
  <x:si>
    <x:t xml:space="preserve">PO-2432</x:t>
  </x:si>
  <x:si>
    <x:t xml:space="preserve">INV-2026-032_V008.pdf</x:t>
  </x:si>
  <x:si>
    <x:t xml:space="preserve">INV-2026-033</x:t>
  </x:si>
  <x:si>
    <x:t xml:space="preserve">PO-2433</x:t>
  </x:si>
  <x:si>
    <x:t xml:space="preserve">INV-2026-033_V001.pdf</x:t>
  </x:si>
  <x:si>
    <x:t xml:space="preserve">INV-2026-034</x:t>
  </x:si>
  <x:si>
    <x:t xml:space="preserve">PO-2434</x:t>
  </x:si>
  <x:si>
    <x:t xml:space="preserve">INV-2026-034_V002.pdf</x:t>
  </x:si>
  <x:si>
    <x:t xml:space="preserve">INV-2026-035</x:t>
  </x:si>
  <x:si>
    <x:t xml:space="preserve">PO-2435</x:t>
  </x:si>
  <x:si>
    <x:t xml:space="preserve">INV-2026-035_V003.pdf</x:t>
  </x:si>
  <x:si>
    <x:t xml:space="preserve">INV-2026-036</x:t>
  </x:si>
  <x:si>
    <x:t xml:space="preserve">PO-2436</x:t>
  </x:si>
  <x:si>
    <x:t xml:space="preserve">INV-2026-036_V004.pdf</x:t>
  </x:si>
  <x:si>
    <x:t xml:space="preserve">INV-2026-037</x:t>
  </x:si>
  <x:si>
    <x:t xml:space="preserve">PO-2437</x:t>
  </x:si>
  <x:si>
    <x:t xml:space="preserve">INV-2026-038</x:t>
  </x:si>
  <x:si>
    <x:t xml:space="preserve">PO-2438</x:t>
  </x:si>
  <x:si>
    <x:t xml:space="preserve">INV-2026-038_V006.pdf</x:t>
  </x:si>
  <x:si>
    <x:t xml:space="preserve">INV-2026-039</x:t>
  </x:si>
  <x:si>
    <x:t xml:space="preserve">PO-2439</x:t>
  </x:si>
  <x:si>
    <x:t xml:space="preserve">INV-2026-039_V007.pdf</x:t>
  </x:si>
  <x:si>
    <x:t xml:space="preserve">INV-2026-040</x:t>
  </x:si>
  <x:si>
    <x:t xml:space="preserve">PO-2440</x:t>
  </x:si>
  <x:si>
    <x:t xml:space="preserve">INV-2026-040_V008.pdf</x:t>
  </x:si>
  <x:si>
    <x:t xml:space="preserve">INV-2026-041</x:t>
  </x:si>
  <x:si>
    <x:t xml:space="preserve">PO-2441</x:t>
  </x:si>
  <x:si>
    <x:t xml:space="preserve">INV-2026-041_V001.pdf</x:t>
  </x:si>
  <x:si>
    <x:t xml:space="preserve">PO-2442</x:t>
  </x:si>
  <x:si>
    <x:t xml:space="preserve">INV-2026-042_V002.pdf</x:t>
  </x:si>
  <x:si>
    <x:t xml:space="preserve">INV-2026-043</x:t>
  </x:si>
  <x:si>
    <x:t xml:space="preserve">PO-2443</x:t>
  </x:si>
  <x:si>
    <x:t xml:space="preserve">INV-2026-043_V003.pdf</x:t>
  </x:si>
  <x:si>
    <x:t xml:space="preserve">INV-2026-044</x:t>
  </x:si>
  <x:si>
    <x:t xml:space="preserve">PO-2444</x:t>
  </x:si>
  <x:si>
    <x:t xml:space="preserve">INV-2026-044_V004.pdf</x:t>
  </x:si>
  <x:si>
    <x:t xml:space="preserve">INV-2026-045</x:t>
  </x:si>
  <x:si>
    <x:t xml:space="preserve">PO-2445</x:t>
  </x:si>
  <x:si>
    <x:t xml:space="preserve">INV-2026-045_V005.pdf</x:t>
  </x:si>
  <x:si>
    <x:t xml:space="preserve">INV-2026-046</x:t>
  </x:si>
  <x:si>
    <x:t xml:space="preserve">PO-2446</x:t>
  </x:si>
  <x:si>
    <x:t xml:space="preserve">INV-2026-046_V006.pdf</x:t>
  </x:si>
  <x:si>
    <x:t xml:space="preserve">INV-2026-047</x:t>
  </x:si>
  <x:si>
    <x:t xml:space="preserve">PO-2447</x:t>
  </x:si>
  <x:si>
    <x:t xml:space="preserve">INV-2026-047_V007.pdf</x:t>
  </x:si>
  <x:si>
    <x:t xml:space="preserve">INV-2026-048</x:t>
  </x:si>
  <x:si>
    <x:t xml:space="preserve">PO-2448</x:t>
  </x:si>
  <x:si>
    <x:t xml:space="preserve">INV-2026-048_V008.pdf</x:t>
  </x:si>
  <x:si>
    <x:t xml:space="preserve">Vendor Code</x:t>
  </x:si>
  <x:si>
    <x:t xml:space="preserve">Approved Vendor Name</x:t>
  </x:si>
  <x:si>
    <x:t xml:space="preserve">Payment Terms (Days)</x:t>
  </x:si>
  <x:si>
    <x:t xml:space="preserve">V001</x:t>
  </x:si>
  <x:si>
    <x:t xml:space="preserve">30</x:t>
  </x:si>
  <x:si>
    <x:t xml:space="preserve">V002</x:t>
  </x:si>
  <x:si>
    <x:t xml:space="preserve">14</x:t>
  </x:si>
  <x:si>
    <x:t xml:space="preserve">V003</x:t>
  </x:si>
  <x:si>
    <x:t xml:space="preserve">V004</x:t>
  </x:si>
  <x:si>
    <x:t xml:space="preserve">21</x:t>
  </x:si>
  <x:si>
    <x:t xml:space="preserve">V005</x:t>
  </x:si>
  <x:si>
    <x:t xml:space="preserve">V006</x:t>
  </x:si>
  <x:si>
    <x:t xml:space="preserve">V007</x:t>
  </x:si>
  <x:si>
    <x:t xml:space="preserve">V008</x:t>
  </x:si>
  <x:si>
    <x:t xml:space="preserve">Raw Vendor Variant</x:t>
  </x:si>
  <x:si>
    <x:t xml:space="preserve">CITRA DIGITAL SERVICE</x:t>
  </x:si>
  <x:si>
    <x:t xml:space="preserve">GARUDA LOGISTIC</x:t>
  </x:si>
  <x:si>
    <x:t xml:space="preserve">SINAR PRINT AND PACK</x:t>
  </x:si>
  <x:si>
    <x:t xml:space="preserve">Standardized Vendor</x:t>
  </x:si>
  <x:si>
    <x:t xml:space="preserve">Duplicate Count</x:t>
  </x:si>
  <x:si>
    <x:t xml:space="preserve">Issue Count</x:t>
  </x:si>
  <x:si>
    <x:t xml:space="preserve">Primary Issue</x:t>
  </x:si>
  <x:si>
    <x:t xml:space="preserve">Risk Level</x:t>
  </x:si>
  <x:si>
    <x:t xml:space="preserve">Recommended Written Action</x:t>
  </x:si>
  <x:si>
    <x:t xml:space="preserve">CONTROL</x:t>
  </x:si>
  <x:si>
    <x:t xml:space="preserve">VALUE</x:t>
  </x:si>
  <x:si>
    <x:t xml:space="preserve">Review Date</x:t>
  </x:si>
  <x:si>
    <x:t xml:space="preserve">Communication Mode</x:t>
  </x:si>
  <x:si>
    <x:t xml:space="preserve">Email / Chat Only</x:t>
  </x:si>
  <x:si>
    <x:t xml:space="preserve">PROJ-004 | INVOICE CONTROL — QA SUMMARY</x:t>
  </x:si>
  <x:si>
    <x:t xml:space="preserve">Formula-driven control totals • 48 invoice records</x:t>
  </x:si>
  <x:si>
    <x:t xml:space="preserve">Control</x:t>
  </x:si>
  <x:si>
    <x:t xml:space="preserve">Result</x:t>
  </x:si>
  <x:si>
    <x:t xml:space="preserve">Total invoice records</x:t>
  </x:si>
  <x:si>
    <x:t xml:space="preserve">Records with no issues</x:t>
  </x:si>
  <x:si>
    <x:t xml:space="preserve">Records requiring review</x:t>
  </x:si>
  <x:si>
    <x:t xml:space="preserve">High-risk records</x:t>
  </x:si>
  <x:si>
    <x:t xml:space="preserve">Duplicate invoice rows</x:t>
  </x:si>
  <x:si>
    <x:t xml:space="preserve">Unmapped vendors</x:t>
  </x:si>
  <x:si>
    <x:t xml:space="preserve">Missing/invalid amount</x:t>
  </x:si>
  <x:si>
    <x:t xml:space="preserve">Missing PO number</x:t>
  </x:si>
  <x:si>
    <x:t xml:space="preserve">Paid missing payment date</x:t>
  </x:si>
  <x:si>
    <x:t xml:space="preserve">Missing invoice file</x:t>
  </x:si>
  <x:si>
    <x:t xml:space="preserve">Overdue unpaid</x:t>
  </x:si>
  <x:si>
    <x:t xml:space="preserve">Pending written approval</x:t>
  </x:si>
  <x:si>
    <x:t xml:space="preserve">PROJ-004 | Virtual Assistant Invoice Control</x:t>
  </x:si>
  <x:si>
    <x:t xml:space="preserve">Written-first workflow • invoice intake • validation • email follow-up • document control</x:t>
  </x:si>
  <x:si>
    <x:t xml:space="preserve">Issue Type</x:t>
  </x:si>
  <x:si>
    <x:t xml:space="preserve">Count</x:t>
  </x:si>
  <x:si>
    <x:t xml:space="preserve">ISSUE TYPE</x:t>
  </x:si>
  <x:si>
    <x:t xml:space="preserve">COUNT</x:t>
  </x:si>
  <x:si>
    <x:t xml:space="preserve">VA WORKFLOW — NO CALLS REQUIRED</x:t>
  </x:si>
  <x:si>
    <x:t xml:space="preserve">Duplicate Invoice ID</x:t>
  </x:si>
  <x:si>
    <x:t xml:space="preserve">01</x:t>
  </x:si>
  <x:si>
    <x:t xml:space="preserve">Receive invoice</x:t>
  </x:si>
  <x:si>
    <x:t xml:space="preserve">Email / shared folder</x:t>
  </x:si>
  <x:si>
    <x:t xml:space="preserve">Unmapped Vendor</x:t>
  </x:si>
  <x:si>
    <x:t xml:space="preserve">02</x:t>
  </x:si>
  <x:si>
    <x:t xml:space="preserve">Log record</x:t>
  </x:si>
  <x:si>
    <x:t xml:space="preserve">Spreadsheet</x:t>
  </x:si>
  <x:si>
    <x:t xml:space="preserve">Missing/Invalid Amount</x:t>
  </x:si>
  <x:si>
    <x:t xml:space="preserve">03</x:t>
  </x:si>
  <x:si>
    <x:t xml:space="preserve">Validate fields</x:t>
  </x:si>
  <x:si>
    <x:t xml:space="preserve">Formula-driven checks</x:t>
  </x:si>
  <x:si>
    <x:t xml:space="preserve">Missing PO Number</x:t>
  </x:si>
  <x:si>
    <x:t xml:space="preserve">04</x:t>
  </x:si>
  <x:si>
    <x:t xml:space="preserve">Request correction</x:t>
  </x:si>
  <x:si>
    <x:t xml:space="preserve">Email or chat</x:t>
  </x:si>
  <x:si>
    <x:t xml:space="preserve">Paid Missing Payment Date</x:t>
  </x:si>
  <x:si>
    <x:t xml:space="preserve">05</x:t>
  </x:si>
  <x:si>
    <x:t xml:space="preserve">Track response</x:t>
  </x:si>
  <x:si>
    <x:t xml:space="preserve">Written status log</x:t>
  </x:si>
  <x:si>
    <x:t xml:space="preserve">Missing Invoice File</x:t>
  </x:si>
  <x:si>
    <x:t xml:space="preserve">06</x:t>
  </x:si>
  <x:si>
    <x:t xml:space="preserve">File &amp; report</x:t>
  </x:si>
  <x:si>
    <x:t xml:space="preserve">Organized handoff</x:t>
  </x:si>
  <x:si>
    <x:t xml:space="preserve">Overdue Unpaid</x:t>
  </x:si>
  <x:si>
    <x:t xml:space="preserve">Pending Written Approval</x:t>
  </x:si>
  <x:si>
    <x:t xml:space="preserve">Communication boundary
This workflow is designed for email, chat, and documented handoffs. It does not require cold calling, sales calls, phone support, or frequent meetings.</x:t>
  </x:si>
  <x:si>
    <x:t xml:space="preserve">Ready / Complete</x:t>
  </x:si>
  <x:si>
    <x:t xml:space="preserve">Written Follow-Up Templates — No Calls Required</x:t>
  </x:si>
  <x:si>
    <x:t xml:space="preserve">Use Case</x:t>
  </x:si>
  <x:si>
    <x:t xml:space="preserve">Subject</x:t>
  </x:si>
  <x:si>
    <x:t xml:space="preserve">Message Template</x:t>
  </x:si>
  <x:si>
    <x:t xml:space="preserve">Tracking Status</x:t>
  </x:si>
  <x:si>
    <x:t xml:space="preserve">Missing PO</x:t>
  </x:si>
  <x:si>
    <x:t xml:space="preserve">PO number required for [Invoice ID]</x:t>
  </x:si>
  <x:si>
    <x:t xml:space="preserve">Hello [Name], please send the PO number for [Invoice ID] so I can complete the invoice record. Thank you.</x:t>
  </x:si>
  <x:si>
    <x:t xml:space="preserve">Waiting for vendor</x:t>
  </x:si>
  <x:si>
    <x:t xml:space="preserve">Missing document</x:t>
  </x:si>
  <x:si>
    <x:t xml:space="preserve">Invoice file required for [Invoice ID]</x:t>
  </x:si>
  <x:si>
    <x:t xml:space="preserve">Hello [Name], the invoice file for [Invoice ID] is not available in the shared folder. Please reply with the PDF copy. Thank you.</x:t>
  </x:si>
  <x:si>
    <x:t xml:space="preserve">Payment-status confirmation for [Invoice ID]</x:t>
  </x:si>
  <x:si>
    <x:t xml:space="preserve">Hello [Name], our tracker shows [Invoice ID] is past due and still marked unpaid. Please confirm the current status by reply.</x:t>
  </x:si>
  <x:si>
    <x:t xml:space="preserve">Waiting for finance</x:t>
  </x:si>
  <x:si>
    <x:t xml:space="preserve">Approval request</x:t>
  </x:si>
  <x:si>
    <x:t xml:space="preserve">Written approval required for [Invoice ID]</x:t>
  </x:si>
  <x:si>
    <x:t xml:space="preserve">Hello [Approver], please review [Invoice ID] and reply with Approved or Needs Correction. Supporting documents are attached.</x:t>
  </x:si>
  <x:si>
    <x:t xml:space="preserve">Waiting for approval</x:t>
  </x:si>
  <x:si>
    <x:t xml:space="preserve">Duplicate check</x:t>
  </x:si>
  <x:si>
    <x:t xml:space="preserve">Duplicate invoice check: [Invoice ID]</x:t>
  </x:si>
  <x:si>
    <x:t xml:space="preserve">Hello [Name], [Invoice ID] appears more than once in the tracker. Please confirm in writing whether this is a duplicate before processing.</x:t>
  </x:si>
  <x:si>
    <x:t xml:space="preserve">Internal review</x:t>
  </x:si>
  <x:si>
    <x:t xml:space="preserve">PROJ-004 | INBOX PROCESSING LOG</x:t>
  </x:si>
  <x:si>
    <x:t xml:space="preserve">Email and shared-folder intake • written communication only</x:t>
  </x:si>
  <x:si>
    <x:t xml:space="preserve">Received Date</x:t>
  </x:si>
  <x:si>
    <x:t xml:space="preserve">Sender</x:t>
  </x:si>
  <x:si>
    <x:t xml:space="preserve">Subject / Request</x:t>
  </x:si>
  <x:si>
    <x:t xml:space="preserve">Related Invoice</x:t>
  </x:si>
  <x:si>
    <x:t xml:space="preserve">Priority</x:t>
  </x:si>
  <x:si>
    <x:t xml:space="preserve">Deadline</x:t>
  </x:si>
  <x:si>
    <x:t xml:space="preserve">Action Required</x:t>
  </x:si>
  <x:si>
    <x:t xml:space="preserve">Channel</x:t>
  </x:si>
  <x:si>
    <x:t xml:space="preserve">Task Status</x:t>
  </x:si>
  <x:si>
    <x:t xml:space="preserve">Completed Date</x:t>
  </x:si>
  <x:si>
    <x:t xml:space="preserve">Invoice submission</x:t>
  </x:si>
  <x:si>
    <x:t xml:space="preserve">Medium</x:t>
  </x:si>
  <x:si>
    <x:t xml:space="preserve">Log and validate invoice</x:t>
  </x:si>
  <x:si>
    <x:t xml:space="preserve">Email</x:t>
  </x:si>
  <x:si>
    <x:t xml:space="preserve">Completed</x:t>
  </x:si>
  <x:si>
    <x:t xml:space="preserve">Finance Coordinator</x:t>
  </x:si>
  <x:si>
    <x:t xml:space="preserve">Payment status check</x:t>
  </x:si>
  <x:si>
    <x:t xml:space="preserve">High</x:t>
  </x:si>
  <x:si>
    <x:t xml:space="preserve">Confirm tracker status in writing</x:t>
  </x:si>
  <x:si>
    <x:t xml:space="preserve">Chat</x:t>
  </x:si>
  <x:si>
    <x:t xml:space="preserve">PO number follow-up</x:t>
  </x:si>
  <x:si>
    <x:t xml:space="preserve">Request missing PO</x:t>
  </x:si>
  <x:si>
    <x:t xml:space="preserve">Waiting for Vendor</x:t>
  </x:si>
  <x:si>
    <x:t xml:space="preserve">New invoice file</x:t>
  </x:si>
  <x:si>
    <x:t xml:space="preserve">Save PDF and validate fields</x:t>
  </x:si>
  <x:si>
    <x:t xml:space="preserve">Shared Folder</x:t>
  </x:si>
  <x:si>
    <x:t xml:space="preserve">Compare three records</x:t>
  </x:si>
  <x:si>
    <x:t xml:space="preserve">In Review</x:t>
  </x:si>
  <x:si>
    <x:t xml:space="preserve">Approval-status confirmation</x:t>
  </x:si>
  <x:si>
    <x:t xml:space="preserve">Update written approval status</x:t>
  </x:si>
  <x:si>
    <x:t xml:space="preserve">Invoice-status confirmation</x:t>
  </x:si>
  <x:si>
    <x:t xml:space="preserve">Low</x:t>
  </x:si>
  <x:si>
    <x:t xml:space="preserve">Log written status reply</x:t>
  </x:si>
  <x:si>
    <x:t xml:space="preserve">Missing attachment</x:t>
  </x:si>
  <x:si>
    <x:t xml:space="preserve">Request invoice PDF</x:t>
  </x:si>
  <x:si>
    <x:t xml:space="preserve">Invoice correction</x:t>
  </x:si>
  <x:si>
    <x:t xml:space="preserve">Request corrected amount</x:t>
  </x:si>
  <x:si>
    <x:t xml:space="preserve">Weekly exception summary</x:t>
  </x:si>
  <x:si>
    <x:t xml:space="preserve">MULTIPLE</x:t>
  </x:si>
  <x:si>
    <x:t xml:space="preserve">Prepare written handoff</x:t>
  </x:si>
  <x:si>
    <x:t xml:space="preserve">Vendor name confirmation</x:t>
  </x:si>
  <x:si>
    <x:t xml:space="preserve">Confirm vendor master entry</x:t>
  </x:si>
  <x:si>
    <x:t xml:space="preserve">Written Approver</x:t>
  </x:si>
  <x:si>
    <x:t xml:space="preserve">Approval response</x:t>
  </x:si>
  <x:si>
    <x:t xml:space="preserve">Update approval status</x:t>
  </x:si>
  <x:si>
    <x:t xml:space="preserve">Waiting for Approval</x:t>
  </x:si>
  <x:si>
    <x:t xml:space="preserve">PROJ-004 | WRITTEN FOLLOW-UP TRACKER</x:t>
  </x:si>
  <x:si>
    <x:t xml:space="preserve">Every exception has an owner, written status, and next action date</x:t>
  </x:si>
  <x:si>
    <x:t xml:space="preserve">Follow-Up ID</x:t>
  </x:si>
  <x:si>
    <x:t xml:space="preserve">Issue</x:t>
  </x:si>
  <x:si>
    <x:t xml:space="preserve">Owner</x:t>
  </x:si>
  <x:si>
    <x:t xml:space="preserve">First Contact</x:t>
  </x:si>
  <x:si>
    <x:t xml:space="preserve">Last Contact</x:t>
  </x:si>
  <x:si>
    <x:t xml:space="preserve">Next Follow-Up</x:t>
  </x:si>
  <x:si>
    <x:t xml:space="preserve">Days Open</x:t>
  </x:si>
  <x:si>
    <x:t xml:space="preserve">Response Status</x:t>
  </x:si>
  <x:si>
    <x:t xml:space="preserve">Next Written Action</x:t>
  </x:si>
  <x:si>
    <x:t xml:space="preserve">FU-001</x:t>
  </x:si>
  <x:si>
    <x:t xml:space="preserve">VA</x:t>
  </x:si>
  <x:si>
    <x:t xml:space="preserve">Send second email if no reply</x:t>
  </x:si>
  <x:si>
    <x:t xml:space="preserve">FU-002</x:t>
  </x:si>
  <x:si>
    <x:t xml:space="preserve">Request PDF attachment</x:t>
  </x:si>
  <x:si>
    <x:t xml:space="preserve">FU-003</x:t>
  </x:si>
  <x:si>
    <x:t xml:space="preserve">Invalid amount</x:t>
  </x:si>
  <x:si>
    <x:t xml:space="preserve">Request corrected invoice</x:t>
  </x:si>
  <x:si>
    <x:t xml:space="preserve">FU-004</x:t>
  </x:si>
  <x:si>
    <x:t xml:space="preserve">Duplicate invoice ID</x:t>
  </x:si>
  <x:si>
    <x:t xml:space="preserve">Finance</x:t>
  </x:si>
  <x:si>
    <x:t xml:space="preserve">Confirm which record is valid</x:t>
  </x:si>
  <x:si>
    <x:t xml:space="preserve">FU-005</x:t>
  </x:si>
  <x:si>
    <x:t xml:space="preserve">Pending approval</x:t>
  </x:si>
  <x:si>
    <x:t xml:space="preserve">Approver</x:t>
  </x:si>
  <x:si>
    <x:t xml:space="preserve">Send written reminder</x:t>
  </x:si>
  <x:si>
    <x:t xml:space="preserve">FU-006</x:t>
  </x:si>
  <x:si>
    <x:t xml:space="preserve">Acknowledged</x:t>
  </x:si>
  <x:si>
    <x:t xml:space="preserve">Monitor expected payment date</x:t>
  </x:si>
  <x:si>
    <x:t xml:space="preserve">FU-007</x:t>
  </x:si>
  <x:si>
    <x:t xml:space="preserve">No Response</x:t>
  </x:si>
  <x:si>
    <x:t xml:space="preserve">Send second written reminder</x:t>
  </x:si>
  <x:si>
    <x:t xml:space="preserve">FU-008</x:t>
  </x:si>
  <x:si>
    <x:t xml:space="preserve">Unmapped vendor</x:t>
  </x:si>
  <x:si>
    <x:t xml:space="preserve">PROJ-004 | FILE ORGANIZATION PLAN</x:t>
  </x:si>
  <x:si>
    <x:t xml:space="preserve">One official location • consistent names • auditable document status</x:t>
  </x:si>
  <x:si>
    <x:t xml:space="preserve">Level</x:t>
  </x:si>
  <x:si>
    <x:t xml:space="preserve">Folder / Pattern</x:t>
  </x:si>
  <x:si>
    <x:t xml:space="preserve">Purpose</x:t>
  </x:si>
  <x:si>
    <x:t xml:space="preserve">Example</x:t>
  </x:si>
  <x:si>
    <x:t xml:space="preserve">Control Rule</x:t>
  </x:si>
  <x:si>
    <x:t xml:space="preserve">Root</x:t>
  </x:si>
  <x:si>
    <x:t xml:space="preserve">Invoices_2026</x:t>
  </x:si>
  <x:si>
    <x:t xml:space="preserve">Official annual invoice location</x:t>
  </x:si>
  <x:si>
    <x:t xml:space="preserve">Invoices_2026/</x:t>
  </x:si>
  <x:si>
    <x:t xml:space="preserve">No duplicate root folders</x:t>
  </x:si>
  <x:si>
    <x:t xml:space="preserve">Month</x:t>
  </x:si>
  <x:si>
    <x:t xml:space="preserve">YYYY-MM</x:t>
  </x:si>
  <x:si>
    <x:t xml:space="preserve">Monthly intake folder</x:t>
  </x:si>
  <x:si>
    <x:t xml:space="preserve">2026-08/</x:t>
  </x:si>
  <x:si>
    <x:t xml:space="preserve">Use invoice received month</x:t>
  </x:si>
  <x:si>
    <x:t xml:space="preserve">Status</x:t>
  </x:si>
  <x:si>
    <x:t xml:space="preserve">01_New</x:t>
  </x:si>
  <x:si>
    <x:t xml:space="preserve">Unprocessed arrivals</x:t>
  </x:si>
  <x:si>
    <x:t xml:space="preserve">2026-08/01_New/</x:t>
  </x:si>
  <x:si>
    <x:t xml:space="preserve">Move after logging</x:t>
  </x:si>
  <x:si>
    <x:t xml:space="preserve">02_Waiting_Info</x:t>
  </x:si>
  <x:si>
    <x:t xml:space="preserve">Missing document or response</x:t>
  </x:si>
  <x:si>
    <x:t xml:space="preserve">2026-08/02_Waiting_Info/</x:t>
  </x:si>
  <x:si>
    <x:t xml:space="preserve">Tracker status must match</x:t>
  </x:si>
  <x:si>
    <x:t xml:space="preserve">03_Ready_Finance</x:t>
  </x:si>
  <x:si>
    <x:t xml:space="preserve">Validated and approved</x:t>
  </x:si>
  <x:si>
    <x:t xml:space="preserve">2026-08/03_Ready_Finance/</x:t>
  </x:si>
  <x:si>
    <x:t xml:space="preserve">All required fields complete</x:t>
  </x:si>
  <x:si>
    <x:t xml:space="preserve">04_Paid</x:t>
  </x:si>
  <x:si>
    <x:t xml:space="preserve">Payment confirmed</x:t>
  </x:si>
  <x:si>
    <x:t xml:space="preserve">2026-08/04_Paid/</x:t>
  </x:si>
  <x:si>
    <x:t xml:space="preserve">Payment date recorded</x:t>
  </x:si>
  <x:si>
    <x:t xml:space="preserve">05_Archive</x:t>
  </x:si>
  <x:si>
    <x:t xml:space="preserve">Closed historical records</x:t>
  </x:si>
  <x:si>
    <x:t xml:space="preserve">2026-08/05_Archive/</x:t>
  </x:si>
  <x:si>
    <x:t xml:space="preserve">Read-only after close</x:t>
  </x:si>
  <x:si>
    <x:t xml:space="preserve">Filename</x:t>
  </x:si>
  <x:si>
    <x:t xml:space="preserve">YYYY-MM_VendorCode_InvoiceID.pdf</x:t>
  </x:si>
  <x:si>
    <x:t xml:space="preserve">Standard invoice name</x:t>
  </x:si>
  <x:si>
    <x:t xml:space="preserve">2026-08_V001_INV-2026-041.pdf</x:t>
  </x:si>
  <x:si>
    <x:t xml:space="preserve">No (1), copy, or final-final</x:t>
  </x:si>
  <x:si>
    <x:t xml:space="preserve">Version</x:t>
  </x:si>
  <x:si>
    <x:t xml:space="preserve">InvoiceID_SupportingDoc_Type.pdf</x:t>
  </x:si>
  <x:si>
    <x:t xml:space="preserve">Related documents</x:t>
  </x:si>
  <x:si>
    <x:t xml:space="preserve">INV-2026-041_PO.pdf</x:t>
  </x:si>
  <x:si>
    <x:t xml:space="preserve">Keep invoice ID in every name</x:t>
  </x:si>
  <x:si>
    <x:t xml:space="preserve">PROJ-004 | DAILY VA CHECKLIST</x:t>
  </x:si>
  <x:si>
    <x:t xml:space="preserve">Routine work that can be completed independently through written tools</x:t>
  </x:si>
  <x:si>
    <x:t xml:space="preserve">Sequence</x:t>
  </x:si>
  <x:si>
    <x:t xml:space="preserve">Task</x:t>
  </x:si>
  <x:si>
    <x:t xml:space="preserve">Frequency</x:t>
  </x:si>
  <x:si>
    <x:t xml:space="preserve">Tool</x:t>
  </x:si>
  <x:si>
    <x:t xml:space="preserve">Completion Proof</x:t>
  </x:si>
  <x:si>
    <x:t xml:space="preserve">Escalation Method</x:t>
  </x:si>
  <x:si>
    <x:t xml:space="preserve">Call Required?</x:t>
  </x:si>
  <x:si>
    <x:t xml:space="preserve">Check invoice email inbox</x:t>
  </x:si>
  <x:si>
    <x:t xml:space="preserve">Daily</x:t>
  </x:si>
  <x:si>
    <x:t xml:space="preserve">Inbox reviewed timestamp</x:t>
  </x:si>
  <x:si>
    <x:t xml:space="preserve">Complete</x:t>
  </x:si>
  <x:si>
    <x:t xml:space="preserve">Written summary</x:t>
  </x:si>
  <x:si>
    <x:t xml:space="preserve">No</x:t>
  </x:si>
  <x:si>
    <x:t xml:space="preserve">Check shared-folder uploads</x:t>
  </x:si>
  <x:si>
    <x:t xml:space="preserve">New files logged</x:t>
  </x:si>
  <x:si>
    <x:t xml:space="preserve">Chat message</x:t>
  </x:si>
  <x:si>
    <x:t xml:space="preserve">Log new invoice records</x:t>
  </x:si>
  <x:si>
    <x:t xml:space="preserve">Excel</x:t>
  </x:si>
  <x:si>
    <x:t xml:space="preserve">Invoice ID entered</x:t>
  </x:si>
  <x:si>
    <x:t xml:space="preserve">Written note</x:t>
  </x:si>
  <x:si>
    <x:t xml:space="preserve">Run validation checks</x:t>
  </x:si>
  <x:si>
    <x:t xml:space="preserve">Issue and risk populated</x:t>
  </x:si>
  <x:si>
    <x:t xml:space="preserve">Written exception list</x:t>
  </x:si>
  <x:si>
    <x:t xml:space="preserve">Rename and file documents</x:t>
  </x:si>
  <x:si>
    <x:t xml:space="preserve">Naming rule followed</x:t>
  </x:si>
  <x:si>
    <x:t xml:space="preserve">Send missing-document requests</x:t>
  </x:si>
  <x:si>
    <x:t xml:space="preserve">Sent email recorded</x:t>
  </x:si>
  <x:si>
    <x:t xml:space="preserve">In Progress</x:t>
  </x:si>
  <x:si>
    <x:t xml:space="preserve">Email reminder</x:t>
  </x:si>
  <x:si>
    <x:t xml:space="preserve">Update follow-up tracker</x:t>
  </x:si>
  <x:si>
    <x:t xml:space="preserve">Status and next date entered</x:t>
  </x:si>
  <x:si>
    <x:t xml:space="preserve">Written status</x:t>
  </x:si>
  <x:si>
    <x:t xml:space="preserve">Prepare finance handoff</x:t>
  </x:si>
  <x:si>
    <x:t xml:space="preserve">Weekly</x:t>
  </x:si>
  <x:si>
    <x:t xml:space="preserve">Excel / Email</x:t>
  </x:si>
  <x:si>
    <x:t xml:space="preserve">Handoff summary sent</x:t>
  </x:si>
  <x:si>
    <x:t xml:space="preserve">Archive completed records</x:t>
  </x:si>
  <x:si>
    <x:t xml:space="preserve">Moved to archive</x:t>
  </x:si>
  <x:si>
    <x:t xml:space="preserve">Not Started</x:t>
  </x:si>
  <x:si>
    <x:t xml:space="preserve">Chat confirmation</x:t>
  </x:si>
  <x:si>
    <x:t xml:space="preserve">Review duplicate invoice IDs</x:t>
  </x:si>
  <x:si>
    <x:t xml:space="preserve">Finance decision recorded</x:t>
  </x:si>
  <x:si>
    <x:t xml:space="preserve">Written finance review</x:t>
  </x:si>
  <x:si>
    <x:t xml:space="preserve">PROJ-004 | WRITTEN FINANCE HANDOFF</x:t>
  </x:si>
  <x:si>
    <x:t xml:space="preserve">Weekly written summary • no meeting required for routine handoff</x:t>
  </x:si>
  <x:si>
    <x:t xml:space="preserve">HANDOFF METRIC</x:t>
  </x:si>
  <x:si>
    <x:t xml:space="preserve">RESULT</x:t>
  </x:si>
  <x:si>
    <x:t xml:space="preserve">WRITTEN HANDOFF MESSAGE</x:t>
  </x:si>
  <x:si>
    <x:t xml:space="preserve">Requires Review</x:t>
  </x:si>
  <x:si>
    <x:t xml:space="preserve">High Risk</x:t>
  </x:si>
  <x:si>
    <x:t xml:space="preserve">Communication boundary: email/chat handoff only • no cold calling • no routine meeting required</x:t>
  </x:si>
</x:sst>
</file>

<file path=xl/styles.xml><?xml version="1.0" encoding="utf-8"?>
<x:styleSheet xmlns:x="http://schemas.openxmlformats.org/spreadsheetml/2006/main">
  <x:numFmts count="1">
    <x:numFmt numFmtId="164" formatCode="yyyy\-mm\-dd"/>
  </x:numFmts>
  <x:fonts count="28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0"/>
      <x:color rgb="FF202420"/>
      <x:name val="Carlito"/>
    </x:font>
    <x:font>
      <x:b/>
      <x:sz val="10"/>
      <x:color rgb="FF151515"/>
      <x:name val="Carlito"/>
    </x:font>
    <x:font>
      <x:b/>
      <x:sz val="11"/>
      <x:color rgb="FF111111"/>
      <x:name val="Carlito"/>
    </x:font>
    <x:font>
      <x:b/>
      <x:sz val="10"/>
      <x:color rgb="FF304300"/>
      <x:name val="Carlito"/>
    </x:font>
    <x:font>
      <x:b/>
      <x:sz val="11"/>
      <x:color rgb="FF304300"/>
      <x:name val="Carlito"/>
    </x:font>
    <x:font>
      <x:b/>
      <x:i/>
      <x:sz val="11"/>
      <x:color rgb="FF111111"/>
      <x:name val="Carlito"/>
    </x:font>
    <x:font>
      <x:b/>
      <x:sz val="12"/>
      <x:color rgb="FF111111"/>
      <x:name val="Carlito"/>
    </x:font>
    <x:font>
      <x:b/>
      <x:sz val="10"/>
      <x:color rgb="FF111111"/>
      <x:name val="Carlito"/>
    </x:font>
    <x:font>
      <x:b/>
      <x:sz val="13"/>
      <x:color rgb="FF1C5E35"/>
      <x:name val="Carlito"/>
    </x:font>
    <x:font>
      <x:b/>
      <x:sz val="13"/>
      <x:color rgb="FF8A4B08"/>
      <x:name val="Carlito"/>
    </x:font>
    <x:font>
      <x:b/>
      <x:sz val="13"/>
      <x:color rgb="FF9C271C"/>
      <x:name val="Carlito"/>
    </x:font>
    <x:font>
      <x:b/>
      <x:sz val="20"/>
      <x:color rgb="FFFFFFFF"/>
      <x:name val="Carlito"/>
    </x:font>
    <x:font>
      <x:b/>
      <x:sz val="16"/>
      <x:color rgb="FF1C5E35"/>
      <x:name val="Carlito"/>
    </x:font>
    <x:font>
      <x:b/>
      <x:sz val="16"/>
      <x:color rgb="FF8A4B08"/>
      <x:name val="Carlito"/>
    </x:font>
    <x:font>
      <x:b/>
      <x:sz val="16"/>
      <x:color rgb="FF9C271C"/>
      <x:name val="Carlito"/>
    </x:font>
    <x:font>
      <x:b/>
      <x:sz val="11"/>
      <x:color rgb="FFC7FF00"/>
      <x:name val="Carlito"/>
    </x:font>
    <x:font>
      <x:sz val="11"/>
      <x:color rgb="FFFFFFFF"/>
      <x:name val="Carlito"/>
    </x:font>
    <x:font>
      <x:b/>
      <x:sz val="17"/>
      <x:color rgb="FFFFFFFF"/>
      <x:name val="Carlito"/>
    </x:font>
    <x:font>
      <x:b/>
      <x:sz val="10"/>
      <x:color rgb="FFFFFFFF"/>
      <x:name val="Carlito"/>
    </x:font>
    <x:font>
      <x:b/>
      <x:sz val="18"/>
      <x:color rgb="FFFFFFFF"/>
      <x:name val="Carlito"/>
    </x:font>
    <x:font>
      <x:b/>
      <x:sz val="11"/>
      <x:color rgb="FF385300"/>
      <x:name val="Carlito"/>
    </x:font>
    <x:font>
      <x:b/>
      <x:sz val="11"/>
      <x:color rgb="FFC6FF00"/>
      <x:name val="Carlito"/>
    </x:font>
    <x:font>
      <x:b/>
      <x:sz val="15"/>
      <x:name val="Carlito"/>
    </x:font>
    <x:font>
      <x:sz val="1"/>
      <x:color rgb="FFFFFFFF"/>
      <x:name val="Carlito"/>
    </x:font>
    <x:font>
      <x:b/>
      <x:sz val="1"/>
      <x:color rgb="FFFFFFFF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173B35"/>
      </x:patternFill>
    </x:fill>
    <x:fill>
      <x:patternFill patternType="solid">
        <x:fgColor rgb="FF111111"/>
      </x:patternFill>
    </x:fill>
    <x:fill>
      <x:patternFill patternType="solid">
        <x:fgColor rgb="FFFFFFFF"/>
      </x:patternFill>
    </x:fill>
    <x:fill>
      <x:patternFill patternType="solid">
        <x:fgColor rgb="FFF3F4F3"/>
      </x:patternFill>
    </x:fill>
    <x:fill>
      <x:patternFill patternType="solid">
        <x:fgColor rgb="FFC7FF00"/>
      </x:patternFill>
    </x:fill>
    <x:fill>
      <x:patternFill patternType="solid">
        <x:fgColor rgb="FFEEFFD0"/>
      </x:patternFill>
    </x:fill>
    <x:fill>
      <x:patternFill patternType="solid">
        <x:fgColor rgb="FFF6FFE8"/>
      </x:patternFill>
    </x:fill>
    <x:fill>
      <x:patternFill patternType="solid">
        <x:fgColor rgb="FFE4E7E5"/>
      </x:patternFill>
    </x:fill>
    <x:fill>
      <x:patternFill patternType="solid">
        <x:fgColor rgb="FFD9EAD3"/>
      </x:patternFill>
    </x:fill>
    <x:fill>
      <x:patternFill patternType="solid">
        <x:fgColor rgb="FFFFE4B8"/>
      </x:patternFill>
    </x:fill>
    <x:fill>
      <x:patternFill patternType="solid">
        <x:fgColor rgb="FFF7C7C7"/>
      </x:patternFill>
    </x:fill>
    <x:fill>
      <x:patternFill patternType="solid">
        <x:fgColor rgb="FF242424"/>
      </x:patternFill>
    </x:fill>
    <x:fill>
      <x:patternFill patternType="solid">
        <x:fgColor rgb="FF111111"/>
      </x:patternFill>
    </x:fill>
    <x:fill>
      <x:patternFill patternType="solid">
        <x:fgColor rgb="FFC6FF00"/>
      </x:patternFill>
    </x:fill>
    <x:fill>
      <x:patternFill patternType="solid">
        <x:fgColor rgb="FFF1F2F2"/>
      </x:patternFill>
    </x:fill>
    <x:fill>
      <x:patternFill patternType="solid">
        <x:fgColor rgb="FFE9FFBD"/>
      </x:patternFill>
    </x:fill>
    <x:fill>
      <x:patternFill patternType="solid">
        <x:fgColor rgb="FFD9EAD3"/>
      </x:patternFill>
    </x:fill>
    <x:fill>
      <x:patternFill patternType="solid">
        <x:fgColor rgb="FFFFE2AD"/>
      </x:patternFill>
    </x:fill>
    <x:fill>
      <x:patternFill patternType="solid">
        <x:fgColor rgb="FFF7C2C2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81">
    <x:border/>
    <x:border>
      <x:right style="thin">
        <x:color rgb="FFDDE6E1"/>
      </x:right>
      <x:top style="thin">
        <x:color rgb="FFDDE6E1"/>
      </x:top>
      <x:bottom style="thin">
        <x:color rgb="FFDDE6E1"/>
      </x:bottom>
    </x:border>
    <x:border>
      <x:left style="thin">
        <x:color rgb="FFDDE6E1"/>
      </x:left>
      <x:right style="thin">
        <x:color rgb="FFDDE6E1"/>
      </x:right>
      <x:top style="thin">
        <x:color rgb="FFDDE6E1"/>
      </x:top>
      <x:bottom style="thin">
        <x:color rgb="FFDDE6E1"/>
      </x:bottom>
    </x:border>
    <x:border>
      <x:left style="thin">
        <x:color rgb="FFDDE6E1"/>
      </x:left>
      <x:top style="thin">
        <x:color rgb="FFDDE6E1"/>
      </x:top>
      <x:bottom style="thin">
        <x:color rgb="FFDDE6E1"/>
      </x:bottom>
    </x:border>
    <x:border>
      <x:left style="thin">
        <x:color rgb="FFDDE6E1"/>
      </x:left>
      <x:right style="thin">
        <x:color rgb="FFDDE6E1"/>
      </x:right>
      <x:top style="thin">
        <x:color rgb="FFDDE6E1"/>
      </x:top>
    </x:border>
    <x:border>
      <x:left style="thin">
        <x:color rgb="FFDDE6E1"/>
      </x:left>
      <x:top style="thin">
        <x:color rgb="FFDDE6E1"/>
      </x:top>
    </x:border>
    <x:border>
      <x:left style="thin">
        <x:color rgb="FF4A4A4A"/>
      </x:left>
      <x:right style="thin">
        <x:color rgb="FF4A4A4A"/>
      </x:right>
      <x:top style="thin">
        <x:color rgb="FF4A4A4A"/>
      </x:top>
      <x:bottom style="thin">
        <x:color rgb="FF4A4A4A"/>
      </x:bottom>
    </x:border>
    <x:border>
      <x:left style="thin">
        <x:color rgb="FF4A4A4A"/>
      </x:left>
      <x:right style="thin">
        <x:color rgb="FF4A4A4A"/>
      </x:right>
      <x:top style="thin">
        <x:color rgb="FF4A4A4A"/>
      </x:top>
      <x:bottom style="thin">
        <x:color rgb="FFD8DDDA"/>
      </x:bottom>
    </x:border>
    <x:border>
      <x:left style="thin">
        <x:color rgb="FF4A4A4A"/>
      </x:left>
      <x:right style="thin">
        <x:color rgb="FFDDE6E1"/>
      </x:right>
      <x:top style="thin">
        <x:color rgb="FFD8DDDA"/>
      </x:top>
      <x:bottom style="thin">
        <x:color rgb="FFD8DDDA"/>
      </x:bottom>
    </x:border>
    <x:border>
      <x:left style="thin">
        <x:color rgb="FFDDE6E1"/>
      </x:left>
      <x:right style="thin">
        <x:color rgb="FFDDE6E1"/>
      </x:right>
      <x:top style="thin">
        <x:color rgb="FFD8DDDA"/>
      </x:top>
      <x:bottom style="thin">
        <x:color rgb="FFD8DDDA"/>
      </x:bottom>
    </x:border>
    <x:border>
      <x:left style="thin">
        <x:color rgb="FFDDE6E1"/>
      </x:left>
      <x:right style="thin">
        <x:color rgb="FF4A4A4A"/>
      </x:right>
      <x:top style="thin">
        <x:color rgb="FFD8DDDA"/>
      </x:top>
      <x:bottom style="thin">
        <x:color rgb="FFD8DDDA"/>
      </x:bottom>
    </x:border>
    <x:border>
      <x:left style="thin">
        <x:color rgb="FF4A4A4A"/>
      </x:left>
      <x:right style="thin">
        <x:color rgb="FFDDE6E1"/>
      </x:right>
      <x:top style="thin">
        <x:color rgb="FFD8DDDA"/>
      </x:top>
      <x:bottom style="thin">
        <x:color rgb="FFC7CECA"/>
      </x:bottom>
    </x:border>
    <x:border>
      <x:left style="thin">
        <x:color rgb="FFDDE6E1"/>
      </x:left>
      <x:right style="thin">
        <x:color rgb="FFDDE6E1"/>
      </x:right>
      <x:top style="thin">
        <x:color rgb="FFD8DDDA"/>
      </x:top>
      <x:bottom style="thin">
        <x:color rgb="FFC7CECA"/>
      </x:bottom>
    </x:border>
    <x:border>
      <x:left style="thin">
        <x:color rgb="FFDDE6E1"/>
      </x:left>
      <x:right style="thin">
        <x:color rgb="FF4A4A4A"/>
      </x:right>
      <x:top style="thin">
        <x:color rgb="FFD8DDDA"/>
      </x:top>
      <x:bottom style="thin">
        <x:color rgb="FFC7CECA"/>
      </x:bottom>
    </x:border>
    <x:border>
      <x:left style="thin">
        <x:color rgb="FF9AC900"/>
      </x:left>
      <x:right style="thin">
        <x:color rgb="FF9AC900"/>
      </x:right>
      <x:top style="thin">
        <x:color rgb="FF9AC900"/>
      </x:top>
      <x:bottom style="thin">
        <x:color rgb="FF9AC900"/>
      </x:bottom>
    </x:border>
    <x:border>
      <x:right style="thin">
        <x:color rgb="FFDDE6E1"/>
      </x:right>
      <x:top style="thin">
        <x:color rgb="FFDDE6E1"/>
      </x:top>
      <x:bottom style="thin">
        <x:color rgb="FFD8DDDA"/>
      </x:bottom>
    </x:border>
    <x:border>
      <x:left style="thin">
        <x:color rgb="FFDDE6E1"/>
      </x:left>
      <x:right style="thin">
        <x:color rgb="FFDDE6E1"/>
      </x:right>
      <x:top style="thin">
        <x:color rgb="FFDDE6E1"/>
      </x:top>
      <x:bottom style="thin">
        <x:color rgb="FFD8DDDA"/>
      </x:bottom>
    </x:border>
    <x:border>
      <x:right style="thin">
        <x:color rgb="FFDDE6E1"/>
      </x:right>
      <x:top style="thin">
        <x:color rgb="FFD8DDDA"/>
      </x:top>
      <x:bottom style="thin">
        <x:color rgb="FFD8DDDA"/>
      </x:bottom>
    </x:border>
    <x:border>
      <x:right style="thin">
        <x:color rgb="FFDDE6E1"/>
      </x:right>
      <x:top style="thin">
        <x:color rgb="FFD8DDDA"/>
      </x:top>
      <x:bottom style="thin">
        <x:color rgb="FFC7CECA"/>
      </x:bottom>
    </x:border>
    <x:border>
      <x:left style="thin">
        <x:color rgb="FF9AC900"/>
      </x:left>
      <x:right style="thin">
        <x:color rgb="FF9AC900"/>
      </x:right>
      <x:top style="thin">
        <x:color rgb="FF4A4A4A"/>
      </x:top>
      <x:bottom style="thin">
        <x:color rgb="FFD8DDDA"/>
      </x:bottom>
    </x:border>
    <x:border>
      <x:left style="thin">
        <x:color rgb="FF9AC900"/>
      </x:left>
      <x:right style="thin">
        <x:color rgb="FF4A4A4A"/>
      </x:right>
      <x:top style="thin">
        <x:color rgb="FF4A4A4A"/>
      </x:top>
      <x:bottom style="thin">
        <x:color rgb="FFD8DDDA"/>
      </x:bottom>
    </x:border>
    <x:border>
      <x:left style="thick">
        <x:color rgb="FF88AA00"/>
      </x:left>
      <x:right style="thin">
        <x:color rgb="FF9AC900"/>
      </x:right>
      <x:top style="thin">
        <x:color rgb="FF4A4A4A"/>
      </x:top>
      <x:bottom style="thin">
        <x:color rgb="FFD8DDDA"/>
      </x:bottom>
    </x:border>
    <x:border>
      <x:left style="thick">
        <x:color rgb="FF88AA00"/>
      </x:left>
      <x:right style="thin">
        <x:color rgb="FF9AC900"/>
      </x:right>
      <x:top style="thin">
        <x:color rgb="FFD8DDDA"/>
      </x:top>
      <x:bottom style="thin">
        <x:color rgb="FFD8DDDA"/>
      </x:bottom>
    </x:border>
    <x:border>
      <x:left style="thin">
        <x:color rgb="FFB5BDB8"/>
      </x:left>
      <x:right style="thin">
        <x:color rgb="FFB5BDB8"/>
      </x:right>
      <x:top style="thin">
        <x:color rgb="FFB5BDB8"/>
      </x:top>
      <x:bottom style="thin">
        <x:color rgb="FFB5BDB8"/>
      </x:bottom>
    </x:border>
    <x:border>
      <x:left style="thick">
        <x:color rgb="FF111111"/>
      </x:left>
      <x:top style="thick">
        <x:color rgb="FF111111"/>
      </x:top>
    </x:border>
    <x:border>
      <x:right style="thick">
        <x:color rgb="FF111111"/>
      </x:right>
      <x:top style="thick">
        <x:color rgb="FF111111"/>
      </x:top>
    </x:border>
    <x:border>
      <x:left style="thick">
        <x:color rgb="FF111111"/>
      </x:left>
    </x:border>
    <x:border>
      <x:right style="thick">
        <x:color rgb="FF111111"/>
      </x:right>
    </x:border>
    <x:border>
      <x:left style="thick">
        <x:color rgb="FF111111"/>
      </x:left>
      <x:bottom style="thick">
        <x:color rgb="FF111111"/>
      </x:bottom>
    </x:border>
    <x:border>
      <x:right style="thick">
        <x:color rgb="FF111111"/>
      </x:right>
      <x:bottom style="thick">
        <x:color rgb="FF111111"/>
      </x:bottom>
    </x:border>
    <x:border>
      <x:left style="thick">
        <x:color rgb="FF79A66D"/>
      </x:left>
      <x:top style="thick">
        <x:color rgb="FF79A66D"/>
      </x:top>
    </x:border>
    <x:border>
      <x:right style="thick">
        <x:color rgb="FF79A66D"/>
      </x:right>
      <x:top style="thick">
        <x:color rgb="FF79A66D"/>
      </x:top>
    </x:border>
    <x:border>
      <x:left style="thick">
        <x:color rgb="FF79A66D"/>
      </x:left>
    </x:border>
    <x:border>
      <x:right style="thick">
        <x:color rgb="FF79A66D"/>
      </x:right>
    </x:border>
    <x:border>
      <x:left style="thick">
        <x:color rgb="FF79A66D"/>
      </x:left>
      <x:bottom style="thick">
        <x:color rgb="FF79A66D"/>
      </x:bottom>
    </x:border>
    <x:border>
      <x:right style="thick">
        <x:color rgb="FF79A66D"/>
      </x:right>
      <x:bottom style="thick">
        <x:color rgb="FF79A66D"/>
      </x:bottom>
    </x:border>
    <x:border>
      <x:left style="thick">
        <x:color rgb="FFD49C45"/>
      </x:left>
      <x:top style="thick">
        <x:color rgb="FFD49C45"/>
      </x:top>
    </x:border>
    <x:border>
      <x:right style="thick">
        <x:color rgb="FFD49C45"/>
      </x:right>
      <x:top style="thick">
        <x:color rgb="FFD49C45"/>
      </x:top>
    </x:border>
    <x:border>
      <x:left style="thick">
        <x:color rgb="FFD49C45"/>
      </x:left>
    </x:border>
    <x:border>
      <x:right style="thick">
        <x:color rgb="FFD49C45"/>
      </x:right>
    </x:border>
    <x:border>
      <x:left style="thick">
        <x:color rgb="FFD49C45"/>
      </x:left>
      <x:bottom style="thick">
        <x:color rgb="FFD49C45"/>
      </x:bottom>
    </x:border>
    <x:border>
      <x:right style="thick">
        <x:color rgb="FFD49C45"/>
      </x:right>
      <x:bottom style="thick">
        <x:color rgb="FFD49C45"/>
      </x:bottom>
    </x:border>
    <x:border>
      <x:left style="thick">
        <x:color rgb="FFC96D64"/>
      </x:left>
      <x:top style="thick">
        <x:color rgb="FFC96D64"/>
      </x:top>
    </x:border>
    <x:border>
      <x:right style="thick">
        <x:color rgb="FFC96D64"/>
      </x:right>
      <x:top style="thick">
        <x:color rgb="FFC96D64"/>
      </x:top>
    </x:border>
    <x:border>
      <x:left style="thick">
        <x:color rgb="FFC96D64"/>
      </x:left>
    </x:border>
    <x:border>
      <x:right style="thick">
        <x:color rgb="FFC96D64"/>
      </x:right>
    </x:border>
    <x:border>
      <x:left style="thick">
        <x:color rgb="FFC96D64"/>
      </x:left>
      <x:bottom style="thick">
        <x:color rgb="FFC96D64"/>
      </x:bottom>
    </x:border>
    <x:border>
      <x:right style="thick">
        <x:color rgb="FFC96D64"/>
      </x:right>
      <x:bottom style="thick">
        <x:color rgb="FFC96D64"/>
      </x:bottom>
    </x:border>
    <x:border>
      <x:left style="thin">
        <x:color rgb="FF9AC900"/>
      </x:left>
      <x:right style="thin">
        <x:color rgb="FF9AC900"/>
      </x:right>
      <x:top style="thin">
        <x:color rgb="FF9AC900"/>
      </x:top>
      <x:bottom style="thin">
        <x:color rgb="FFD8DDDA"/>
      </x:bottom>
    </x:border>
    <x:border>
      <x:left style="thin">
        <x:color rgb="FF9AC900"/>
      </x:left>
      <x:right style="thin">
        <x:color rgb="FFDDE6E1"/>
      </x:right>
      <x:top style="thin">
        <x:color rgb="FFD8DDDA"/>
      </x:top>
      <x:bottom style="thin">
        <x:color rgb="FFD8DDDA"/>
      </x:bottom>
    </x:border>
    <x:border>
      <x:left style="thin">
        <x:color rgb="FFDDE6E1"/>
      </x:left>
      <x:right style="thin">
        <x:color rgb="FF9AC900"/>
      </x:right>
      <x:top style="thin">
        <x:color rgb="FFD8DDDA"/>
      </x:top>
      <x:bottom style="thin">
        <x:color rgb="FFD8DDDA"/>
      </x:bottom>
    </x:border>
    <x:border>
      <x:left style="thin">
        <x:color rgb="FF9AC900"/>
      </x:left>
      <x:right style="thin">
        <x:color rgb="FFDDE6E1"/>
      </x:right>
      <x:top style="thin">
        <x:color rgb="FFD8DDDA"/>
      </x:top>
      <x:bottom style="thin">
        <x:color rgb="FFC7CECA"/>
      </x:bottom>
    </x:border>
    <x:border>
      <x:left style="thin">
        <x:color rgb="FFDDE6E1"/>
      </x:left>
      <x:right style="thin">
        <x:color rgb="FF9AC900"/>
      </x:right>
      <x:top style="thin">
        <x:color rgb="FFD8DDDA"/>
      </x:top>
      <x:bottom style="thin">
        <x:color rgb="FFC7CECA"/>
      </x:bottom>
    </x:border>
    <x:border>
      <x:left style="thick">
        <x:color rgb="FFC7FF00"/>
      </x:left>
      <x:top style="thick">
        <x:color rgb="FFC7FF00"/>
      </x:top>
    </x:border>
    <x:border>
      <x:top style="thick">
        <x:color rgb="FFC7FF00"/>
      </x:top>
    </x:border>
    <x:border>
      <x:right style="thick">
        <x:color rgb="FFC7FF00"/>
      </x:right>
      <x:top style="thick">
        <x:color rgb="FFC7FF00"/>
      </x:top>
    </x:border>
    <x:border>
      <x:left style="thick">
        <x:color rgb="FFC7FF00"/>
      </x:left>
    </x:border>
    <x:border>
      <x:right style="thick">
        <x:color rgb="FFC7FF00"/>
      </x:right>
    </x:border>
    <x:border>
      <x:left style="thick">
        <x:color rgb="FFC7FF00"/>
      </x:left>
      <x:bottom style="thick">
        <x:color rgb="FFC7FF00"/>
      </x:bottom>
    </x:border>
    <x:border>
      <x:bottom style="thick">
        <x:color rgb="FFC7FF00"/>
      </x:bottom>
    </x:border>
    <x:border>
      <x:right style="thick">
        <x:color rgb="FFC7FF00"/>
      </x:right>
      <x:bottom style="thick">
        <x:color rgb="FFC7FF00"/>
      </x:bottom>
    </x:border>
    <x:border>
      <x:right style="thin">
        <x:color rgb="FF666666"/>
      </x:right>
    </x:border>
    <x:border>
      <x:left style="thin">
        <x:color rgb="FF666666"/>
      </x:left>
      <x:right style="thin">
        <x:color rgb="FF666666"/>
      </x:right>
    </x:border>
    <x:border>
      <x:left style="thin">
        <x:color rgb="FF666666"/>
      </x:left>
    </x:border>
    <x:border>
      <x:bottom style="thin">
        <x:color rgb="FFC9D0CD"/>
      </x:bottom>
    </x:border>
    <x:border>
      <x:top style="thin">
        <x:color rgb="FFC9D0CD"/>
      </x:top>
      <x:bottom style="thin">
        <x:color rgb="FFC9D0CD"/>
      </x:bottom>
    </x:border>
    <x:border>
      <x:top style="thin">
        <x:color rgb="FFC9D0CD"/>
      </x:top>
    </x:border>
    <x:border>
      <x:left style="thin">
        <x:color rgb="FFC9D0CD"/>
      </x:left>
      <x:top style="thin">
        <x:color rgb="FFC9D0CD"/>
      </x:top>
    </x:border>
    <x:border>
      <x:right style="thin">
        <x:color rgb="FFC9D0CD"/>
      </x:right>
      <x:top style="thin">
        <x:color rgb="FFC9D0CD"/>
      </x:top>
    </x:border>
    <x:border>
      <x:left style="thin">
        <x:color rgb="FFC9D0CD"/>
      </x:left>
    </x:border>
    <x:border>
      <x:right style="thin">
        <x:color rgb="FFC9D0CD"/>
      </x:right>
    </x:border>
    <x:border>
      <x:left style="thin">
        <x:color rgb="FFC9D0CD"/>
      </x:left>
      <x:bottom style="thin">
        <x:color rgb="FFC9D0CD"/>
      </x:bottom>
    </x:border>
    <x:border>
      <x:right style="thin">
        <x:color rgb="FFC9D0CD"/>
      </x:right>
      <x:bottom style="thin">
        <x:color rgb="FFC9D0CD"/>
      </x:bottom>
    </x:border>
    <x:border diagonalUp="0" diagonalDown="0">
      <x:left style="none"/>
      <x:top style="none"/>
    </x:border>
    <x:border diagonalUp="0" diagonalDown="0">
      <x:right style="none"/>
      <x:top style="none"/>
    </x:border>
    <x:border diagonalUp="0" diagonalDown="0">
      <x:left style="none"/>
      <x:right style="thin">
        <x:color rgb="FF4A4A4A"/>
      </x:right>
      <x:top style="thin">
        <x:color rgb="FF4A4A4A"/>
      </x:top>
      <x:bottom style="thin">
        <x:color rgb="FF4A4A4A"/>
      </x:bottom>
    </x:border>
    <x:border diagonalUp="0" diagonalDown="0">
      <x:left style="thin">
        <x:color rgb="FF4A4A4A"/>
      </x:left>
      <x:right style="none"/>
      <x:top style="thin">
        <x:color rgb="FF4A4A4A"/>
      </x:top>
      <x:bottom style="thin">
        <x:color rgb="FF4A4A4A"/>
      </x:bottom>
    </x:border>
    <x:border diagonalUp="0" diagonalDown="0">
      <x:left style="none"/>
    </x:border>
    <x:border diagonalUp="0" diagonalDown="0">
      <x:right style="none"/>
    </x:border>
    <x:border diagonalUp="0" diagonalDown="0">
      <x:left style="none"/>
      <x:bottom style="none"/>
    </x:border>
    <x:border diagonalUp="0" diagonalDown="0">
      <x:right style="none"/>
      <x:bottom style="none"/>
    </x:border>
  </x:borders>
  <x:cellStyleXfs count="1">
    <x:xf numFmtId="0" fontId="0" fillId="0" borderId="0"/>
  </x:cellStyleXfs>
  <x:cellXfs count="199">
    <x:xf numFmtId="0" fontId="0" fillId="0" borderId="0" xfId="0"/>
    <x:xf numFmtId="0" fontId="0" fillId="0" borderId="1" xfId="0" applyBorder="1"/>
    <x:xf numFmtId="0" fontId="0" fillId="0" borderId="2" xfId="0" applyBorder="1"/>
    <x:xf numFmtId="0" fontId="0" fillId="0" borderId="3" xfId="0" applyBorder="1"/>
    <x:xf numFmtId="0" fontId="0" fillId="0" borderId="4" xfId="0" applyBorder="1"/>
    <x:xf numFmtId="0" fontId="0" fillId="0" borderId="5" xfId="0" applyBorder="1"/>
    <x:xf numFmtId="0" fontId="2" fillId="2" borderId="0" xfId="0" applyFont="1" applyFill="1" applyAlignment="1">
      <x:alignment vertical="center"/>
    </x:xf>
    <x:xf numFmtId="0" fontId="1" fillId="3" borderId="7" xfId="0" applyFont="1" applyFill="1" applyBorder="1" applyAlignment="1">
      <x:alignment vertical="center" wrapText="1"/>
    </x:xf>
    <x:xf numFmtId="0" fontId="3" fillId="4" borderId="8" xfId="0" applyFont="1" applyFill="1" applyBorder="1"/>
    <x:xf numFmtId="0" fontId="3" fillId="4" borderId="9" xfId="0" applyFont="1" applyFill="1" applyBorder="1"/>
    <x:xf numFmtId="164" fontId="3" fillId="4" borderId="9" xfId="0" applyNumberFormat="1" applyFont="1" applyFill="1" applyBorder="1"/>
    <x:xf numFmtId="4" fontId="3" fillId="4" borderId="9" xfId="0" applyNumberFormat="1" applyFont="1" applyFill="1" applyBorder="1"/>
    <x:xf numFmtId="0" fontId="3" fillId="4" borderId="10" xfId="0" applyFont="1" applyFill="1" applyBorder="1"/>
    <x:xf numFmtId="0" fontId="3" fillId="5" borderId="8" xfId="0" applyFont="1" applyFill="1" applyBorder="1"/>
    <x:xf numFmtId="0" fontId="3" fillId="5" borderId="9" xfId="0" applyFont="1" applyFill="1" applyBorder="1"/>
    <x:xf numFmtId="164" fontId="3" fillId="5" borderId="9" xfId="0" applyNumberFormat="1" applyFont="1" applyFill="1" applyBorder="1"/>
    <x:xf numFmtId="4" fontId="3" fillId="5" borderId="9" xfId="0" applyNumberFormat="1" applyFont="1" applyFill="1" applyBorder="1"/>
    <x:xf numFmtId="0" fontId="3" fillId="5" borderId="10" xfId="0" applyFont="1" applyFill="1" applyBorder="1"/>
    <x:xf numFmtId="0" fontId="3" fillId="5" borderId="11" xfId="0" applyFont="1" applyFill="1" applyBorder="1"/>
    <x:xf numFmtId="0" fontId="3" fillId="5" borderId="12" xfId="0" applyFont="1" applyFill="1" applyBorder="1"/>
    <x:xf numFmtId="164" fontId="3" fillId="5" borderId="12" xfId="0" applyNumberFormat="1" applyFont="1" applyFill="1" applyBorder="1"/>
    <x:xf numFmtId="4" fontId="3" fillId="5" borderId="12" xfId="0" applyNumberFormat="1" applyFont="1" applyFill="1" applyBorder="1"/>
    <x:xf numFmtId="0" fontId="3" fillId="5" borderId="13" xfId="0" applyFont="1" applyFill="1" applyBorder="1"/>
    <x:xf numFmtId="0" fontId="4" fillId="4" borderId="8" xfId="0" applyFont="1" applyFill="1" applyBorder="1"/>
    <x:xf numFmtId="0" fontId="4" fillId="5" borderId="8" xfId="0" applyFont="1" applyFill="1" applyBorder="1"/>
    <x:xf numFmtId="0" fontId="4" fillId="5" borderId="11" xfId="0" applyFont="1" applyFill="1" applyBorder="1"/>
    <x:xf numFmtId="0" fontId="3" fillId="4" borderId="9" xfId="0" applyFont="1" applyFill="1" applyBorder="1" applyAlignment="1">
      <x:alignment horizontal="center"/>
    </x:xf>
    <x:xf numFmtId="0" fontId="3" fillId="5" borderId="9" xfId="0" applyFont="1" applyFill="1" applyBorder="1" applyAlignment="1">
      <x:alignment horizontal="center"/>
    </x:xf>
    <x:xf numFmtId="0" fontId="3" fillId="5" borderId="12" xfId="0" applyFont="1" applyFill="1" applyBorder="1" applyAlignment="1">
      <x:alignment horizontal="center"/>
    </x:xf>
    <x:xf numFmtId="0" fontId="5" fillId="6" borderId="14" xfId="0" applyFont="1" applyFill="1" applyBorder="1" applyAlignment="1">
      <x:alignment vertical="center" wrapText="1"/>
    </x:xf>
    <x:xf numFmtId="0" fontId="3" fillId="5" borderId="15" xfId="0" applyFont="1" applyFill="1" applyBorder="1"/>
    <x:xf numFmtId="0" fontId="3" fillId="5" borderId="16" xfId="0" applyFont="1" applyFill="1" applyBorder="1"/>
    <x:xf numFmtId="0" fontId="3" fillId="4" borderId="17" xfId="0" applyFont="1" applyFill="1" applyBorder="1"/>
    <x:xf numFmtId="0" fontId="3" fillId="5" borderId="17" xfId="0" applyFont="1" applyFill="1" applyBorder="1"/>
    <x:xf numFmtId="0" fontId="3" fillId="4" borderId="18" xfId="0" applyFont="1" applyFill="1" applyBorder="1"/>
    <x:xf numFmtId="0" fontId="3" fillId="4" borderId="12" xfId="0" applyFont="1" applyFill="1" applyBorder="1"/>
    <x:xf numFmtId="0" fontId="6" fillId="7" borderId="8" xfId="0" applyFont="1" applyFill="1" applyBorder="1"/>
    <x:xf numFmtId="0" fontId="6" fillId="7" borderId="11" xfId="0" applyFont="1" applyFill="1" applyBorder="1"/>
    <x:xf numFmtId="0" fontId="3" fillId="4" borderId="10" xfId="0" applyFont="1" applyFill="1" applyBorder="1" applyAlignment="1">
      <x:alignment horizontal="center"/>
    </x:xf>
    <x:xf numFmtId="0" fontId="3" fillId="5" borderId="10" xfId="0" applyFont="1" applyFill="1" applyBorder="1" applyAlignment="1">
      <x:alignment horizontal="center"/>
    </x:xf>
    <x:xf numFmtId="0" fontId="3" fillId="5" borderId="13" xfId="0" applyFont="1" applyFill="1" applyBorder="1" applyAlignment="1">
      <x:alignment horizontal="center"/>
    </x:xf>
    <x:xf numFmtId="0" fontId="5" fillId="6" borderId="19" xfId="0" applyFont="1" applyFill="1" applyBorder="1" applyAlignment="1">
      <x:alignment vertical="center" wrapText="1"/>
    </x:xf>
    <x:xf numFmtId="0" fontId="5" fillId="6" borderId="20" xfId="0" applyFont="1" applyFill="1" applyBorder="1" applyAlignment="1">
      <x:alignment vertical="center" wrapText="1"/>
    </x:xf>
    <x:xf numFmtId="0" fontId="3" fillId="7" borderId="9" xfId="0" applyFont="1" applyFill="1" applyBorder="1"/>
    <x:xf numFmtId="0" fontId="3" fillId="7" borderId="10" xfId="0" applyFont="1" applyFill="1" applyBorder="1"/>
    <x:xf numFmtId="0" fontId="3" fillId="8" borderId="9" xfId="0" applyFont="1" applyFill="1" applyBorder="1"/>
    <x:xf numFmtId="0" fontId="3" fillId="8" borderId="10" xfId="0" applyFont="1" applyFill="1" applyBorder="1"/>
    <x:xf numFmtId="0" fontId="3" fillId="8" borderId="12" xfId="0" applyFont="1" applyFill="1" applyBorder="1"/>
    <x:xf numFmtId="0" fontId="3" fillId="8" borderId="13" xfId="0" applyFont="1" applyFill="1" applyBorder="1"/>
    <x:xf numFmtId="0" fontId="5" fillId="6" borderId="21" xfId="0" applyFont="1" applyFill="1" applyBorder="1" applyAlignment="1">
      <x:alignment vertical="center" wrapText="1"/>
    </x:xf>
    <x:xf numFmtId="0" fontId="6" fillId="7" borderId="22" xfId="0" applyFont="1" applyFill="1" applyBorder="1"/>
    <x:xf numFmtId="0" fontId="6" fillId="7" borderId="9" xfId="0" applyFont="1" applyFill="1" applyBorder="1"/>
    <x:xf numFmtId="0" fontId="6" fillId="8" borderId="22" xfId="0" applyFont="1" applyFill="1" applyBorder="1"/>
    <x:xf numFmtId="0" fontId="6" fillId="8" borderId="9" xfId="0" applyFont="1" applyFill="1" applyBorder="1"/>
    <x:xf numFmtId="0" fontId="6" fillId="8" borderId="12" xfId="0" applyFont="1" applyFill="1" applyBorder="1"/>
    <x:xf numFmtId="0" fontId="3" fillId="7" borderId="9" xfId="0" applyFont="1" applyFill="1" applyBorder="1" applyAlignment="1">
      <x:alignment horizontal="center"/>
    </x:xf>
    <x:xf numFmtId="0" fontId="3" fillId="8" borderId="9" xfId="0" applyFont="1" applyFill="1" applyBorder="1" applyAlignment="1">
      <x:alignment horizontal="center"/>
    </x:xf>
    <x:xf numFmtId="0" fontId="3" fillId="8" borderId="12" xfId="0" applyFont="1" applyFill="1" applyBorder="1" applyAlignment="1">
      <x:alignment horizontal="center"/>
    </x:xf>
    <x:xf numFmtId="0" fontId="1" fillId="3" borderId="23" xfId="0" applyFont="1" applyFill="1" applyBorder="1" applyAlignment="1">
      <x:alignment vertical="center" wrapText="1"/>
    </x:xf>
    <x:xf numFmtId="0" fontId="5" fillId="9" borderId="23" xfId="0" applyFont="1" applyFill="1" applyBorder="1"/>
    <x:xf numFmtId="164" fontId="7" fillId="7" borderId="23" xfId="0" applyNumberFormat="1" applyFont="1" applyFill="1" applyBorder="1"/>
    <x:xf numFmtId="0" fontId="7" fillId="7" borderId="23" xfId="0" applyFont="1" applyFill="1" applyBorder="1"/>
    <x:xf numFmtId="0" fontId="2" fillId="3" borderId="0" xfId="0" applyFont="1" applyFill="1" applyAlignment="1">
      <x:alignment vertical="center"/>
    </x:xf>
    <x:xf numFmtId="0" fontId="9" fillId="4" borderId="10" xfId="0" applyFont="1" applyFill="1" applyBorder="1" applyAlignment="1">
      <x:alignment horizontal="center"/>
    </x:xf>
    <x:xf numFmtId="0" fontId="9" fillId="5" borderId="10" xfId="0" applyFont="1" applyFill="1" applyBorder="1" applyAlignment="1">
      <x:alignment horizontal="center"/>
    </x:xf>
    <x:xf numFmtId="0" fontId="9" fillId="5" borderId="13" xfId="0" applyFont="1" applyFill="1" applyBorder="1" applyAlignment="1">
      <x:alignment horizontal="center"/>
    </x:xf>
    <x:xf numFmtId="0" fontId="10" fillId="10" borderId="8" xfId="0" applyFont="1" applyFill="1" applyBorder="1"/>
    <x:xf numFmtId="0" fontId="10" fillId="11" borderId="8" xfId="0" applyFont="1" applyFill="1" applyBorder="1"/>
    <x:xf numFmtId="0" fontId="10" fillId="12" borderId="8" xfId="0" applyFont="1" applyFill="1" applyBorder="1"/>
    <x:xf numFmtId="0" fontId="11" fillId="10" borderId="10" xfId="0" applyFont="1" applyFill="1" applyBorder="1" applyAlignment="1">
      <x:alignment horizontal="center"/>
    </x:xf>
    <x:xf numFmtId="0" fontId="12" fillId="11" borderId="10" xfId="0" applyFont="1" applyFill="1" applyBorder="1" applyAlignment="1">
      <x:alignment horizontal="center"/>
    </x:xf>
    <x:xf numFmtId="0" fontId="13" fillId="12" borderId="10" xfId="0" applyFont="1" applyFill="1" applyBorder="1" applyAlignment="1">
      <x:alignment horizontal="center"/>
    </x:xf>
    <x:xf numFmtId="0" fontId="5" fillId="6" borderId="48" xfId="0" applyFont="1" applyFill="1" applyBorder="1" applyAlignment="1">
      <x:alignment vertical="center" wrapText="1"/>
    </x:xf>
    <x:xf numFmtId="0" fontId="18" fillId="3" borderId="49" xfId="0" applyFont="1" applyFill="1" applyBorder="1" applyAlignment="1">
      <x:alignment horizontal="center"/>
    </x:xf>
    <x:xf numFmtId="0" fontId="0" fillId="5" borderId="9" xfId="0" applyFill="1" applyBorder="1"/>
    <x:xf numFmtId="0" fontId="0" fillId="5" borderId="50" xfId="0" applyFill="1" applyBorder="1"/>
    <x:xf numFmtId="0" fontId="0" fillId="4" borderId="9" xfId="0" applyFill="1" applyBorder="1"/>
    <x:xf numFmtId="0" fontId="0" fillId="4" borderId="50" xfId="0" applyFill="1" applyBorder="1"/>
    <x:xf numFmtId="0" fontId="18" fillId="3" borderId="51" xfId="0" applyFont="1" applyFill="1" applyBorder="1" applyAlignment="1">
      <x:alignment horizontal="center"/>
    </x:xf>
    <x:xf numFmtId="0" fontId="0" fillId="4" borderId="12" xfId="0" applyFill="1" applyBorder="1"/>
    <x:xf numFmtId="0" fontId="0" fillId="4" borderId="52" xfId="0" applyFill="1" applyBorder="1"/>
    <x:xf numFmtId="0" fontId="19" fillId="4" borderId="0" xfId="0" applyFont="1" applyFill="1"/>
    <x:xf numFmtId="0" fontId="1" fillId="4" borderId="6" xfId="0" applyFont="1" applyFill="1" applyBorder="1" applyAlignment="1">
      <x:alignment vertical="center" wrapText="1"/>
    </x:xf>
    <x:xf numFmtId="0" fontId="21" fillId="3" borderId="49" xfId="0" applyFont="1" applyFill="1" applyBorder="1" applyAlignment="1">
      <x:alignment vertical="center"/>
    </x:xf>
    <x:xf numFmtId="0" fontId="21" fillId="3" borderId="51" xfId="0" applyFont="1" applyFill="1" applyBorder="1" applyAlignment="1">
      <x:alignment vertical="center"/>
    </x:xf>
    <x:xf numFmtId="0" fontId="6" fillId="7" borderId="50" xfId="0" applyFont="1" applyFill="1" applyBorder="1" applyAlignment="1">
      <x:alignment vertical="center"/>
    </x:xf>
    <x:xf numFmtId="0" fontId="6" fillId="7" borderId="52" xfId="0" applyFont="1" applyFill="1" applyBorder="1" applyAlignment="1">
      <x:alignment vertical="center"/>
    </x:xf>
    <x:xf numFmtId="0" fontId="1" fillId="3" borderId="7" xfId="0" applyFont="1" applyFill="1" applyBorder="1" applyAlignment="1">
      <x:alignment horizontal="right" vertical="center" wrapText="1"/>
    </x:xf>
    <x:xf numFmtId="0" fontId="3" fillId="4" borderId="9" xfId="0" applyFont="1" applyFill="1" applyBorder="1" applyAlignment="1">
      <x:alignment horizontal="right"/>
    </x:xf>
    <x:xf numFmtId="0" fontId="3" fillId="5" borderId="9" xfId="0" applyFont="1" applyFill="1" applyBorder="1" applyAlignment="1">
      <x:alignment horizontal="right"/>
    </x:xf>
    <x:xf numFmtId="0" fontId="3" fillId="5" borderId="12" xfId="0" applyFont="1" applyFill="1" applyBorder="1" applyAlignment="1">
      <x:alignment horizontal="right"/>
    </x:xf>
    <x:xf numFmtId="0" fontId="0" fillId="0" borderId="0" xfId="0" applyAlignment="1">
      <x:alignment horizontal="right"/>
    </x:xf>
    <x:xf numFmtId="0" fontId="1" fillId="3" borderId="7" xfId="0" applyFont="1" applyFill="1" applyBorder="1" applyAlignment="1">
      <x:alignment horizontal="center" vertical="center" wrapText="1"/>
    </x:xf>
    <x:xf numFmtId="0" fontId="0" fillId="0" borderId="0" xfId="0" applyAlignment="1">
      <x:alignment horizontal="center"/>
    </x:xf>
    <x:xf numFmtId="0" fontId="1" fillId="14" borderId="61" xfId="0" applyFont="1" applyFill="1" applyBorder="1" applyAlignment="1">
      <x:alignment vertical="center" wrapText="1"/>
    </x:xf>
    <x:xf numFmtId="0" fontId="1" fillId="14" borderId="62" xfId="0" applyFont="1" applyFill="1" applyBorder="1" applyAlignment="1">
      <x:alignment vertical="center" wrapText="1"/>
    </x:xf>
    <x:xf numFmtId="0" fontId="1" fillId="14" borderId="63" xfId="0" applyFont="1" applyFill="1" applyBorder="1" applyAlignment="1">
      <x:alignment vertical="center" wrapText="1"/>
    </x:xf>
    <x:xf numFmtId="0" fontId="0" fillId="0" borderId="64" xfId="0" applyBorder="1" applyAlignment="1">
      <x:alignment vertical="center" wrapText="1"/>
    </x:xf>
    <x:xf numFmtId="0" fontId="0" fillId="0" borderId="65" xfId="0" applyBorder="1" applyAlignment="1">
      <x:alignment vertical="center" wrapText="1"/>
    </x:xf>
    <x:xf numFmtId="0" fontId="0" fillId="0" borderId="66" xfId="0" applyBorder="1" applyAlignment="1">
      <x:alignment vertical="center" wrapText="1"/>
    </x:xf>
    <x:xf numFmtId="0" fontId="0" fillId="16" borderId="64" xfId="0" applyFill="1" applyBorder="1" applyAlignment="1">
      <x:alignment vertical="center" wrapText="1"/>
    </x:xf>
    <x:xf numFmtId="0" fontId="0" fillId="16" borderId="65" xfId="0" applyFill="1" applyBorder="1" applyAlignment="1">
      <x:alignment vertical="center" wrapText="1"/>
    </x:xf>
    <x:xf numFmtId="164" fontId="0" fillId="16" borderId="64" xfId="0" applyNumberFormat="1" applyFill="1" applyBorder="1" applyAlignment="1">
      <x:alignment vertical="center" wrapText="1"/>
    </x:xf>
    <x:xf numFmtId="164" fontId="0" fillId="0" borderId="65" xfId="0" applyNumberFormat="1" applyBorder="1" applyAlignment="1">
      <x:alignment vertical="center" wrapText="1"/>
    </x:xf>
    <x:xf numFmtId="164" fontId="0" fillId="16" borderId="65" xfId="0" applyNumberFormat="1" applyFill="1" applyBorder="1" applyAlignment="1">
      <x:alignment vertical="center" wrapText="1"/>
    </x:xf>
    <x:xf numFmtId="164" fontId="0" fillId="0" borderId="66" xfId="0" applyNumberFormat="1" applyBorder="1" applyAlignment="1">
      <x:alignment vertical="center" wrapText="1"/>
    </x:xf>
    <x:xf numFmtId="164" fontId="0" fillId="0" borderId="0" xfId="0" applyNumberFormat="1"/>
    <x:xf numFmtId="0" fontId="0" fillId="16" borderId="66" xfId="0" applyFill="1" applyBorder="1" applyAlignment="1">
      <x:alignment vertical="center" wrapText="1"/>
    </x:xf>
    <x:xf numFmtId="0" fontId="1" fillId="14" borderId="64" xfId="0" applyFont="1" applyFill="1" applyBorder="1" applyAlignment="1">
      <x:alignment vertical="center" wrapText="1"/>
    </x:xf>
    <x:xf numFmtId="0" fontId="1" fillId="14" borderId="65" xfId="0" applyFont="1" applyFill="1" applyBorder="1" applyAlignment="1">
      <x:alignment vertical="center" wrapText="1"/>
    </x:xf>
    <x:xf numFmtId="0" fontId="1" fillId="14" borderId="66" xfId="0" applyFont="1" applyFill="1" applyBorder="1" applyAlignment="1">
      <x:alignment vertical="center" wrapText="1"/>
    </x:xf>
    <x:xf numFmtId="0" fontId="23" fillId="17" borderId="64" xfId="0" applyFont="1" applyFill="1" applyBorder="1" applyAlignment="1">
      <x:alignment vertical="center" wrapText="1"/>
    </x:xf>
    <x:xf numFmtId="0" fontId="23" fillId="17" borderId="65" xfId="0" applyFont="1" applyFill="1" applyBorder="1" applyAlignment="1">
      <x:alignment vertical="center" wrapText="1"/>
    </x:xf>
    <x:xf numFmtId="0" fontId="23" fillId="17" borderId="66" xfId="0" applyFont="1" applyFill="1" applyBorder="1" applyAlignment="1">
      <x:alignment vertical="center" wrapText="1"/>
    </x:xf>
    <x:xf numFmtId="0" fontId="24" fillId="14" borderId="64" xfId="0" applyFont="1" applyFill="1" applyBorder="1" applyAlignment="1">
      <x:alignment horizontal="center" vertical="center" wrapText="1"/>
    </x:xf>
    <x:xf numFmtId="0" fontId="24" fillId="14" borderId="65" xfId="0" applyFont="1" applyFill="1" applyBorder="1" applyAlignment="1">
      <x:alignment horizontal="center" vertical="center" wrapText="1"/>
    </x:xf>
    <x:xf numFmtId="0" fontId="24" fillId="14" borderId="66" xfId="0" applyFont="1" applyFill="1" applyBorder="1" applyAlignment="1">
      <x:alignment horizontal="center" vertical="center" wrapText="1"/>
    </x:xf>
    <x:xf numFmtId="0" fontId="23" fillId="17" borderId="64" xfId="0" applyFont="1" applyFill="1" applyBorder="1" applyAlignment="1">
      <x:alignment horizontal="center" vertical="center" wrapText="1"/>
    </x:xf>
    <x:xf numFmtId="0" fontId="23" fillId="17" borderId="65" xfId="0" applyFont="1" applyFill="1" applyBorder="1" applyAlignment="1">
      <x:alignment horizontal="center" vertical="center" wrapText="1"/>
    </x:xf>
    <x:xf numFmtId="0" fontId="23" fillId="17" borderId="66" xfId="0" applyFont="1" applyFill="1" applyBorder="1" applyAlignment="1">
      <x:alignment horizontal="center" vertical="center" wrapText="1"/>
    </x:xf>
    <x:xf numFmtId="0" fontId="25" fillId="0" borderId="64" xfId="0" applyFont="1" applyBorder="1" applyAlignment="1">
      <x:alignment horizontal="center" vertical="center" wrapText="1"/>
    </x:xf>
    <x:xf numFmtId="0" fontId="25" fillId="0" borderId="65" xfId="0" applyFont="1" applyBorder="1" applyAlignment="1">
      <x:alignment horizontal="center" vertical="center" wrapText="1"/>
    </x:xf>
    <x:xf numFmtId="0" fontId="25" fillId="0" borderId="66" xfId="0" applyFont="1" applyBorder="1" applyAlignment="1">
      <x:alignment horizontal="center" vertical="center" wrapText="1"/>
    </x:xf>
    <x:xf numFmtId="0" fontId="0" fillId="18" borderId="65" xfId="0" applyFill="1" applyBorder="1" applyAlignment="1">
      <x:alignment vertical="center" wrapText="1"/>
    </x:xf>
    <x:xf numFmtId="0" fontId="25" fillId="18" borderId="65" xfId="0" applyFont="1" applyFill="1" applyBorder="1" applyAlignment="1">
      <x:alignment horizontal="center" vertical="center" wrapText="1"/>
    </x:xf>
    <x:xf numFmtId="0" fontId="0" fillId="19" borderId="65" xfId="0" applyFill="1" applyBorder="1" applyAlignment="1">
      <x:alignment vertical="center" wrapText="1"/>
    </x:xf>
    <x:xf numFmtId="0" fontId="25" fillId="19" borderId="65" xfId="0" applyFont="1" applyFill="1" applyBorder="1" applyAlignment="1">
      <x:alignment horizontal="center" vertical="center" wrapText="1"/>
    </x:xf>
    <x:xf numFmtId="0" fontId="0" fillId="20" borderId="65" xfId="0" applyFill="1" applyBorder="1" applyAlignment="1">
      <x:alignment vertical="center" wrapText="1"/>
    </x:xf>
    <x:xf numFmtId="0" fontId="25" fillId="20" borderId="65" xfId="0" applyFont="1" applyFill="1" applyBorder="1" applyAlignment="1">
      <x:alignment horizontal="center" vertical="center" wrapText="1"/>
    </x:xf>
    <x:xf numFmtId="0" fontId="8" fillId="6" borderId="0" xfId="0" applyFont="1" applyFill="1" applyAlignment="1">
      <x:alignment vertical="center"/>
    </x:xf>
    <x:xf numFmtId="0" fontId="5" fillId="6" borderId="48" xfId="0" applyFont="1" applyFill="1" applyBorder="1" applyAlignment="1">
      <x:alignment vertical="center" wrapText="1"/>
    </x:xf>
    <x:xf numFmtId="0" fontId="18" fillId="13" borderId="53" xfId="0" applyFont="1" applyFill="1" applyBorder="1" applyAlignment="1">
      <x:alignment vertical="center" wrapText="1"/>
    </x:xf>
    <x:xf numFmtId="0" fontId="1" fillId="13" borderId="54" xfId="0" applyFont="1" applyFill="1" applyBorder="1" applyAlignment="1">
      <x:alignment vertical="center" wrapText="1"/>
    </x:xf>
    <x:xf numFmtId="0" fontId="1" fillId="13" borderId="55" xfId="0" applyFont="1" applyFill="1" applyBorder="1" applyAlignment="1">
      <x:alignment vertical="center" wrapText="1"/>
    </x:xf>
    <x:xf numFmtId="0" fontId="1" fillId="13" borderId="56" xfId="0" applyFont="1" applyFill="1" applyBorder="1" applyAlignment="1">
      <x:alignment vertical="center" wrapText="1"/>
    </x:xf>
    <x:xf numFmtId="0" fontId="1" fillId="13" borderId="0" xfId="0" applyFont="1" applyFill="1" applyAlignment="1">
      <x:alignment vertical="center" wrapText="1"/>
    </x:xf>
    <x:xf numFmtId="0" fontId="1" fillId="13" borderId="57" xfId="0" applyFont="1" applyFill="1" applyBorder="1" applyAlignment="1">
      <x:alignment vertical="center" wrapText="1"/>
    </x:xf>
    <x:xf numFmtId="0" fontId="1" fillId="13" borderId="58" xfId="0" applyFont="1" applyFill="1" applyBorder="1" applyAlignment="1">
      <x:alignment vertical="center" wrapText="1"/>
    </x:xf>
    <x:xf numFmtId="0" fontId="1" fillId="13" borderId="59" xfId="0" applyFont="1" applyFill="1" applyBorder="1" applyAlignment="1">
      <x:alignment vertical="center" wrapText="1"/>
    </x:xf>
    <x:xf numFmtId="0" fontId="1" fillId="13" borderId="60" xfId="0" applyFont="1" applyFill="1" applyBorder="1" applyAlignment="1">
      <x:alignment vertical="center" wrapText="1"/>
    </x:xf>
    <x:xf numFmtId="0" fontId="14" fillId="3" borderId="0" xfId="0" applyFont="1" applyFill="1" applyAlignment="1">
      <x:alignment vertical="center"/>
    </x:xf>
    <x:xf numFmtId="0" fontId="2" fillId="3" borderId="24" xfId="0" applyFont="1" applyFill="1" applyBorder="1" applyAlignment="1">
      <x:alignment horizontal="center" vertical="center" wrapText="1"/>
    </x:xf>
    <x:xf numFmtId="0" fontId="2" fillId="3" borderId="25" xfId="0" applyFont="1" applyFill="1" applyBorder="1" applyAlignment="1">
      <x:alignment horizontal="center" vertical="center" wrapText="1"/>
    </x:xf>
    <x:xf numFmtId="0" fontId="2" fillId="3" borderId="26" xfId="0" applyFont="1" applyFill="1" applyBorder="1" applyAlignment="1">
      <x:alignment horizontal="center" vertical="center" wrapText="1"/>
    </x:xf>
    <x:xf numFmtId="0" fontId="2" fillId="3" borderId="27" xfId="0" applyFont="1" applyFill="1" applyBorder="1" applyAlignment="1">
      <x:alignment horizontal="center" vertical="center" wrapText="1"/>
    </x:xf>
    <x:xf numFmtId="0" fontId="2" fillId="3" borderId="28" xfId="0" applyFont="1" applyFill="1" applyBorder="1" applyAlignment="1">
      <x:alignment horizontal="center" vertical="center" wrapText="1"/>
    </x:xf>
    <x:xf numFmtId="0" fontId="2" fillId="3" borderId="29" xfId="0" applyFont="1" applyFill="1" applyBorder="1" applyAlignment="1">
      <x:alignment horizontal="center" vertical="center" wrapText="1"/>
    </x:xf>
    <x:xf numFmtId="0" fontId="15" fillId="10" borderId="30" xfId="0" applyFont="1" applyFill="1" applyBorder="1" applyAlignment="1">
      <x:alignment horizontal="center" vertical="center" wrapText="1"/>
    </x:xf>
    <x:xf numFmtId="0" fontId="15" fillId="10" borderId="31" xfId="0" applyFont="1" applyFill="1" applyBorder="1" applyAlignment="1">
      <x:alignment horizontal="center" vertical="center" wrapText="1"/>
    </x:xf>
    <x:xf numFmtId="0" fontId="15" fillId="10" borderId="32" xfId="0" applyFont="1" applyFill="1" applyBorder="1" applyAlignment="1">
      <x:alignment horizontal="center" vertical="center" wrapText="1"/>
    </x:xf>
    <x:xf numFmtId="0" fontId="15" fillId="10" borderId="33" xfId="0" applyFont="1" applyFill="1" applyBorder="1" applyAlignment="1">
      <x:alignment horizontal="center" vertical="center" wrapText="1"/>
    </x:xf>
    <x:xf numFmtId="0" fontId="15" fillId="10" borderId="34" xfId="0" applyFont="1" applyFill="1" applyBorder="1" applyAlignment="1">
      <x:alignment horizontal="center" vertical="center" wrapText="1"/>
    </x:xf>
    <x:xf numFmtId="0" fontId="15" fillId="10" borderId="35" xfId="0" applyFont="1" applyFill="1" applyBorder="1" applyAlignment="1">
      <x:alignment horizontal="center" vertical="center" wrapText="1"/>
    </x:xf>
    <x:xf numFmtId="0" fontId="16" fillId="11" borderId="36" xfId="0" applyFont="1" applyFill="1" applyBorder="1" applyAlignment="1">
      <x:alignment horizontal="center" vertical="center" wrapText="1"/>
    </x:xf>
    <x:xf numFmtId="0" fontId="16" fillId="11" borderId="37" xfId="0" applyFont="1" applyFill="1" applyBorder="1" applyAlignment="1">
      <x:alignment horizontal="center" vertical="center" wrapText="1"/>
    </x:xf>
    <x:xf numFmtId="0" fontId="16" fillId="11" borderId="38" xfId="0" applyFont="1" applyFill="1" applyBorder="1" applyAlignment="1">
      <x:alignment horizontal="center" vertical="center" wrapText="1"/>
    </x:xf>
    <x:xf numFmtId="0" fontId="16" fillId="11" borderId="39" xfId="0" applyFont="1" applyFill="1" applyBorder="1" applyAlignment="1">
      <x:alignment horizontal="center" vertical="center" wrapText="1"/>
    </x:xf>
    <x:xf numFmtId="0" fontId="16" fillId="11" borderId="40" xfId="0" applyFont="1" applyFill="1" applyBorder="1" applyAlignment="1">
      <x:alignment horizontal="center" vertical="center" wrapText="1"/>
    </x:xf>
    <x:xf numFmtId="0" fontId="16" fillId="11" borderId="41" xfId="0" applyFont="1" applyFill="1" applyBorder="1" applyAlignment="1">
      <x:alignment horizontal="center" vertical="center" wrapText="1"/>
    </x:xf>
    <x:xf numFmtId="0" fontId="17" fillId="12" borderId="42" xfId="0" applyFont="1" applyFill="1" applyBorder="1" applyAlignment="1">
      <x:alignment horizontal="center" vertical="center" wrapText="1"/>
    </x:xf>
    <x:xf numFmtId="0" fontId="17" fillId="12" borderId="43" xfId="0" applyFont="1" applyFill="1" applyBorder="1" applyAlignment="1">
      <x:alignment horizontal="center" vertical="center" wrapText="1"/>
    </x:xf>
    <x:xf numFmtId="0" fontId="17" fillId="12" borderId="44" xfId="0" applyFont="1" applyFill="1" applyBorder="1" applyAlignment="1">
      <x:alignment horizontal="center" vertical="center" wrapText="1"/>
    </x:xf>
    <x:xf numFmtId="0" fontId="17" fillId="12" borderId="45" xfId="0" applyFont="1" applyFill="1" applyBorder="1" applyAlignment="1">
      <x:alignment horizontal="center" vertical="center" wrapText="1"/>
    </x:xf>
    <x:xf numFmtId="0" fontId="17" fillId="12" borderId="46" xfId="0" applyFont="1" applyFill="1" applyBorder="1" applyAlignment="1">
      <x:alignment horizontal="center" vertical="center" wrapText="1"/>
    </x:xf>
    <x:xf numFmtId="0" fontId="17" fillId="12" borderId="47" xfId="0" applyFont="1" applyFill="1" applyBorder="1" applyAlignment="1">
      <x:alignment horizontal="center" vertical="center" wrapText="1"/>
    </x:xf>
    <x:xf numFmtId="0" fontId="20" fillId="3" borderId="0" xfId="0" applyFont="1" applyFill="1" applyAlignment="1">
      <x:alignment vertical="center"/>
    </x:xf>
    <x:xf numFmtId="0" fontId="22" fillId="14" borderId="0" xfId="0" applyFont="1" applyFill="1" applyAlignment="1">
      <x:alignment vertical="center"/>
    </x:xf>
    <x:xf numFmtId="0" fontId="0" fillId="0" borderId="0" xfId="0"/>
    <x:xf numFmtId="0" fontId="8" fillId="15" borderId="0" xfId="0" applyFont="1" applyFill="1" applyAlignment="1">
      <x:alignment vertical="center"/>
    </x:xf>
    <x:xf numFmtId="0" fontId="1" fillId="14" borderId="61" xfId="0" applyFont="1" applyFill="1" applyBorder="1" applyAlignment="1">
      <x:alignment vertical="center" wrapText="1"/>
    </x:xf>
    <x:xf numFmtId="0" fontId="1" fillId="14" borderId="62" xfId="0" applyFont="1" applyFill="1" applyBorder="1" applyAlignment="1">
      <x:alignment vertical="center" wrapText="1"/>
    </x:xf>
    <x:xf numFmtId="0" fontId="1" fillId="14" borderId="63" xfId="0" applyFont="1" applyFill="1" applyBorder="1" applyAlignment="1">
      <x:alignment vertical="center" wrapText="1"/>
    </x:xf>
    <x:xf numFmtId="0" fontId="0" fillId="16" borderId="67" xfId="0" applyFill="1" applyBorder="1" applyAlignment="1">
      <x:alignment vertical="top" wrapText="1"/>
    </x:xf>
    <x:xf numFmtId="0" fontId="0" fillId="16" borderId="66" xfId="0" applyFill="1" applyBorder="1" applyAlignment="1">
      <x:alignment vertical="top" wrapText="1"/>
    </x:xf>
    <x:xf numFmtId="0" fontId="0" fillId="16" borderId="68" xfId="0" applyFill="1" applyBorder="1" applyAlignment="1">
      <x:alignment vertical="top" wrapText="1"/>
    </x:xf>
    <x:xf numFmtId="0" fontId="0" fillId="16" borderId="69" xfId="0" applyFill="1" applyBorder="1" applyAlignment="1">
      <x:alignment vertical="top" wrapText="1"/>
    </x:xf>
    <x:xf numFmtId="0" fontId="0" fillId="16" borderId="0" xfId="0" applyFill="1" applyAlignment="1">
      <x:alignment vertical="top" wrapText="1"/>
    </x:xf>
    <x:xf numFmtId="0" fontId="0" fillId="16" borderId="70" xfId="0" applyFill="1" applyBorder="1" applyAlignment="1">
      <x:alignment vertical="top" wrapText="1"/>
    </x:xf>
    <x:xf numFmtId="0" fontId="0" fillId="16" borderId="71" xfId="0" applyFill="1" applyBorder="1" applyAlignment="1">
      <x:alignment vertical="top" wrapText="1"/>
    </x:xf>
    <x:xf numFmtId="0" fontId="0" fillId="16" borderId="64" xfId="0" applyFill="1" applyBorder="1" applyAlignment="1">
      <x:alignment vertical="top" wrapText="1"/>
    </x:xf>
    <x:xf numFmtId="0" fontId="0" fillId="16" borderId="72" xfId="0" applyFill="1" applyBorder="1" applyAlignment="1">
      <x:alignment vertical="top" wrapText="1"/>
    </x:xf>
    <x:xf numFmtId="0" fontId="24" fillId="14" borderId="0" xfId="0" applyFont="1" applyFill="1" applyAlignment="1">
      <x:alignment horizontal="center" vertical="center"/>
    </x:xf>
    <x:xf numFmtId="0" fontId="3" fillId="4" borderId="9" xfId="0" applyFont="1" applyFill="1" applyBorder="1" applyAlignment="1">
      <x:alignment vertical="top" wrapText="1"/>
    </x:xf>
    <x:xf numFmtId="0" fontId="3" fillId="5" borderId="9" xfId="0" applyFont="1" applyFill="1" applyBorder="1" applyAlignment="1">
      <x:alignment vertical="top" wrapText="1"/>
    </x:xf>
    <x:xf numFmtId="0" fontId="3" fillId="4" borderId="12" xfId="0" applyFont="1" applyFill="1" applyBorder="1" applyAlignment="1">
      <x:alignment vertical="top" wrapText="1"/>
    </x:xf>
    <x:xf numFmtId="0" fontId="19" fillId="21" borderId="0" xfId="0" applyNumberFormat="1" applyFont="1" applyFill="1" applyBorder="1"/>
    <x:xf numFmtId="0" fontId="1" fillId="21" borderId="6" xfId="0" applyNumberFormat="1" applyFont="1" applyFill="1" applyBorder="1" applyAlignment="1">
      <x:alignment vertical="center" wrapText="1"/>
    </x:xf>
    <x:xf numFmtId="0" fontId="26" fillId="21" borderId="0" xfId="0" applyNumberFormat="1" applyFont="1" applyFill="1" applyBorder="1"/>
    <x:xf numFmtId="0" fontId="27" fillId="21" borderId="6" xfId="0" applyNumberFormat="1" applyFont="1" applyFill="1" applyBorder="1" applyAlignment="1">
      <x:alignment vertical="center" wrapText="1"/>
    </x:xf>
    <x:xf numFmtId="0" fontId="26" fillId="21" borderId="73" xfId="0" applyNumberFormat="1" applyFont="1" applyFill="1" applyBorder="1"/>
    <x:xf numFmtId="0" fontId="26" fillId="21" borderId="74" xfId="0" applyNumberFormat="1" applyFont="1" applyFill="1" applyBorder="1"/>
    <x:xf numFmtId="0" fontId="27" fillId="21" borderId="75" xfId="0" applyNumberFormat="1" applyFont="1" applyFill="1" applyBorder="1" applyAlignment="1">
      <x:alignment vertical="center" wrapText="1"/>
    </x:xf>
    <x:xf numFmtId="0" fontId="27" fillId="21" borderId="76" xfId="0" applyNumberFormat="1" applyFont="1" applyFill="1" applyBorder="1" applyAlignment="1">
      <x:alignment vertical="center" wrapText="1"/>
    </x:xf>
    <x:xf numFmtId="0" fontId="26" fillId="21" borderId="77" xfId="0" applyNumberFormat="1" applyFont="1" applyFill="1" applyBorder="1"/>
    <x:xf numFmtId="0" fontId="26" fillId="21" borderId="78" xfId="0" applyNumberFormat="1" applyFont="1" applyFill="1" applyBorder="1"/>
    <x:xf numFmtId="0" fontId="26" fillId="21" borderId="79" xfId="0" applyNumberFormat="1" applyFont="1" applyFill="1" applyBorder="1"/>
    <x:xf numFmtId="0" fontId="26" fillId="21" borderId="80" xfId="0" applyNumberFormat="1" applyFont="1" applyFill="1" applyBorder="1"/>
    <x:xf numFmtId="0" fontId="0" fillId="22" borderId="0" xfId="0" applyNumberFormat="1" applyFont="1" applyFill="1" applyBorder="1"/>
    <x:xf numFmtId="0" fontId="26" fillId="22" borderId="0" xfId="0" applyNumberFormat="1" applyFont="1" applyFill="1" applyBorder="1"/>
  </x:cellXfs>
  <x:cellStyles count="1">
    <x:cellStyle name="Normal" xfId="0"/>
  </x:cellStyles>
  <x:dxfs count="31">
    <x:dxf>
      <x:font>
        <x:color rgb="FF8A4B00"/>
      </x:font>
      <x:fill>
        <x:patternFill>
          <x:bgColor rgb="FFFFE2AD"/>
        </x:patternFill>
      </x:fill>
    </x:dxf>
    <x:dxf>
      <x:font>
        <x:color rgb="FF25613B"/>
      </x:font>
      <x:fill>
        <x:patternFill>
          <x:bgColor rgb="FFD9EAD3"/>
        </x:patternFill>
      </x:fill>
    </x:dxf>
    <x:dxf>
      <x:font>
        <x:color rgb="FF1D4E78"/>
      </x:font>
      <x:fill>
        <x:patternFill>
          <x:bgColor rgb="FFD9E8F5"/>
        </x:patternFill>
      </x:fill>
    </x:dxf>
    <x:dxf>
      <x:font>
        <x:color rgb="FFB3261E"/>
      </x:font>
      <x:fill>
        <x:patternFill>
          <x:bgColor rgb="FFF7C2C2"/>
        </x:patternFill>
      </x:fill>
    </x:dxf>
    <x:dxf>
      <x:font>
        <x:color rgb="FF25613B"/>
      </x:font>
      <x:fill>
        <x:patternFill>
          <x:bgColor rgb="FFD9EAD3"/>
        </x:patternFill>
      </x:fill>
    </x:dxf>
    <x:dxf>
      <x:font>
        <x:color rgb="FF8A4B00"/>
      </x:font>
      <x:fill>
        <x:patternFill>
          <x:bgColor rgb="FFFFE2AD"/>
        </x:patternFill>
      </x:fill>
    </x:dxf>
    <x:dxf>
      <x:font>
        <x:color rgb="FF1D4E78"/>
      </x:font>
      <x:fill>
        <x:patternFill>
          <x:bgColor rgb="FFD9E8F5"/>
        </x:patternFill>
      </x:fill>
    </x:dxf>
    <x:dxf>
      <x:font>
        <x:color rgb="FF8A4B00"/>
      </x:font>
      <x:fill>
        <x:patternFill>
          <x:bgColor rgb="FFFFE2AD"/>
        </x:patternFill>
      </x:fill>
    </x:dxf>
    <x:dxf>
      <x:font>
        <x:color rgb="FF25613B"/>
      </x:font>
      <x:fill>
        <x:patternFill>
          <x:bgColor rgb="FFD9EAD3"/>
        </x:patternFill>
      </x:fill>
    </x:dxf>
    <x:dxf>
      <x:font>
        <x:color rgb="FF25613B"/>
      </x:font>
      <x:fill>
        <x:patternFill>
          <x:bgColor rgb="FFD9EAD3"/>
        </x:patternFill>
      </x:fill>
    </x:dxf>
    <x:dxf>
      <x:font>
        <x:color rgb="FF8A4B00"/>
      </x:font>
      <x:fill>
        <x:patternFill>
          <x:bgColor rgb="FFFFE2AD"/>
        </x:patternFill>
      </x:fill>
    </x:dxf>
    <x:dxf>
      <x:font>
        <x:color rgb="FFB3261E"/>
      </x:font>
      <x:fill>
        <x:patternFill>
          <x:bgColor rgb="FFF7C2C2"/>
        </x:patternFill>
      </x:fill>
    </x:dxf>
    <x:dxf>
      <x:font>
        <x:b/>
        <x:color rgb="FF1C5E35"/>
      </x:font>
      <x:fill>
        <x:patternFill>
          <x:bgColor rgb="FFD9EAD3"/>
        </x:patternFill>
      </x:fill>
    </x:dxf>
    <x:dxf>
      <x:font>
        <x:b/>
        <x:color rgb="FF8A4B08"/>
      </x:font>
      <x:fill>
        <x:patternFill>
          <x:bgColor rgb="FFFFE4B8"/>
        </x:patternFill>
      </x:fill>
    </x:dxf>
    <x:dxf>
      <x:font>
        <x:b/>
        <x:color rgb="FF9C271C"/>
      </x:font>
      <x:fill>
        <x:patternFill>
          <x:bgColor rgb="FFF7C7C7"/>
        </x:patternFill>
      </x:fill>
    </x:dxf>
    <x:dxf>
      <x:font>
        <x:b/>
        <x:color rgb="FF244B6D"/>
      </x:font>
      <x:fill>
        <x:patternFill>
          <x:bgColor rgb="FFDCEAF7"/>
        </x:patternFill>
      </x:fill>
    </x:dxf>
    <x:dxf>
      <x:font>
        <x:b/>
        <x:color rgb="FF8A4B08"/>
      </x:font>
      <x:fill>
        <x:patternFill>
          <x:bgColor rgb="FFFFE4B8"/>
        </x:patternFill>
      </x:fill>
    </x:dxf>
    <x:dxf>
      <x:font>
        <x:b/>
        <x:color rgb="FF8A4B08"/>
      </x:font>
      <x:fill>
        <x:patternFill>
          <x:bgColor rgb="FFFFE4B8"/>
        </x:patternFill>
      </x:fill>
    </x:dxf>
    <x:dxf>
      <x:font>
        <x:b/>
        <x:color rgb="FF9C271C"/>
      </x:font>
      <x:fill>
        <x:patternFill>
          <x:bgColor rgb="FFF7C7C7"/>
        </x:patternFill>
      </x:fill>
    </x:dxf>
    <x:dxf>
      <x:font>
        <x:b/>
        <x:color rgb="FF9C271C"/>
      </x:font>
      <x:fill>
        <x:patternFill>
          <x:bgColor rgb="FFF7C7C7"/>
        </x:patternFill>
      </x:fill>
    </x:dxf>
    <x:dxf>
      <x:font>
        <x:b/>
        <x:color rgb="FF1C5E35"/>
      </x:font>
      <x:fill>
        <x:patternFill>
          <x:bgColor rgb="FFD9EAD3"/>
        </x:patternFill>
      </x:fill>
    </x:dxf>
    <x:dxf>
      <x:font>
        <x:b/>
        <x:color rgb="FF9C271C"/>
      </x:font>
      <x:fill>
        <x:patternFill>
          <x:bgColor rgb="FFF7C7C7"/>
        </x:patternFill>
      </x:fill>
    </x:dxf>
    <x:dxf>
      <x:font>
        <x:b/>
        <x:color rgb="FF9C271C"/>
      </x:font>
      <x:fill>
        <x:patternFill>
          <x:bgColor rgb="FFF7C7C7"/>
        </x:patternFill>
      </x:fill>
    </x:dxf>
    <x:dxf>
      <x:font>
        <x:b/>
        <x:color rgb="FF9C271C"/>
      </x:font>
      <x:fill>
        <x:patternFill>
          <x:bgColor rgb="FFF7C7C7"/>
        </x:patternFill>
      </x:fill>
    </x:dxf>
    <x:dxf>
      <x:font>
        <x:b/>
        <x:color rgb="FF9C271C"/>
      </x:font>
      <x:fill>
        <x:patternFill>
          <x:bgColor rgb="FFF7C7C7"/>
        </x:patternFill>
      </x:fill>
    </x:dxf>
    <x:dxf>
      <x:font>
        <x:b/>
        <x:color rgb="FF9C271C"/>
      </x:font>
      <x:fill>
        <x:patternFill>
          <x:bgColor rgb="FFF7C7C7"/>
        </x:patternFill>
      </x:fill>
    </x:dxf>
    <x:dxf>
      <x:font>
        <x:b/>
        <x:color rgb="FF1C5E35"/>
      </x:font>
      <x:fill>
        <x:patternFill>
          <x:bgColor rgb="FFD9EAD3"/>
        </x:patternFill>
      </x:fill>
    </x:dxf>
    <x:dxf>
      <x:font>
        <x:b/>
        <x:color rgb="FF8A4B08"/>
      </x:font>
      <x:fill>
        <x:patternFill>
          <x:bgColor rgb="FFFFE4B8"/>
        </x:patternFill>
      </x:fill>
    </x:dxf>
    <x:dxf>
      <x:font>
        <x:b/>
        <x:color rgb="FF454545"/>
      </x:font>
      <x:fill>
        <x:patternFill>
          <x:bgColor rgb="FFE4E7E5"/>
        </x:patternFill>
      </x:fill>
    </x:dxf>
    <x:dxf>
      <x:font>
        <x:b/>
        <x:color rgb="FF8A4B08"/>
      </x:font>
      <x:fill>
        <x:patternFill>
          <x:bgColor rgb="FFFFE4B8"/>
        </x:patternFill>
      </x:fill>
    </x:dxf>
    <x:dxf>
      <x:font>
        <x:b/>
        <x:color rgb="FF1C5E35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b15f3985184097" /><Relationship Type="http://schemas.openxmlformats.org/officeDocument/2006/relationships/theme" Target="/xl/theme/theme1.xml" Id="R18254bbcfdca40d0" /><Relationship Type="http://schemas.openxmlformats.org/officeDocument/2006/relationships/sharedStrings" Target="/xl/sharedStrings.xml" Id="R590e0de69f094732" /><Relationship Type="http://schemas.openxmlformats.org/officeDocument/2006/relationships/worksheet" Target="/xl/worksheets/sheet1.xml" Id="Rfcb2945b1bce413d" /><Relationship Type="http://schemas.openxmlformats.org/officeDocument/2006/relationships/worksheet" Target="/xl/worksheets/sheet2.xml" Id="R2fff3c5f1fbd4083" /><Relationship Type="http://schemas.openxmlformats.org/officeDocument/2006/relationships/worksheet" Target="/xl/worksheets/sheet3.xml" Id="Racf0d330c9c14ddf" /><Relationship Type="http://schemas.openxmlformats.org/officeDocument/2006/relationships/worksheet" Target="/xl/worksheets/sheet4.xml" Id="R35f66c649eff4521" /><Relationship Type="http://schemas.openxmlformats.org/officeDocument/2006/relationships/worksheet" Target="/xl/worksheets/sheet5.xml" Id="R2616b6f9faa243a7" /><Relationship Type="http://schemas.openxmlformats.org/officeDocument/2006/relationships/worksheet" Target="/xl/worksheets/sheet6.xml" Id="Ra24055c30023491f" /><Relationship Type="http://schemas.openxmlformats.org/officeDocument/2006/relationships/worksheet" Target="/xl/worksheets/sheet7.xml" Id="Ra2664103d1e14bdf" /><Relationship Type="http://schemas.openxmlformats.org/officeDocument/2006/relationships/worksheet" Target="/xl/worksheets/sheet8.xml" Id="R51d2685629df4e94" /><Relationship Type="http://schemas.openxmlformats.org/officeDocument/2006/relationships/worksheet" Target="/xl/worksheets/sheet9.xml" Id="R2b5ae50761bd4fe1" /><Relationship Type="http://schemas.openxmlformats.org/officeDocument/2006/relationships/worksheet" Target="/xl/worksheets/sheet10.xml" Id="Rd66d49a6dba241db" /><Relationship Type="http://schemas.openxmlformats.org/officeDocument/2006/relationships/worksheet" Target="/xl/worksheets/sheet11.xml" Id="R257d40606f0f46c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854b455a0d74c28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Invoice Exceptions by Type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spPr>
            <a:solidFill xmlns:a="http://schemas.openxmlformats.org/drawingml/2006/main">
              <a:srgbClr val="C7FF00"/>
            </a:solidFill>
          </c:spPr>
          <c:cat>
            <c:strRef>
              <c:f>Dashboard!$J$3:$J$10</c:f>
              <c:strCache>
                <c:ptCount val="8"/>
                <c:pt idx="0">
                  <c:v>Duplicate Invoice ID</c:v>
                </c:pt>
                <c:pt idx="1">
                  <c:v>Unmapped Vendor</c:v>
                </c:pt>
                <c:pt idx="2">
                  <c:v>Missing/Invalid Amount</c:v>
                </c:pt>
                <c:pt idx="3">
                  <c:v>Missing PO Number</c:v>
                </c:pt>
                <c:pt idx="4">
                  <c:v>Paid Missing Payment Date</c:v>
                </c:pt>
                <c:pt idx="5">
                  <c:v>Missing Invoice File</c:v>
                </c:pt>
                <c:pt idx="6">
                  <c:v>Overdue Unpaid</c:v>
                </c:pt>
                <c:pt idx="7">
                  <c:v>Pending Written Approval</c:v>
                </c:pt>
              </c:strCache>
            </c:strRef>
          </c:cat>
          <c:val>
            <c:numRef>
              <c:f>Dashboard!$K$3:$K$10</c:f>
              <c:numCache>
                <c:formatCode>General</c:formatCode>
                <c:ptCount val="8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23</c:v>
                </c:pt>
                <c:pt idx="7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Record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54b455a0d74c2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08b8423253524a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8" customWidth="1"/>
    <x:col min="2" max="2" width="28" customWidth="1"/>
    <x:col min="3" max="4" width="14" customWidth="1"/>
    <x:col min="5" max="5" width="11" customWidth="1"/>
    <x:col min="6" max="6" width="16" customWidth="1"/>
    <x:col min="7" max="7" width="15" style="93" customWidth="1"/>
    <x:col min="8" max="8" width="16" customWidth="1"/>
    <x:col min="9" max="9" width="15" customWidth="1"/>
    <x:col min="10" max="10" width="19" style="93" customWidth="1"/>
    <x:col min="11" max="11" width="28" customWidth="1"/>
  </x:cols>
  <x:sheetData>
    <x:row r="1" s="93" customFormat="1" ht="33.95000076293945" customHeight="1">
      <x:c r="A1" s="92" t="s">
        <x:v>0</x:v>
      </x:c>
      <x:c r="B1" s="92" t="s">
        <x:v>1</x:v>
      </x:c>
      <x:c r="C1" s="92" t="s">
        <x:v>2</x:v>
      </x:c>
      <x:c r="D1" s="92" t="s">
        <x:v>3</x:v>
      </x:c>
      <x:c r="E1" s="92" t="s">
        <x:v>4</x:v>
      </x:c>
      <x:c r="F1" s="92" t="s">
        <x:v>5</x:v>
      </x:c>
      <x:c r="G1" s="92" t="s">
        <x:v>6</x:v>
      </x:c>
      <x:c r="H1" s="92" t="s">
        <x:v>7</x:v>
      </x:c>
      <x:c r="I1" s="92" t="s">
        <x:v>8</x:v>
      </x:c>
      <x:c r="J1" s="92" t="s">
        <x:v>9</x:v>
      </x:c>
      <x:c r="K1" s="92" t="s">
        <x:v>10</x:v>
      </x:c>
    </x:row>
    <x:row r="2" ht="23.100000381469727" customHeight="1">
      <x:c r="A2" s="23" t="s">
        <x:v>11</x:v>
      </x:c>
      <x:c r="B2" s="9" t="s">
        <x:v>12</x:v>
      </x:c>
      <x:c r="C2" s="10">
        <x:v>46178</x:v>
      </x:c>
      <x:c r="D2" s="10">
        <x:v>46208</x:v>
      </x:c>
      <x:c r="E2" s="26" t="s">
        <x:v>13</x:v>
      </x:c>
      <x:c r="F2" s="11">
        <x:v>587500</x:v>
      </x:c>
      <x:c r="G2" s="26" t="s">
        <x:v>14</x:v>
      </x:c>
      <x:c r="H2" s="9" t="s">
        <x:v>15</x:v>
      </x:c>
      <x:c r="I2" s="10"/>
      <x:c r="J2" s="26" t="s">
        <x:v>16</x:v>
      </x:c>
      <x:c r="K2" s="12" t="s">
        <x:v>17</x:v>
      </x:c>
    </x:row>
    <x:row r="3" ht="23.100000381469727" customHeight="1">
      <x:c r="A3" s="24" t="s">
        <x:v>18</x:v>
      </x:c>
      <x:c r="B3" s="14" t="s">
        <x:v>19</x:v>
      </x:c>
      <x:c r="C3" s="15">
        <x:v>46181</x:v>
      </x:c>
      <x:c r="D3" s="15">
        <x:v>46195</x:v>
      </x:c>
      <x:c r="E3" s="27" t="s">
        <x:v>13</x:v>
      </x:c>
      <x:c r="F3" s="16">
        <x:v>725000</x:v>
      </x:c>
      <x:c r="G3" s="27" t="s">
        <x:v>20</x:v>
      </x:c>
      <x:c r="H3" s="14" t="s">
        <x:v>15</x:v>
      </x:c>
      <x:c r="I3" s="15"/>
      <x:c r="J3" s="27" t="s">
        <x:v>16</x:v>
      </x:c>
      <x:c r="K3" s="17" t="s">
        <x:v>21</x:v>
      </x:c>
    </x:row>
    <x:row r="4" ht="23.100000381469727" customHeight="1">
      <x:c r="A4" s="23" t="s">
        <x:v>22</x:v>
      </x:c>
      <x:c r="B4" s="9" t="s">
        <x:v>23</x:v>
      </x:c>
      <x:c r="C4" s="10">
        <x:v>46184</x:v>
      </x:c>
      <x:c r="D4" s="10">
        <x:v>46214</x:v>
      </x:c>
      <x:c r="E4" s="26" t="s">
        <x:v>24</x:v>
      </x:c>
      <x:c r="F4" s="11">
        <x:v>152.5</x:v>
      </x:c>
      <x:c r="G4" s="26" t="s">
        <x:v>25</x:v>
      </x:c>
      <x:c r="H4" s="9" t="s">
        <x:v>26</x:v>
      </x:c>
      <x:c r="I4" s="10"/>
      <x:c r="J4" s="26" t="s">
        <x:v>16</x:v>
      </x:c>
      <x:c r="K4" s="12" t="s">
        <x:v>27</x:v>
      </x:c>
    </x:row>
    <x:row r="5" ht="23.100000381469727" customHeight="1">
      <x:c r="A5" s="24" t="s">
        <x:v>28</x:v>
      </x:c>
      <x:c r="B5" s="14" t="s">
        <x:v>29</x:v>
      </x:c>
      <x:c r="C5" s="15">
        <x:v>46187</x:v>
      </x:c>
      <x:c r="D5" s="15">
        <x:v>46208</x:v>
      </x:c>
      <x:c r="E5" s="27" t="s">
        <x:v>13</x:v>
      </x:c>
      <x:c r="F5" s="16">
        <x:v>1000000</x:v>
      </x:c>
      <x:c r="G5" s="27" t="s">
        <x:v>30</x:v>
      </x:c>
      <x:c r="H5" s="14" t="s">
        <x:v>31</x:v>
      </x:c>
      <x:c r="I5" s="15">
        <x:v>46203</x:v>
      </x:c>
      <x:c r="J5" s="27" t="s">
        <x:v>16</x:v>
      </x:c>
      <x:c r="K5" s="17" t="s">
        <x:v>32</x:v>
      </x:c>
    </x:row>
    <x:row r="6" ht="23.100000381469727" customHeight="1">
      <x:c r="A6" s="23" t="s">
        <x:v>33</x:v>
      </x:c>
      <x:c r="B6" s="9" t="s">
        <x:v>34</x:v>
      </x:c>
      <x:c r="C6" s="10">
        <x:v>46190</x:v>
      </x:c>
      <x:c r="D6" s="10">
        <x:v>46204</x:v>
      </x:c>
      <x:c r="E6" s="26" t="s">
        <x:v>24</x:v>
      </x:c>
      <x:c r="F6" s="11">
        <x:v>197.5</x:v>
      </x:c>
      <x:c r="G6" s="26" t="s">
        <x:v>35</x:v>
      </x:c>
      <x:c r="H6" s="9" t="s">
        <x:v>15</x:v>
      </x:c>
      <x:c r="I6" s="10"/>
      <x:c r="J6" s="26" t="s">
        <x:v>16</x:v>
      </x:c>
      <x:c r="K6" s="12" t="s">
        <x:v>36</x:v>
      </x:c>
    </x:row>
    <x:row r="7" ht="23.100000381469727" customHeight="1">
      <x:c r="A7" s="24" t="s">
        <x:v>37</x:v>
      </x:c>
      <x:c r="B7" s="14" t="s">
        <x:v>38</x:v>
      </x:c>
      <x:c r="C7" s="15">
        <x:v>46193</x:v>
      </x:c>
      <x:c r="D7" s="15">
        <x:v>46223</x:v>
      </x:c>
      <x:c r="E7" s="27" t="s">
        <x:v>13</x:v>
      </x:c>
      <x:c r="F7" s="16">
        <x:v>1275000</x:v>
      </x:c>
      <x:c r="G7" s="27" t="s">
        <x:v>39</x:v>
      </x:c>
      <x:c r="H7" s="14" t="s">
        <x:v>26</x:v>
      </x:c>
      <x:c r="I7" s="15"/>
      <x:c r="J7" s="27" t="s">
        <x:v>40</x:v>
      </x:c>
      <x:c r="K7" s="17" t="s">
        <x:v>41</x:v>
      </x:c>
    </x:row>
    <x:row r="8" ht="23.100000381469727" customHeight="1">
      <x:c r="A8" s="23" t="s">
        <x:v>42</x:v>
      </x:c>
      <x:c r="B8" s="9" t="s">
        <x:v>43</x:v>
      </x:c>
      <x:c r="C8" s="10">
        <x:v>46196</x:v>
      </x:c>
      <x:c r="D8" s="10">
        <x:v>46210</x:v>
      </x:c>
      <x:c r="E8" s="26" t="s">
        <x:v>13</x:v>
      </x:c>
      <x:c r="F8" s="11">
        <x:v>1412500</x:v>
      </x:c>
      <x:c r="G8" s="26" t="s">
        <x:v>44</x:v>
      </x:c>
      <x:c r="H8" s="9" t="s">
        <x:v>31</x:v>
      </x:c>
      <x:c r="I8" s="10">
        <x:v>46207</x:v>
      </x:c>
      <x:c r="J8" s="26" t="s">
        <x:v>16</x:v>
      </x:c>
      <x:c r="K8" s="12" t="s">
        <x:v>45</x:v>
      </x:c>
    </x:row>
    <x:row r="9" ht="23.100000381469727" customHeight="1">
      <x:c r="A9" s="24" t="s">
        <x:v>46</x:v>
      </x:c>
      <x:c r="B9" s="14" t="s">
        <x:v>47</x:v>
      </x:c>
      <x:c r="C9" s="15">
        <x:v>46175</x:v>
      </x:c>
      <x:c r="D9" s="15">
        <x:v>46205</x:v>
      </x:c>
      <x:c r="E9" s="27" t="s">
        <x:v>24</x:v>
      </x:c>
      <x:c r="F9" s="16">
        <x:v>265</x:v>
      </x:c>
      <x:c r="G9" s="27"/>
      <x:c r="H9" s="14" t="s">
        <x:v>31</x:v>
      </x:c>
      <x:c r="I9" s="15">
        <x:v>46201</x:v>
      </x:c>
      <x:c r="J9" s="27" t="s">
        <x:v>16</x:v>
      </x:c>
      <x:c r="K9" s="17" t="s">
        <x:v>48</x:v>
      </x:c>
    </x:row>
    <x:row r="10" ht="23.100000381469727" customHeight="1">
      <x:c r="A10" s="23" t="s">
        <x:v>49</x:v>
      </x:c>
      <x:c r="B10" s="9" t="s">
        <x:v>50</x:v>
      </x:c>
      <x:c r="C10" s="10">
        <x:v>46178</x:v>
      </x:c>
      <x:c r="D10" s="10">
        <x:v>46208</x:v>
      </x:c>
      <x:c r="E10" s="26" t="s">
        <x:v>13</x:v>
      </x:c>
      <x:c r="F10" s="11">
        <x:v>1687500</x:v>
      </x:c>
      <x:c r="G10" s="26" t="s">
        <x:v>51</x:v>
      </x:c>
      <x:c r="H10" s="9" t="s">
        <x:v>26</x:v>
      </x:c>
      <x:c r="I10" s="10"/>
      <x:c r="J10" s="26" t="s">
        <x:v>16</x:v>
      </x:c>
      <x:c r="K10" s="12" t="s">
        <x:v>52</x:v>
      </x:c>
    </x:row>
    <x:row r="11" ht="23.100000381469727" customHeight="1">
      <x:c r="A11" s="24" t="s">
        <x:v>53</x:v>
      </x:c>
      <x:c r="B11" s="14" t="s">
        <x:v>54</x:v>
      </x:c>
      <x:c r="C11" s="15">
        <x:v>46181</x:v>
      </x:c>
      <x:c r="D11" s="15">
        <x:v>46195</x:v>
      </x:c>
      <x:c r="E11" s="27" t="s">
        <x:v>13</x:v>
      </x:c>
      <x:c r="F11" s="16">
        <x:v>1825000</x:v>
      </x:c>
      <x:c r="G11" s="27" t="s">
        <x:v>55</x:v>
      </x:c>
      <x:c r="H11" s="14" t="s">
        <x:v>15</x:v>
      </x:c>
      <x:c r="I11" s="15"/>
      <x:c r="J11" s="27" t="s">
        <x:v>16</x:v>
      </x:c>
      <x:c r="K11" s="17" t="s">
        <x:v>56</x:v>
      </x:c>
    </x:row>
    <x:row r="12" ht="23.100000381469727" customHeight="1">
      <x:c r="A12" s="23" t="s">
        <x:v>57</x:v>
      </x:c>
      <x:c r="B12" s="9" t="s">
        <x:v>58</x:v>
      </x:c>
      <x:c r="C12" s="10">
        <x:v>46184</x:v>
      </x:c>
      <x:c r="D12" s="10">
        <x:v>46214</x:v>
      </x:c>
      <x:c r="E12" s="26" t="s">
        <x:v>24</x:v>
      </x:c>
      <x:c r="F12" s="11">
        <x:v>332.5</x:v>
      </x:c>
      <x:c r="G12" s="26" t="s">
        <x:v>59</x:v>
      </x:c>
      <x:c r="H12" s="9" t="s">
        <x:v>15</x:v>
      </x:c>
      <x:c r="I12" s="10"/>
      <x:c r="J12" s="26" t="s">
        <x:v>16</x:v>
      </x:c>
      <x:c r="K12" s="12" t="s">
        <x:v>60</x:v>
      </x:c>
    </x:row>
    <x:row r="13" ht="23.100000381469727" customHeight="1">
      <x:c r="A13" s="24" t="s">
        <x:v>61</x:v>
      </x:c>
      <x:c r="B13" s="14" t="s">
        <x:v>62</x:v>
      </x:c>
      <x:c r="C13" s="15">
        <x:v>46187</x:v>
      </x:c>
      <x:c r="D13" s="15">
        <x:v>46208</x:v>
      </x:c>
      <x:c r="E13" s="27" t="s">
        <x:v>13</x:v>
      </x:c>
      <x:c r="F13" s="16">
        <x:v>2100000</x:v>
      </x:c>
      <x:c r="G13" s="27" t="s">
        <x:v>63</x:v>
      </x:c>
      <x:c r="H13" s="14" t="s">
        <x:v>31</x:v>
      </x:c>
      <x:c r="I13" s="15">
        <x:v>46205</x:v>
      </x:c>
      <x:c r="J13" s="27" t="s">
        <x:v>40</x:v>
      </x:c>
      <x:c r="K13" s="17" t="s">
        <x:v>64</x:v>
      </x:c>
    </x:row>
    <x:row r="14" ht="23.100000381469727" customHeight="1">
      <x:c r="A14" s="23" t="s">
        <x:v>65</x:v>
      </x:c>
      <x:c r="B14" s="9" t="s">
        <x:v>66</x:v>
      </x:c>
      <x:c r="C14" s="10">
        <x:v>46190</x:v>
      </x:c>
      <x:c r="D14" s="10">
        <x:v>46204</x:v>
      </x:c>
      <x:c r="E14" s="26" t="s">
        <x:v>24</x:v>
      </x:c>
      <x:c r="F14" s="11">
        <x:v>377.5</x:v>
      </x:c>
      <x:c r="G14" s="26" t="s">
        <x:v>67</x:v>
      </x:c>
      <x:c r="H14" s="9" t="s">
        <x:v>15</x:v>
      </x:c>
      <x:c r="I14" s="10"/>
      <x:c r="J14" s="26" t="s">
        <x:v>16</x:v>
      </x:c>
      <x:c r="K14" s="12" t="s">
        <x:v>68</x:v>
      </x:c>
    </x:row>
    <x:row r="15" ht="23.100000381469727" customHeight="1">
      <x:c r="A15" s="24" t="s">
        <x:v>69</x:v>
      </x:c>
      <x:c r="B15" s="14" t="s">
        <x:v>70</x:v>
      </x:c>
      <x:c r="C15" s="15">
        <x:v>46193</x:v>
      </x:c>
      <x:c r="D15" s="15">
        <x:v>46223</x:v>
      </x:c>
      <x:c r="E15" s="27" t="s">
        <x:v>13</x:v>
      </x:c>
      <x:c r="F15" s="16">
        <x:v>2375000</x:v>
      </x:c>
      <x:c r="G15" s="27" t="s">
        <x:v>71</x:v>
      </x:c>
      <x:c r="H15" s="14" t="s">
        <x:v>31</x:v>
      </x:c>
      <x:c r="I15" s="15">
        <x:v>46218</x:v>
      </x:c>
      <x:c r="J15" s="27" t="s">
        <x:v>16</x:v>
      </x:c>
      <x:c r="K15" s="17" t="s">
        <x:v>72</x:v>
      </x:c>
    </x:row>
    <x:row r="16" ht="23.100000381469727" customHeight="1">
      <x:c r="A16" s="23" t="s">
        <x:v>33</x:v>
      </x:c>
      <x:c r="B16" s="9" t="s">
        <x:v>73</x:v>
      </x:c>
      <x:c r="C16" s="10">
        <x:v>46196</x:v>
      </x:c>
      <x:c r="D16" s="10">
        <x:v>46210</x:v>
      </x:c>
      <x:c r="E16" s="26" t="s">
        <x:v>13</x:v>
      </x:c>
      <x:c r="F16" s="11">
        <x:v>2512500</x:v>
      </x:c>
      <x:c r="G16" s="26" t="s">
        <x:v>74</x:v>
      </x:c>
      <x:c r="H16" s="9" t="s">
        <x:v>26</x:v>
      </x:c>
      <x:c r="I16" s="10"/>
      <x:c r="J16" s="26" t="s">
        <x:v>16</x:v>
      </x:c>
      <x:c r="K16" s="12" t="s">
        <x:v>75</x:v>
      </x:c>
    </x:row>
    <x:row r="17" ht="23.100000381469727" customHeight="1">
      <x:c r="A17" s="24" t="s">
        <x:v>76</x:v>
      </x:c>
      <x:c r="B17" s="14" t="s">
        <x:v>77</x:v>
      </x:c>
      <x:c r="C17" s="15">
        <x:v>46175</x:v>
      </x:c>
      <x:c r="D17" s="15">
        <x:v>46205</x:v>
      </x:c>
      <x:c r="E17" s="27" t="s">
        <x:v>24</x:v>
      </x:c>
      <x:c r="F17" s="16">
        <x:v>445</x:v>
      </x:c>
      <x:c r="G17" s="27" t="s">
        <x:v>78</x:v>
      </x:c>
      <x:c r="H17" s="14" t="s">
        <x:v>31</x:v>
      </x:c>
      <x:c r="I17" s="15">
        <x:v>46203</x:v>
      </x:c>
      <x:c r="J17" s="27" t="s">
        <x:v>16</x:v>
      </x:c>
      <x:c r="K17" s="17" t="s">
        <x:v>79</x:v>
      </x:c>
    </x:row>
    <x:row r="18" ht="23.100000381469727" customHeight="1">
      <x:c r="A18" s="23" t="s">
        <x:v>80</x:v>
      </x:c>
      <x:c r="B18" s="9" t="s">
        <x:v>81</x:v>
      </x:c>
      <x:c r="C18" s="10">
        <x:v>46208</x:v>
      </x:c>
      <x:c r="D18" s="10">
        <x:v>46238</x:v>
      </x:c>
      <x:c r="E18" s="26" t="s">
        <x:v>13</x:v>
      </x:c>
      <x:c r="F18" s="11">
        <x:v>2787500</x:v>
      </x:c>
      <x:c r="G18" s="26" t="s">
        <x:v>82</x:v>
      </x:c>
      <x:c r="H18" s="9" t="s">
        <x:v>15</x:v>
      </x:c>
      <x:c r="I18" s="10"/>
      <x:c r="J18" s="26" t="s">
        <x:v>16</x:v>
      </x:c>
      <x:c r="K18" s="12" t="s">
        <x:v>83</x:v>
      </x:c>
    </x:row>
    <x:row r="19" ht="23.100000381469727" customHeight="1">
      <x:c r="A19" s="24" t="s">
        <x:v>84</x:v>
      </x:c>
      <x:c r="B19" s="14" t="s">
        <x:v>85</x:v>
      </x:c>
      <x:c r="C19" s="15">
        <x:v>46211</x:v>
      </x:c>
      <x:c r="D19" s="15">
        <x:v>46225</x:v>
      </x:c>
      <x:c r="E19" s="27" t="s">
        <x:v>13</x:v>
      </x:c>
      <x:c r="F19" s="16">
        <x:v>2925000</x:v>
      </x:c>
      <x:c r="G19" s="27" t="s">
        <x:v>86</x:v>
      </x:c>
      <x:c r="H19" s="14" t="s">
        <x:v>26</x:v>
      </x:c>
      <x:c r="I19" s="15"/>
      <x:c r="J19" s="27" t="s">
        <x:v>40</x:v>
      </x:c>
      <x:c r="K19" s="17" t="s">
        <x:v>87</x:v>
      </x:c>
    </x:row>
    <x:row r="20" ht="23.100000381469727" customHeight="1">
      <x:c r="A20" s="23" t="s">
        <x:v>88</x:v>
      </x:c>
      <x:c r="B20" s="9" t="s">
        <x:v>89</x:v>
      </x:c>
      <x:c r="C20" s="10">
        <x:v>46214</x:v>
      </x:c>
      <x:c r="D20" s="10">
        <x:v>46244</x:v>
      </x:c>
      <x:c r="E20" s="26" t="s">
        <x:v>24</x:v>
      </x:c>
      <x:c r="F20" s="11">
        <x:v>-250000</x:v>
      </x:c>
      <x:c r="G20" s="26" t="s">
        <x:v>90</x:v>
      </x:c>
      <x:c r="H20" s="9" t="s">
        <x:v>15</x:v>
      </x:c>
      <x:c r="I20" s="10"/>
      <x:c r="J20" s="26" t="s">
        <x:v>16</x:v>
      </x:c>
      <x:c r="K20" s="12" t="s">
        <x:v>91</x:v>
      </x:c>
    </x:row>
    <x:row r="21" ht="23.100000381469727" customHeight="1">
      <x:c r="A21" s="24" t="s">
        <x:v>92</x:v>
      </x:c>
      <x:c r="B21" s="14" t="s">
        <x:v>93</x:v>
      </x:c>
      <x:c r="C21" s="15">
        <x:v>46217</x:v>
      </x:c>
      <x:c r="D21" s="15">
        <x:v>46238</x:v>
      </x:c>
      <x:c r="E21" s="27" t="s">
        <x:v>13</x:v>
      </x:c>
      <x:c r="F21" s="16">
        <x:v>3200000</x:v>
      </x:c>
      <x:c r="G21" s="27" t="s">
        <x:v>94</x:v>
      </x:c>
      <x:c r="H21" s="14" t="s">
        <x:v>31</x:v>
      </x:c>
      <x:c r="I21" s="15">
        <x:v>46237</x:v>
      </x:c>
      <x:c r="J21" s="27" t="s">
        <x:v>16</x:v>
      </x:c>
      <x:c r="K21" s="17" t="s">
        <x:v>95</x:v>
      </x:c>
    </x:row>
    <x:row r="22" ht="23.100000381469727" customHeight="1">
      <x:c r="A22" s="23" t="s">
        <x:v>96</x:v>
      </x:c>
      <x:c r="B22" s="9" t="s">
        <x:v>97</x:v>
      </x:c>
      <x:c r="C22" s="10">
        <x:v>46220</x:v>
      </x:c>
      <x:c r="D22" s="10">
        <x:v>46234</x:v>
      </x:c>
      <x:c r="E22" s="26" t="s">
        <x:v>24</x:v>
      </x:c>
      <x:c r="F22" s="11">
        <x:v>557.5</x:v>
      </x:c>
      <x:c r="G22" s="26" t="s">
        <x:v>98</x:v>
      </x:c>
      <x:c r="H22" s="9" t="s">
        <x:v>31</x:v>
      </x:c>
      <x:c r="I22" s="10">
        <x:v>46232</x:v>
      </x:c>
      <x:c r="J22" s="26" t="s">
        <x:v>16</x:v>
      </x:c>
      <x:c r="K22" s="12" t="s">
        <x:v>99</x:v>
      </x:c>
    </x:row>
    <x:row r="23" ht="23.100000381469727" customHeight="1">
      <x:c r="A23" s="24" t="s">
        <x:v>100</x:v>
      </x:c>
      <x:c r="B23" s="14" t="s">
        <x:v>101</x:v>
      </x:c>
      <x:c r="C23" s="15">
        <x:v>46223</x:v>
      </x:c>
      <x:c r="D23" s="15">
        <x:v>46253</x:v>
      </x:c>
      <x:c r="E23" s="27" t="s">
        <x:v>13</x:v>
      </x:c>
      <x:c r="F23" s="16">
        <x:v>3475000</x:v>
      </x:c>
      <x:c r="G23" s="27" t="s">
        <x:v>102</x:v>
      </x:c>
      <x:c r="H23" s="14" t="s">
        <x:v>15</x:v>
      </x:c>
      <x:c r="I23" s="15"/>
      <x:c r="J23" s="27" t="s">
        <x:v>16</x:v>
      </x:c>
      <x:c r="K23" s="17" t="s">
        <x:v>103</x:v>
      </x:c>
    </x:row>
    <x:row r="24" ht="23.100000381469727" customHeight="1">
      <x:c r="A24" s="23" t="s">
        <x:v>104</x:v>
      </x:c>
      <x:c r="B24" s="9" t="s">
        <x:v>105</x:v>
      </x:c>
      <x:c r="C24" s="10">
        <x:v>46226</x:v>
      </x:c>
      <x:c r="D24" s="10">
        <x:v>46240</x:v>
      </x:c>
      <x:c r="E24" s="26" t="s">
        <x:v>13</x:v>
      </x:c>
      <x:c r="F24" s="11">
        <x:v>3612500</x:v>
      </x:c>
      <x:c r="G24" s="26" t="s">
        <x:v>106</x:v>
      </x:c>
      <x:c r="H24" s="9" t="s">
        <x:v>31</x:v>
      </x:c>
      <x:c r="I24" s="10"/>
      <x:c r="J24" s="26" t="s">
        <x:v>16</x:v>
      </x:c>
      <x:c r="K24" s="12" t="s">
        <x:v>107</x:v>
      </x:c>
    </x:row>
    <x:row r="25" ht="23.100000381469727" customHeight="1">
      <x:c r="A25" s="24" t="s">
        <x:v>108</x:v>
      </x:c>
      <x:c r="B25" s="14" t="s">
        <x:v>109</x:v>
      </x:c>
      <x:c r="C25" s="15">
        <x:v>46205</x:v>
      </x:c>
      <x:c r="D25" s="15">
        <x:v>46235</x:v>
      </x:c>
      <x:c r="E25" s="27" t="s">
        <x:v>24</x:v>
      </x:c>
      <x:c r="F25" s="16">
        <x:v>625</x:v>
      </x:c>
      <x:c r="G25" s="27" t="s">
        <x:v>110</x:v>
      </x:c>
      <x:c r="H25" s="14" t="s">
        <x:v>31</x:v>
      </x:c>
      <x:c r="I25" s="15">
        <x:v>46230</x:v>
      </x:c>
      <x:c r="J25" s="27" t="s">
        <x:v>40</x:v>
      </x:c>
      <x:c r="K25" s="17" t="s">
        <x:v>111</x:v>
      </x:c>
    </x:row>
    <x:row r="26" ht="23.100000381469727" customHeight="1">
      <x:c r="A26" s="23" t="s">
        <x:v>112</x:v>
      </x:c>
      <x:c r="B26" s="9" t="s">
        <x:v>12</x:v>
      </x:c>
      <x:c r="C26" s="10">
        <x:v>46208</x:v>
      </x:c>
      <x:c r="D26" s="10">
        <x:v>46238</x:v>
      </x:c>
      <x:c r="E26" s="26" t="s">
        <x:v>13</x:v>
      </x:c>
      <x:c r="F26" s="11">
        <x:v>3887500</x:v>
      </x:c>
      <x:c r="G26" s="26" t="s">
        <x:v>113</x:v>
      </x:c>
      <x:c r="H26" s="9" t="s">
        <x:v>15</x:v>
      </x:c>
      <x:c r="I26" s="10"/>
      <x:c r="J26" s="26" t="s">
        <x:v>16</x:v>
      </x:c>
      <x:c r="K26" s="12" t="s">
        <x:v>114</x:v>
      </x:c>
    </x:row>
    <x:row r="27" ht="23.100000381469727" customHeight="1">
      <x:c r="A27" s="24" t="s">
        <x:v>115</x:v>
      </x:c>
      <x:c r="B27" s="14" t="s">
        <x:v>19</x:v>
      </x:c>
      <x:c r="C27" s="15">
        <x:v>46211</x:v>
      </x:c>
      <x:c r="D27" s="15">
        <x:v>46225</x:v>
      </x:c>
      <x:c r="E27" s="27" t="s">
        <x:v>13</x:v>
      </x:c>
      <x:c r="F27" s="16">
        <x:v>4025000</x:v>
      </x:c>
      <x:c r="G27" s="27" t="s">
        <x:v>116</x:v>
      </x:c>
      <x:c r="H27" s="14" t="s">
        <x:v>15</x:v>
      </x:c>
      <x:c r="I27" s="15"/>
      <x:c r="J27" s="27" t="s">
        <x:v>16</x:v>
      </x:c>
      <x:c r="K27" s="17" t="s">
        <x:v>117</x:v>
      </x:c>
    </x:row>
    <x:row r="28" ht="23.100000381469727" customHeight="1">
      <x:c r="A28" s="23" t="s">
        <x:v>118</x:v>
      </x:c>
      <x:c r="B28" s="9" t="s">
        <x:v>23</x:v>
      </x:c>
      <x:c r="C28" s="10">
        <x:v>46214</x:v>
      </x:c>
      <x:c r="D28" s="10">
        <x:v>46244</x:v>
      </x:c>
      <x:c r="E28" s="26" t="s">
        <x:v>24</x:v>
      </x:c>
      <x:c r="F28" s="11">
        <x:v>692.5</x:v>
      </x:c>
      <x:c r="G28" s="26"/>
      <x:c r="H28" s="9" t="s">
        <x:v>26</x:v>
      </x:c>
      <x:c r="I28" s="10"/>
      <x:c r="J28" s="26" t="s">
        <x:v>16</x:v>
      </x:c>
      <x:c r="K28" s="12" t="s">
        <x:v>119</x:v>
      </x:c>
    </x:row>
    <x:row r="29" ht="23.100000381469727" customHeight="1">
      <x:c r="A29" s="24" t="s">
        <x:v>120</x:v>
      </x:c>
      <x:c r="B29" s="14" t="s">
        <x:v>29</x:v>
      </x:c>
      <x:c r="C29" s="15">
        <x:v>46217</x:v>
      </x:c>
      <x:c r="D29" s="15">
        <x:v>46238</x:v>
      </x:c>
      <x:c r="E29" s="27" t="s">
        <x:v>13</x:v>
      </x:c>
      <x:c r="F29" s="16">
        <x:v>4300000</x:v>
      </x:c>
      <x:c r="G29" s="27" t="s">
        <x:v>121</x:v>
      </x:c>
      <x:c r="H29" s="14" t="s">
        <x:v>31</x:v>
      </x:c>
      <x:c r="I29" s="15">
        <x:v>46234</x:v>
      </x:c>
      <x:c r="J29" s="27" t="s">
        <x:v>16</x:v>
      </x:c>
      <x:c r="K29" s="17" t="s">
        <x:v>122</x:v>
      </x:c>
    </x:row>
    <x:row r="30" ht="23.100000381469727" customHeight="1">
      <x:c r="A30" s="23" t="s">
        <x:v>123</x:v>
      </x:c>
      <x:c r="B30" s="9" t="s">
        <x:v>34</x:v>
      </x:c>
      <x:c r="C30" s="10">
        <x:v>46220</x:v>
      </x:c>
      <x:c r="D30" s="10">
        <x:v>46234</x:v>
      </x:c>
      <x:c r="E30" s="26" t="s">
        <x:v>24</x:v>
      </x:c>
      <x:c r="F30" s="11">
        <x:v>737.5</x:v>
      </x:c>
      <x:c r="G30" s="26" t="s">
        <x:v>124</x:v>
      </x:c>
      <x:c r="H30" s="9" t="s">
        <x:v>15</x:v>
      </x:c>
      <x:c r="I30" s="10"/>
      <x:c r="J30" s="26" t="s">
        <x:v>16</x:v>
      </x:c>
      <x:c r="K30" s="12" t="s">
        <x:v>125</x:v>
      </x:c>
    </x:row>
    <x:row r="31" ht="23.100000381469727" customHeight="1">
      <x:c r="A31" s="24" t="s">
        <x:v>126</x:v>
      </x:c>
      <x:c r="B31" s="14" t="s">
        <x:v>38</x:v>
      </x:c>
      <x:c r="C31" s="15">
        <x:v>46223</x:v>
      </x:c>
      <x:c r="D31" s="15">
        <x:v>46253</x:v>
      </x:c>
      <x:c r="E31" s="27" t="s">
        <x:v>13</x:v>
      </x:c>
      <x:c r="F31" s="16">
        <x:v>4575000</x:v>
      </x:c>
      <x:c r="G31" s="27" t="s">
        <x:v>127</x:v>
      </x:c>
      <x:c r="H31" s="14" t="s">
        <x:v>26</x:v>
      </x:c>
      <x:c r="I31" s="15"/>
      <x:c r="J31" s="27" t="s">
        <x:v>40</x:v>
      </x:c>
      <x:c r="K31" s="17" t="s">
        <x:v>128</x:v>
      </x:c>
    </x:row>
    <x:row r="32" ht="23.100000381469727" customHeight="1">
      <x:c r="A32" s="23" t="s">
        <x:v>129</x:v>
      </x:c>
      <x:c r="B32" s="9" t="s">
        <x:v>130</x:v>
      </x:c>
      <x:c r="C32" s="10">
        <x:v>46226</x:v>
      </x:c>
      <x:c r="D32" s="10">
        <x:v>46240</x:v>
      </x:c>
      <x:c r="E32" s="26" t="s">
        <x:v>13</x:v>
      </x:c>
      <x:c r="F32" s="11">
        <x:v>4712500</x:v>
      </x:c>
      <x:c r="G32" s="26" t="s">
        <x:v>131</x:v>
      </x:c>
      <x:c r="H32" s="9" t="s">
        <x:v>15</x:v>
      </x:c>
      <x:c r="I32" s="10"/>
      <x:c r="J32" s="26" t="s">
        <x:v>16</x:v>
      </x:c>
      <x:c r="K32" s="12" t="s">
        <x:v>132</x:v>
      </x:c>
    </x:row>
    <x:row r="33" ht="23.100000381469727" customHeight="1">
      <x:c r="A33" s="24" t="s">
        <x:v>133</x:v>
      </x:c>
      <x:c r="B33" s="14" t="s">
        <x:v>47</x:v>
      </x:c>
      <x:c r="C33" s="15">
        <x:v>46205</x:v>
      </x:c>
      <x:c r="D33" s="15">
        <x:v>46235</x:v>
      </x:c>
      <x:c r="E33" s="27" t="s">
        <x:v>24</x:v>
      </x:c>
      <x:c r="F33" s="16">
        <x:v>805</x:v>
      </x:c>
      <x:c r="G33" s="27" t="s">
        <x:v>134</x:v>
      </x:c>
      <x:c r="H33" s="14" t="s">
        <x:v>31</x:v>
      </x:c>
      <x:c r="I33" s="15">
        <x:v>46232</x:v>
      </x:c>
      <x:c r="J33" s="27" t="s">
        <x:v>16</x:v>
      </x:c>
      <x:c r="K33" s="17" t="s">
        <x:v>135</x:v>
      </x:c>
    </x:row>
    <x:row r="34" ht="23.100000381469727" customHeight="1">
      <x:c r="A34" s="23" t="s">
        <x:v>136</x:v>
      </x:c>
      <x:c r="B34" s="9" t="s">
        <x:v>50</x:v>
      </x:c>
      <x:c r="C34" s="10">
        <x:v>46239</x:v>
      </x:c>
      <x:c r="D34" s="10">
        <x:v>46269</x:v>
      </x:c>
      <x:c r="E34" s="26" t="s">
        <x:v>13</x:v>
      </x:c>
      <x:c r="F34" s="11"/>
      <x:c r="G34" s="26" t="s">
        <x:v>137</x:v>
      </x:c>
      <x:c r="H34" s="9" t="s">
        <x:v>26</x:v>
      </x:c>
      <x:c r="I34" s="10"/>
      <x:c r="J34" s="26" t="s">
        <x:v>16</x:v>
      </x:c>
      <x:c r="K34" s="12" t="s">
        <x:v>138</x:v>
      </x:c>
    </x:row>
    <x:row r="35" ht="23.100000381469727" customHeight="1">
      <x:c r="A35" s="24" t="s">
        <x:v>139</x:v>
      </x:c>
      <x:c r="B35" s="14" t="s">
        <x:v>54</x:v>
      </x:c>
      <x:c r="C35" s="15">
        <x:v>46242</x:v>
      </x:c>
      <x:c r="D35" s="15">
        <x:v>46256</x:v>
      </x:c>
      <x:c r="E35" s="27" t="s">
        <x:v>13</x:v>
      </x:c>
      <x:c r="F35" s="16">
        <x:v>5125000</x:v>
      </x:c>
      <x:c r="G35" s="27" t="s">
        <x:v>140</x:v>
      </x:c>
      <x:c r="H35" s="14" t="s">
        <x:v>15</x:v>
      </x:c>
      <x:c r="I35" s="15"/>
      <x:c r="J35" s="27" t="s">
        <x:v>16</x:v>
      </x:c>
      <x:c r="K35" s="17" t="s">
        <x:v>141</x:v>
      </x:c>
    </x:row>
    <x:row r="36" ht="23.100000381469727" customHeight="1">
      <x:c r="A36" s="23" t="s">
        <x:v>142</x:v>
      </x:c>
      <x:c r="B36" s="9" t="s">
        <x:v>58</x:v>
      </x:c>
      <x:c r="C36" s="10">
        <x:v>46245</x:v>
      </x:c>
      <x:c r="D36" s="10">
        <x:v>46275</x:v>
      </x:c>
      <x:c r="E36" s="26" t="s">
        <x:v>24</x:v>
      </x:c>
      <x:c r="F36" s="11">
        <x:v>872.5</x:v>
      </x:c>
      <x:c r="G36" s="26" t="s">
        <x:v>143</x:v>
      </x:c>
      <x:c r="H36" s="9" t="s">
        <x:v>31</x:v>
      </x:c>
      <x:c r="I36" s="10">
        <x:v>46274</x:v>
      </x:c>
      <x:c r="J36" s="26" t="s">
        <x:v>16</x:v>
      </x:c>
      <x:c r="K36" s="12" t="s">
        <x:v>144</x:v>
      </x:c>
    </x:row>
    <x:row r="37" ht="23.100000381469727" customHeight="1">
      <x:c r="A37" s="24" t="s">
        <x:v>145</x:v>
      </x:c>
      <x:c r="B37" s="14" t="s">
        <x:v>62</x:v>
      </x:c>
      <x:c r="C37" s="15">
        <x:v>46248</x:v>
      </x:c>
      <x:c r="D37" s="15">
        <x:v>46269</x:v>
      </x:c>
      <x:c r="E37" s="27" t="s">
        <x:v>13</x:v>
      </x:c>
      <x:c r="F37" s="16">
        <x:v>5400000</x:v>
      </x:c>
      <x:c r="G37" s="27" t="s">
        <x:v>146</x:v>
      </x:c>
      <x:c r="H37" s="14" t="s">
        <x:v>31</x:v>
      </x:c>
      <x:c r="I37" s="15">
        <x:v>46267</x:v>
      </x:c>
      <x:c r="J37" s="27" t="s">
        <x:v>40</x:v>
      </x:c>
      <x:c r="K37" s="17" t="s">
        <x:v>147</x:v>
      </x:c>
    </x:row>
    <x:row r="38" ht="23.100000381469727" customHeight="1">
      <x:c r="A38" s="23" t="s">
        <x:v>148</x:v>
      </x:c>
      <x:c r="B38" s="9" t="s">
        <x:v>66</x:v>
      </x:c>
      <x:c r="C38" s="10">
        <x:v>46251</x:v>
      </x:c>
      <x:c r="D38" s="10">
        <x:v>46265</x:v>
      </x:c>
      <x:c r="E38" s="26" t="s">
        <x:v>24</x:v>
      </x:c>
      <x:c r="F38" s="11">
        <x:v>917.5</x:v>
      </x:c>
      <x:c r="G38" s="26" t="s">
        <x:v>149</x:v>
      </x:c>
      <x:c r="H38" s="9" t="s">
        <x:v>15</x:v>
      </x:c>
      <x:c r="I38" s="10"/>
      <x:c r="J38" s="26" t="s">
        <x:v>16</x:v>
      </x:c>
      <x:c r="K38" s="12"/>
    </x:row>
    <x:row r="39" ht="23.100000381469727" customHeight="1">
      <x:c r="A39" s="24" t="s">
        <x:v>150</x:v>
      </x:c>
      <x:c r="B39" s="14" t="s">
        <x:v>70</x:v>
      </x:c>
      <x:c r="C39" s="15">
        <x:v>46254</x:v>
      </x:c>
      <x:c r="D39" s="15">
        <x:v>46284</x:v>
      </x:c>
      <x:c r="E39" s="27" t="s">
        <x:v>13</x:v>
      </x:c>
      <x:c r="F39" s="16">
        <x:v>5675000</x:v>
      </x:c>
      <x:c r="G39" s="27" t="s">
        <x:v>151</x:v>
      </x:c>
      <x:c r="H39" s="14" t="s">
        <x:v>15</x:v>
      </x:c>
      <x:c r="I39" s="15"/>
      <x:c r="J39" s="27" t="s">
        <x:v>16</x:v>
      </x:c>
      <x:c r="K39" s="17" t="s">
        <x:v>152</x:v>
      </x:c>
    </x:row>
    <x:row r="40" ht="23.100000381469727" customHeight="1">
      <x:c r="A40" s="23" t="s">
        <x:v>153</x:v>
      </x:c>
      <x:c r="B40" s="9" t="s">
        <x:v>73</x:v>
      </x:c>
      <x:c r="C40" s="10">
        <x:v>46257</x:v>
      </x:c>
      <x:c r="D40" s="10">
        <x:v>46271</x:v>
      </x:c>
      <x:c r="E40" s="26" t="s">
        <x:v>13</x:v>
      </x:c>
      <x:c r="F40" s="11">
        <x:v>5812500</x:v>
      </x:c>
      <x:c r="G40" s="26" t="s">
        <x:v>154</x:v>
      </x:c>
      <x:c r="H40" s="9" t="s">
        <x:v>26</x:v>
      </x:c>
      <x:c r="I40" s="10"/>
      <x:c r="J40" s="26" t="s">
        <x:v>16</x:v>
      </x:c>
      <x:c r="K40" s="12" t="s">
        <x:v>155</x:v>
      </x:c>
    </x:row>
    <x:row r="41" ht="23.100000381469727" customHeight="1">
      <x:c r="A41" s="24" t="s">
        <x:v>156</x:v>
      </x:c>
      <x:c r="B41" s="14" t="s">
        <x:v>77</x:v>
      </x:c>
      <x:c r="C41" s="15">
        <x:v>46236</x:v>
      </x:c>
      <x:c r="D41" s="15">
        <x:v>46266</x:v>
      </x:c>
      <x:c r="E41" s="27" t="s">
        <x:v>24</x:v>
      </x:c>
      <x:c r="F41" s="16">
        <x:v>985</x:v>
      </x:c>
      <x:c r="G41" s="27" t="s">
        <x:v>157</x:v>
      </x:c>
      <x:c r="H41" s="14" t="s">
        <x:v>31</x:v>
      </x:c>
      <x:c r="I41" s="15">
        <x:v>46265</x:v>
      </x:c>
      <x:c r="J41" s="27" t="s">
        <x:v>16</x:v>
      </x:c>
      <x:c r="K41" s="17" t="s">
        <x:v>158</x:v>
      </x:c>
    </x:row>
    <x:row r="42" ht="23.100000381469727" customHeight="1">
      <x:c r="A42" s="23" t="s">
        <x:v>159</x:v>
      </x:c>
      <x:c r="B42" s="9" t="s">
        <x:v>81</x:v>
      </x:c>
      <x:c r="C42" s="10">
        <x:v>46239</x:v>
      </x:c>
      <x:c r="D42" s="10">
        <x:v>46269</x:v>
      </x:c>
      <x:c r="E42" s="26" t="s">
        <x:v>13</x:v>
      </x:c>
      <x:c r="F42" s="11">
        <x:v>6087500</x:v>
      </x:c>
      <x:c r="G42" s="26" t="s">
        <x:v>160</x:v>
      </x:c>
      <x:c r="H42" s="9" t="s">
        <x:v>15</x:v>
      </x:c>
      <x:c r="I42" s="10"/>
      <x:c r="J42" s="26" t="s">
        <x:v>16</x:v>
      </x:c>
      <x:c r="K42" s="12" t="s">
        <x:v>161</x:v>
      </x:c>
    </x:row>
    <x:row r="43" ht="23.100000381469727" customHeight="1">
      <x:c r="A43" s="24" t="s">
        <x:v>33</x:v>
      </x:c>
      <x:c r="B43" s="14" t="s">
        <x:v>85</x:v>
      </x:c>
      <x:c r="C43" s="15">
        <x:v>46242</x:v>
      </x:c>
      <x:c r="D43" s="15">
        <x:v>46256</x:v>
      </x:c>
      <x:c r="E43" s="27" t="s">
        <x:v>13</x:v>
      </x:c>
      <x:c r="F43" s="16">
        <x:v>6225000</x:v>
      </x:c>
      <x:c r="G43" s="27" t="s">
        <x:v>162</x:v>
      </x:c>
      <x:c r="H43" s="14" t="s">
        <x:v>31</x:v>
      </x:c>
      <x:c r="I43" s="15">
        <x:v>46253</x:v>
      </x:c>
      <x:c r="J43" s="27" t="s">
        <x:v>40</x:v>
      </x:c>
      <x:c r="K43" s="17" t="s">
        <x:v>163</x:v>
      </x:c>
    </x:row>
    <x:row r="44" ht="23.100000381469727" customHeight="1">
      <x:c r="A44" s="23" t="s">
        <x:v>164</x:v>
      </x:c>
      <x:c r="B44" s="9" t="s">
        <x:v>89</x:v>
      </x:c>
      <x:c r="C44" s="10">
        <x:v>46245</x:v>
      </x:c>
      <x:c r="D44" s="10">
        <x:v>46275</x:v>
      </x:c>
      <x:c r="E44" s="26" t="s">
        <x:v>24</x:v>
      </x:c>
      <x:c r="F44" s="11">
        <x:v>1052.5</x:v>
      </x:c>
      <x:c r="G44" s="26" t="s">
        <x:v>165</x:v>
      </x:c>
      <x:c r="H44" s="9" t="s">
        <x:v>15</x:v>
      </x:c>
      <x:c r="I44" s="10"/>
      <x:c r="J44" s="26" t="s">
        <x:v>16</x:v>
      </x:c>
      <x:c r="K44" s="12" t="s">
        <x:v>166</x:v>
      </x:c>
    </x:row>
    <x:row r="45" ht="23.100000381469727" customHeight="1">
      <x:c r="A45" s="24" t="s">
        <x:v>167</x:v>
      </x:c>
      <x:c r="B45" s="14" t="s">
        <x:v>93</x:v>
      </x:c>
      <x:c r="C45" s="15">
        <x:v>46248</x:v>
      </x:c>
      <x:c r="D45" s="15">
        <x:v>46269</x:v>
      </x:c>
      <x:c r="E45" s="27" t="s">
        <x:v>13</x:v>
      </x:c>
      <x:c r="F45" s="16">
        <x:v>6500000</x:v>
      </x:c>
      <x:c r="G45" s="27" t="s">
        <x:v>168</x:v>
      </x:c>
      <x:c r="H45" s="14" t="s">
        <x:v>31</x:v>
      </x:c>
      <x:c r="I45" s="15">
        <x:v>46264</x:v>
      </x:c>
      <x:c r="J45" s="27" t="s">
        <x:v>16</x:v>
      </x:c>
      <x:c r="K45" s="17" t="s">
        <x:v>169</x:v>
      </x:c>
    </x:row>
    <x:row r="46" ht="23.100000381469727" customHeight="1">
      <x:c r="A46" s="23" t="s">
        <x:v>170</x:v>
      </x:c>
      <x:c r="B46" s="9" t="s">
        <x:v>97</x:v>
      </x:c>
      <x:c r="C46" s="10">
        <x:v>46251</x:v>
      </x:c>
      <x:c r="D46" s="10">
        <x:v>46265</x:v>
      </x:c>
      <x:c r="E46" s="26" t="s">
        <x:v>24</x:v>
      </x:c>
      <x:c r="F46" s="11">
        <x:v>1097.5</x:v>
      </x:c>
      <x:c r="G46" s="26" t="s">
        <x:v>171</x:v>
      </x:c>
      <x:c r="H46" s="9" t="s">
        <x:v>26</x:v>
      </x:c>
      <x:c r="I46" s="10"/>
      <x:c r="J46" s="26" t="s">
        <x:v>16</x:v>
      </x:c>
      <x:c r="K46" s="12" t="s">
        <x:v>172</x:v>
      </x:c>
    </x:row>
    <x:row r="47" ht="23.100000381469727" customHeight="1">
      <x:c r="A47" s="24" t="s">
        <x:v>173</x:v>
      </x:c>
      <x:c r="B47" s="14" t="s">
        <x:v>101</x:v>
      </x:c>
      <x:c r="C47" s="15">
        <x:v>46254</x:v>
      </x:c>
      <x:c r="D47" s="15">
        <x:v>46284</x:v>
      </x:c>
      <x:c r="E47" s="27" t="s">
        <x:v>13</x:v>
      </x:c>
      <x:c r="F47" s="16">
        <x:v>6775000</x:v>
      </x:c>
      <x:c r="G47" s="27" t="s">
        <x:v>174</x:v>
      </x:c>
      <x:c r="H47" s="14" t="s">
        <x:v>15</x:v>
      </x:c>
      <x:c r="I47" s="15"/>
      <x:c r="J47" s="27" t="s">
        <x:v>16</x:v>
      </x:c>
      <x:c r="K47" s="17" t="s">
        <x:v>175</x:v>
      </x:c>
    </x:row>
    <x:row r="48" ht="23.100000381469727" customHeight="1">
      <x:c r="A48" s="23" t="s">
        <x:v>176</x:v>
      </x:c>
      <x:c r="B48" s="9" t="s">
        <x:v>105</x:v>
      </x:c>
      <x:c r="C48" s="10">
        <x:v>46257</x:v>
      </x:c>
      <x:c r="D48" s="10">
        <x:v>46271</x:v>
      </x:c>
      <x:c r="E48" s="26" t="s">
        <x:v>13</x:v>
      </x:c>
      <x:c r="F48" s="11">
        <x:v>6912500</x:v>
      </x:c>
      <x:c r="G48" s="26" t="s">
        <x:v>177</x:v>
      </x:c>
      <x:c r="H48" s="9" t="s">
        <x:v>15</x:v>
      </x:c>
      <x:c r="I48" s="10"/>
      <x:c r="J48" s="26" t="s">
        <x:v>16</x:v>
      </x:c>
      <x:c r="K48" s="12" t="s">
        <x:v>178</x:v>
      </x:c>
    </x:row>
    <x:row r="49" ht="23.100000381469727" customHeight="1">
      <x:c r="A49" s="25" t="s">
        <x:v>179</x:v>
      </x:c>
      <x:c r="B49" s="19" t="s">
        <x:v>109</x:v>
      </x:c>
      <x:c r="C49" s="20">
        <x:v>46236</x:v>
      </x:c>
      <x:c r="D49" s="20">
        <x:v>46266</x:v>
      </x:c>
      <x:c r="E49" s="28" t="s">
        <x:v>24</x:v>
      </x:c>
      <x:c r="F49" s="21">
        <x:v>1165</x:v>
      </x:c>
      <x:c r="G49" s="28" t="s">
        <x:v>180</x:v>
      </x:c>
      <x:c r="H49" s="19" t="s">
        <x:v>31</x:v>
      </x:c>
      <x:c r="I49" s="20">
        <x:v>46262</x:v>
      </x:c>
      <x:c r="J49" s="28" t="s">
        <x:v>40</x:v>
      </x:c>
      <x:c r="K49" s="22" t="s">
        <x:v>181</x:v>
      </x:c>
    </x:row>
  </x:sheetData>
  <x:conditionalFormatting sqref="H2:H49">
    <x:cfRule type="expression" dxfId="30" priority="1">
      <x:formula>$H2="Paid"</x:formula>
    </x:cfRule>
    <x:cfRule type="expression" dxfId="29" priority="2">
      <x:formula>$H2="Pending"</x:formula>
    </x:cfRule>
    <x:cfRule type="expression" dxfId="28" priority="3">
      <x:formula>$H2="Unpaid"</x:formula>
    </x:cfRule>
  </x:conditionalFormatting>
  <x:conditionalFormatting sqref="J2:J49">
    <x:cfRule type="containsText" dxfId="27" priority="4" operator="containsText" text="Pending Approval"/>
    <x:cfRule type="containsText" dxfId="26" priority="5" operator="containsText" text="Approved"/>
  </x:conditionalFormatting>
  <x:conditionalFormatting sqref="A2:A49">
    <x:cfRule type="duplicateValues" dxfId="25" priority="6"/>
  </x:conditionalFormatting>
  <x:conditionalFormatting sqref="F2:F49">
    <x:cfRule type="containsBlanks" dxfId="24" priority="7"/>
  </x:conditionalFormatting>
  <x:conditionalFormatting sqref="G2:G49">
    <x:cfRule type="containsBlanks" dxfId="23" priority="8"/>
  </x:conditionalFormatting>
  <x:conditionalFormatting sqref="K2:K49">
    <x:cfRule type="containsBlanks" dxfId="22" priority="9"/>
  </x:conditionalFormatting>
  <x:conditionalFormatting sqref="I2:I49">
    <x:cfRule type="expression" dxfId="21" priority="10">
      <x:formula>AND($H2="Paid",$I2="")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1" customWidth="1"/>
    <x:col min="2" max="2" width="25" customWidth="1"/>
    <x:col min="3" max="4" width="20" customWidth="1"/>
  </x:cols>
  <x:sheetData>
    <x:row r="1" ht="33.95000076293945" customHeight="1">
      <x:c r="A1" s="7" t="s">
        <x:v>182</x:v>
      </x:c>
      <x:c r="B1" s="7" t="s">
        <x:v>183</x:v>
      </x:c>
      <x:c r="C1" s="7" t="s">
        <x:v>4</x:v>
      </x:c>
      <x:c r="D1" s="7" t="s">
        <x:v>184</x:v>
      </x:c>
    </x:row>
    <x:row r="2" ht="23.100000381469727" customHeight="1">
      <x:c r="A2" s="36" t="s">
        <x:v>185</x:v>
      </x:c>
      <x:c r="B2" s="9" t="s">
        <x:v>50</x:v>
      </x:c>
      <x:c r="C2" s="26" t="s">
        <x:v>13</x:v>
      </x:c>
      <x:c r="D2" s="38" t="s">
        <x:v>186</x:v>
      </x:c>
    </x:row>
    <x:row r="3" ht="23.100000381469727" customHeight="1">
      <x:c r="A3" s="36" t="s">
        <x:v>187</x:v>
      </x:c>
      <x:c r="B3" s="14" t="s">
        <x:v>85</x:v>
      </x:c>
      <x:c r="C3" s="27" t="s">
        <x:v>13</x:v>
      </x:c>
      <x:c r="D3" s="39" t="s">
        <x:v>188</x:v>
      </x:c>
    </x:row>
    <x:row r="4" ht="23.100000381469727" customHeight="1">
      <x:c r="A4" s="36" t="s">
        <x:v>189</x:v>
      </x:c>
      <x:c r="B4" s="9" t="s">
        <x:v>23</x:v>
      </x:c>
      <x:c r="C4" s="26" t="s">
        <x:v>24</x:v>
      </x:c>
      <x:c r="D4" s="38" t="s">
        <x:v>186</x:v>
      </x:c>
    </x:row>
    <x:row r="5" ht="23.100000381469727" customHeight="1">
      <x:c r="A5" s="36" t="s">
        <x:v>190</x:v>
      </x:c>
      <x:c r="B5" s="14" t="s">
        <x:v>62</x:v>
      </x:c>
      <x:c r="C5" s="27" t="s">
        <x:v>13</x:v>
      </x:c>
      <x:c r="D5" s="39" t="s">
        <x:v>191</x:v>
      </x:c>
    </x:row>
    <x:row r="6" ht="23.100000381469727" customHeight="1">
      <x:c r="A6" s="36" t="s">
        <x:v>192</x:v>
      </x:c>
      <x:c r="B6" s="9" t="s">
        <x:v>97</x:v>
      </x:c>
      <x:c r="C6" s="26" t="s">
        <x:v>24</x:v>
      </x:c>
      <x:c r="D6" s="38" t="s">
        <x:v>188</x:v>
      </x:c>
    </x:row>
    <x:row r="7" ht="23.100000381469727" customHeight="1">
      <x:c r="A7" s="36" t="s">
        <x:v>193</x:v>
      </x:c>
      <x:c r="B7" s="14" t="s">
        <x:v>38</x:v>
      </x:c>
      <x:c r="C7" s="27" t="s">
        <x:v>13</x:v>
      </x:c>
      <x:c r="D7" s="39" t="s">
        <x:v>186</x:v>
      </x:c>
    </x:row>
    <x:row r="8" ht="23.100000381469727" customHeight="1">
      <x:c r="A8" s="36" t="s">
        <x:v>194</x:v>
      </x:c>
      <x:c r="B8" s="9" t="s">
        <x:v>73</x:v>
      </x:c>
      <x:c r="C8" s="26" t="s">
        <x:v>13</x:v>
      </x:c>
      <x:c r="D8" s="38" t="s">
        <x:v>188</x:v>
      </x:c>
    </x:row>
    <x:row r="9" ht="23.100000381469727" customHeight="1">
      <x:c r="A9" s="37" t="s">
        <x:v>195</x:v>
      </x:c>
      <x:c r="B9" s="19" t="s">
        <x:v>109</x:v>
      </x:c>
      <x:c r="C9" s="28" t="s">
        <x:v>24</x:v>
      </x:c>
      <x:c r="D9" s="40" t="s">
        <x:v>186</x:v>
      </x:c>
    </x:row>
    <x:row r="10">
      <x:c r="A10" s="1"/>
      <x:c r="B10" s="2"/>
      <x:c r="C10" s="2"/>
      <x:c r="D10" s="3"/>
    </x:row>
    <x:row r="11">
      <x:c r="A11" s="1"/>
      <x:c r="B11" s="2"/>
      <x:c r="C11" s="2"/>
      <x:c r="D11" s="3"/>
    </x:row>
    <x:row r="12" ht="33.95000076293945" customHeight="1">
      <x:c r="A12" s="29" t="s">
        <x:v>196</x:v>
      </x:c>
      <x:c r="B12" s="29" t="s">
        <x:v>182</x:v>
      </x:c>
      <x:c r="C12" s="2"/>
      <x:c r="D12" s="3"/>
    </x:row>
    <x:row r="13" ht="23.100000381469727" customHeight="1">
      <x:c r="A13" s="30" t="s">
        <x:v>81</x:v>
      </x:c>
      <x:c r="B13" s="31" t="s">
        <x:v>185</x:v>
      </x:c>
      <x:c r="C13" s="2"/>
      <x:c r="D13" s="3"/>
    </x:row>
    <x:row r="14" ht="23.100000381469727" customHeight="1">
      <x:c r="A14" s="32" t="s">
        <x:v>81</x:v>
      </x:c>
      <x:c r="B14" s="9" t="s">
        <x:v>185</x:v>
      </x:c>
      <x:c r="C14" s="2"/>
      <x:c r="D14" s="3"/>
    </x:row>
    <x:row r="15" ht="23.100000381469727" customHeight="1">
      <x:c r="A15" s="33" t="s">
        <x:v>81</x:v>
      </x:c>
      <x:c r="B15" s="14" t="s">
        <x:v>185</x:v>
      </x:c>
      <x:c r="C15" s="2"/>
      <x:c r="D15" s="3"/>
    </x:row>
    <x:row r="16" ht="23.100000381469727" customHeight="1">
      <x:c r="A16" s="32" t="s">
        <x:v>19</x:v>
      </x:c>
      <x:c r="B16" s="9" t="s">
        <x:v>187</x:v>
      </x:c>
      <x:c r="C16" s="2"/>
      <x:c r="D16" s="3"/>
    </x:row>
    <x:row r="17" ht="23.100000381469727" customHeight="1">
      <x:c r="A17" s="33" t="s">
        <x:v>197</x:v>
      </x:c>
      <x:c r="B17" s="14" t="s">
        <x:v>187</x:v>
      </x:c>
      <x:c r="C17" s="2"/>
      <x:c r="D17" s="3"/>
    </x:row>
    <x:row r="18" ht="23.100000381469727" customHeight="1">
      <x:c r="A18" s="32" t="s">
        <x:v>19</x:v>
      </x:c>
      <x:c r="B18" s="9" t="s">
        <x:v>187</x:v>
      </x:c>
      <x:c r="C18" s="2"/>
      <x:c r="D18" s="3"/>
    </x:row>
    <x:row r="19" ht="23.100000381469727" customHeight="1">
      <x:c r="A19" s="33" t="s">
        <x:v>58</x:v>
      </x:c>
      <x:c r="B19" s="14" t="s">
        <x:v>189</x:v>
      </x:c>
      <x:c r="C19" s="2"/>
      <x:c r="D19" s="3"/>
    </x:row>
    <x:row r="20" ht="23.100000381469727" customHeight="1">
      <x:c r="A20" s="32" t="s">
        <x:v>58</x:v>
      </x:c>
      <x:c r="B20" s="9" t="s">
        <x:v>189</x:v>
      </x:c>
      <x:c r="C20" s="2"/>
      <x:c r="D20" s="3"/>
    </x:row>
    <x:row r="21" ht="23.100000381469727" customHeight="1">
      <x:c r="A21" s="33" t="s">
        <x:v>58</x:v>
      </x:c>
      <x:c r="B21" s="14" t="s">
        <x:v>189</x:v>
      </x:c>
      <x:c r="C21" s="2"/>
      <x:c r="D21" s="3"/>
    </x:row>
    <x:row r="22" ht="23.100000381469727" customHeight="1">
      <x:c r="A22" s="32" t="s">
        <x:v>93</x:v>
      </x:c>
      <x:c r="B22" s="9" t="s">
        <x:v>190</x:v>
      </x:c>
      <x:c r="C22" s="2"/>
      <x:c r="D22" s="3"/>
    </x:row>
    <x:row r="23" ht="23.100000381469727" customHeight="1">
      <x:c r="A23" s="33" t="s">
        <x:v>198</x:v>
      </x:c>
      <x:c r="B23" s="14" t="s">
        <x:v>190</x:v>
      </x:c>
      <x:c r="C23" s="2"/>
      <x:c r="D23" s="3"/>
    </x:row>
    <x:row r="24" ht="23.100000381469727" customHeight="1">
      <x:c r="A24" s="32" t="s">
        <x:v>93</x:v>
      </x:c>
      <x:c r="B24" s="9" t="s">
        <x:v>190</x:v>
      </x:c>
      <x:c r="C24" s="2"/>
      <x:c r="D24" s="3"/>
    </x:row>
    <x:row r="25" ht="23.100000381469727" customHeight="1">
      <x:c r="A25" s="33" t="s">
        <x:v>34</x:v>
      </x:c>
      <x:c r="B25" s="14" t="s">
        <x:v>192</x:v>
      </x:c>
      <x:c r="C25" s="2"/>
      <x:c r="D25" s="3"/>
    </x:row>
    <x:row r="26" ht="23.100000381469727" customHeight="1">
      <x:c r="A26" s="32" t="s">
        <x:v>34</x:v>
      </x:c>
      <x:c r="B26" s="9" t="s">
        <x:v>192</x:v>
      </x:c>
      <x:c r="C26" s="2"/>
      <x:c r="D26" s="3"/>
    </x:row>
    <x:row r="27" ht="23.100000381469727" customHeight="1">
      <x:c r="A27" s="33" t="s">
        <x:v>34</x:v>
      </x:c>
      <x:c r="B27" s="14" t="s">
        <x:v>192</x:v>
      </x:c>
      <x:c r="C27" s="2"/>
      <x:c r="D27" s="3"/>
    </x:row>
    <x:row r="28" ht="23.100000381469727" customHeight="1">
      <x:c r="A28" s="32" t="s">
        <x:v>70</x:v>
      </x:c>
      <x:c r="B28" s="9" t="s">
        <x:v>193</x:v>
      </x:c>
      <x:c r="C28" s="2"/>
      <x:c r="D28" s="3"/>
    </x:row>
    <x:row r="29" ht="23.100000381469727" customHeight="1">
      <x:c r="A29" s="33" t="s">
        <x:v>199</x:v>
      </x:c>
      <x:c r="B29" s="14" t="s">
        <x:v>193</x:v>
      </x:c>
      <x:c r="C29" s="2"/>
      <x:c r="D29" s="3"/>
    </x:row>
    <x:row r="30" ht="23.100000381469727" customHeight="1">
      <x:c r="A30" s="32" t="s">
        <x:v>70</x:v>
      </x:c>
      <x:c r="B30" s="9" t="s">
        <x:v>193</x:v>
      </x:c>
      <x:c r="C30" s="2"/>
      <x:c r="D30" s="3"/>
    </x:row>
    <x:row r="31" ht="23.100000381469727" customHeight="1">
      <x:c r="A31" s="33" t="s">
        <x:v>105</x:v>
      </x:c>
      <x:c r="B31" s="14" t="s">
        <x:v>194</x:v>
      </x:c>
      <x:c r="C31" s="2"/>
      <x:c r="D31" s="3"/>
    </x:row>
    <x:row r="32" ht="23.100000381469727" customHeight="1">
      <x:c r="A32" s="32" t="s">
        <x:v>105</x:v>
      </x:c>
      <x:c r="B32" s="9" t="s">
        <x:v>194</x:v>
      </x:c>
      <x:c r="C32" s="2"/>
      <x:c r="D32" s="3"/>
    </x:row>
    <x:row r="33" ht="23.100000381469727" customHeight="1">
      <x:c r="A33" s="33" t="s">
        <x:v>105</x:v>
      </x:c>
      <x:c r="B33" s="14" t="s">
        <x:v>194</x:v>
      </x:c>
      <x:c r="C33" s="2"/>
      <x:c r="D33" s="3"/>
    </x:row>
    <x:row r="34" ht="23.100000381469727" customHeight="1">
      <x:c r="A34" s="32" t="s">
        <x:v>47</x:v>
      </x:c>
      <x:c r="B34" s="9" t="s">
        <x:v>195</x:v>
      </x:c>
      <x:c r="C34" s="2"/>
      <x:c r="D34" s="3"/>
    </x:row>
    <x:row r="35" ht="23.100000381469727" customHeight="1">
      <x:c r="A35" s="33" t="s">
        <x:v>47</x:v>
      </x:c>
      <x:c r="B35" s="14" t="s">
        <x:v>195</x:v>
      </x:c>
      <x:c r="C35" s="2"/>
      <x:c r="D35" s="3"/>
    </x:row>
    <x:row r="36" ht="23.100000381469727" customHeight="1">
      <x:c r="A36" s="34" t="s">
        <x:v>47</x:v>
      </x:c>
      <x:c r="B36" s="35" t="s">
        <x:v>195</x:v>
      </x:c>
      <x:c r="C36" s="4"/>
      <x:c r="D36" s="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8" customWidth="1"/>
    <x:col min="2" max="2" width="27" customWidth="1"/>
    <x:col min="3" max="3" width="14" customWidth="1"/>
    <x:col min="4" max="4" width="9.125" customWidth="1"/>
    <x:col min="5" max="5" width="11" style="91" customWidth="1"/>
    <x:col min="6" max="6" width="16" customWidth="1"/>
    <x:col min="7" max="7" width="15" customWidth="1"/>
    <x:col min="8" max="8" width="16" style="93" customWidth="1"/>
    <x:col min="9" max="9" width="15" customWidth="1"/>
    <x:col min="10" max="10" width="19" style="93" customWidth="1"/>
    <x:col min="11" max="11" width="27" customWidth="1"/>
    <x:col min="12" max="12" width="14" customWidth="1"/>
    <x:col min="13" max="13" width="25" customWidth="1"/>
    <x:col min="14" max="14" width="14" customWidth="1"/>
    <x:col min="15" max="15" width="12" customWidth="1"/>
    <x:col min="16" max="16" width="30" customWidth="1"/>
    <x:col min="17" max="17" width="12" customWidth="1"/>
    <x:col min="18" max="18" width="38" customWidth="1"/>
    <x:col min="20" max="20" width="20.25" customWidth="1"/>
  </x:cols>
  <x:sheetData>
    <x:row r="1" ht="33.95000076293945" customHeight="1">
      <x:c r="A1" s="7" t="s">
        <x:v>0</x:v>
      </x:c>
      <x:c r="B1" s="7" t="s">
        <x:v>1</x:v>
      </x:c>
      <x:c r="C1" s="7" t="s">
        <x:v>2</x:v>
      </x:c>
      <x:c r="D1" s="7" t="s">
        <x:v>3</x:v>
      </x:c>
      <x:c r="E1" s="87" t="s">
        <x:v>4</x:v>
      </x:c>
      <x:c r="F1" s="7" t="s">
        <x:v>5</x:v>
      </x:c>
      <x:c r="G1" s="7" t="s">
        <x:v>6</x:v>
      </x:c>
      <x:c r="H1" s="92" t="s">
        <x:v>7</x:v>
      </x:c>
      <x:c r="I1" s="7" t="s">
        <x:v>8</x:v>
      </x:c>
      <x:c r="J1" s="92" t="s">
        <x:v>9</x:v>
      </x:c>
      <x:c r="K1" s="7" t="s">
        <x:v>10</x:v>
      </x:c>
      <x:c r="L1" s="49" t="s">
        <x:v>182</x:v>
      </x:c>
      <x:c r="M1" s="41" t="s">
        <x:v>200</x:v>
      </x:c>
      <x:c r="N1" s="41" t="s">
        <x:v>201</x:v>
      </x:c>
      <x:c r="O1" s="41" t="s">
        <x:v>202</x:v>
      </x:c>
      <x:c r="P1" s="41" t="s">
        <x:v>203</x:v>
      </x:c>
      <x:c r="Q1" s="41" t="s">
        <x:v>204</x:v>
      </x:c>
      <x:c r="R1" s="42" t="s">
        <x:v>205</x:v>
      </x:c>
      <x:c r="T1" s="58" t="s">
        <x:v>206</x:v>
      </x:c>
      <x:c r="U1" s="58" t="s">
        <x:v>207</x:v>
      </x:c>
    </x:row>
    <x:row r="2" ht="23.100000381469727" customHeight="1">
      <x:c r="A2" s="23" t="str">
        <x:f>'Raw Invoices'!A2</x:f>
        <x:v>INV-2026-001</x:v>
      </x:c>
      <x:c r="B2" s="9" t="str">
        <x:f>'Raw Invoices'!B2</x:f>
        <x:v>nusantara office supply</x:v>
      </x:c>
      <x:c r="C2" s="10" t="n">
        <x:f>'Raw Invoices'!C2</x:f>
        <x:v>46178</x:v>
      </x:c>
      <x:c r="D2" s="10" t="n">
        <x:f>'Raw Invoices'!D2</x:f>
        <x:v>46208</x:v>
      </x:c>
      <x:c r="E2" s="88" t="str">
        <x:f>'Raw Invoices'!E2</x:f>
        <x:v>IDR</x:v>
      </x:c>
      <x:c r="F2" s="11" t="n">
        <x:f>IF('Raw Invoices'!F2="","",'Raw Invoices'!F2)</x:f>
        <x:v>587500</x:v>
      </x:c>
      <x:c r="G2" s="9" t="str">
        <x:f>IF('Raw Invoices'!G2="","",'Raw Invoices'!G2)</x:f>
        <x:v>PO-2401</x:v>
      </x:c>
      <x:c r="H2" s="26" t="str">
        <x:f>'Raw Invoices'!H2</x:f>
        <x:v>Unpaid</x:v>
      </x:c>
      <x:c r="I2" s="10" t="str">
        <x:f>IF('Raw Invoices'!I2="","",'Raw Invoices'!I2)</x:f>
      </x:c>
      <x:c r="J2" s="26" t="str">
        <x:f>'Raw Invoices'!J2</x:f>
        <x:v>Approved</x:v>
      </x:c>
      <x:c r="K2" s="9" t="str">
        <x:f>IF('Raw Invoices'!K2="","",'Raw Invoices'!K2)</x:f>
        <x:v>INV-2026-001_V001.pdf</x:v>
      </x:c>
      <x:c r="L2" s="50" t="str">
        <x:f>IFERROR(VLOOKUP(UPPER(TRIM(B2)),'Vendor Mapping'!$A$13:$B$36,2,FALSE),"UNMAPPED")</x:f>
        <x:v>V001</x:v>
      </x:c>
      <x:c r="M2" s="51" t="str">
        <x:f>IF(L2="UNMAPPED","Needs Review",VLOOKUP(L2,'Vendor Mapping'!$A$2:$D$9,2,FALSE))</x:f>
        <x:v>Nusantara Office Supply</x:v>
      </x:c>
      <x:c r="N2" s="55" t="n">
        <x:f t="shared" ref="N2:N49" si="0">COUNTIF($A$2:$A$49,A2)</x:f>
        <x:v>1</x:v>
      </x:c>
      <x:c r="O2" s="55" t="n">
        <x:f t="shared" ref="O2:O49" si="1">IF(A2="",1,0)+IF(N2&gt;1,1,0)+IF(L2="UNMAPPED",1,0)+IF(F2="",1,0)+IF(AND(F2&lt;&gt;",",F2&lt;=0),1,0)+IF(G2="",1,0)+IF(AND(UPPER(H2)="PAID",I2=""),1,0)+IF(K2="",1,0)+IF(AND(UPPER(H2)&lt;&gt;"PAID",D2&lt;$T$2),1,0)+IF(UPPER(J2)="PENDING APPROVAL",1,0)</x:f>
        <x:v>1</x:v>
      </x:c>
      <x:c r="P2" s="43" t="str">
        <x:f t="shared" ref="P2:P49" si="2">IF(A2="","Missing Invoice ID",IF(N2&gt;1,"Duplicate Invoice ID",IF(L2="UNMAPPED","Unmapped Vendor",IF(F2="","Missing Amount",IF(F2&lt;=0,"Invalid Amount",IF(G2="","Missing PO Number",IF(AND(UPPER(H2)="PAID",I2=""),"Paid - Missing Payment Date",IF(K2="","Missing Invoice File",IF(AND(UPPER(H2)&lt;&gt;"PAID",D2&lt;$T$2),"Overdue - Written Follow-Up",IF(UPPER(J2)="PENDING APPROVAL","Pending Written Approval","Ready / Complete"))))))))))</x:f>
        <x:v>Overdue - Written Follow-Up</x:v>
      </x:c>
      <x:c r="Q2" s="43" t="str">
        <x:f t="shared" ref="Q2:Q49" si="3">IF(OR(P2="Duplicate Invoice ID",P2="Invalid Amount",P2="Overdue - Written Follow-Up"),"HIGH",IF(P2="Ready / Complete","LOW","MEDIUM"))</x:f>
        <x:v>HIGH</x:v>
      </x:c>
      <x:c r="R2" s="44" t="str">
        <x:f t="shared" ref="R2:R49" si="4">IF(P2="Ready / Complete","File and record complete",IF(P2="Overdue - Written Follow-Up","Send email reminder to vendor; log response",IF(P2="Pending Written Approval","Send approval request by email/chat",IF(P2="Duplicate Invoice ID","Compare files and confirm duplicate in writing",IF(P2="Unmapped Vendor","Request vendor master confirmation by email","Request missing/corrected document by email")))))</x:f>
        <x:v>Send email reminder to vendor; log response</x:v>
      </x:c>
      <x:c r="T2" s="59" t="s">
        <x:v>208</x:v>
      </x:c>
      <x:c r="U2" s="60">
        <x:v>46249</x:v>
      </x:c>
    </x:row>
    <x:row r="3" ht="23.100000381469727" customHeight="1">
      <x:c r="A3" s="24" t="str">
        <x:f>'Raw Invoices'!A3</x:f>
        <x:v>INV-2026-002</x:v>
      </x:c>
      <x:c r="B3" s="14" t="str">
        <x:f>'Raw Invoices'!B3</x:f>
        <x:v>CITRA DIGITAL SERVICES</x:v>
      </x:c>
      <x:c r="C3" s="15" t="n">
        <x:f>'Raw Invoices'!C3</x:f>
        <x:v>46181</x:v>
      </x:c>
      <x:c r="D3" s="15" t="n">
        <x:f>'Raw Invoices'!D3</x:f>
        <x:v>46195</x:v>
      </x:c>
      <x:c r="E3" s="89" t="str">
        <x:f>'Raw Invoices'!E3</x:f>
        <x:v>IDR</x:v>
      </x:c>
      <x:c r="F3" s="16" t="n">
        <x:f>IF('Raw Invoices'!F3="","",'Raw Invoices'!F3)</x:f>
        <x:v>725000</x:v>
      </x:c>
      <x:c r="G3" s="14" t="str">
        <x:f>IF('Raw Invoices'!G3="","",'Raw Invoices'!G3)</x:f>
        <x:v>PO-2402</x:v>
      </x:c>
      <x:c r="H3" s="27" t="str">
        <x:f>'Raw Invoices'!H3</x:f>
        <x:v>Unpaid</x:v>
      </x:c>
      <x:c r="I3" s="15" t="str">
        <x:f>IF('Raw Invoices'!I3="","",'Raw Invoices'!I3)</x:f>
      </x:c>
      <x:c r="J3" s="27" t="str">
        <x:f>'Raw Invoices'!J3</x:f>
        <x:v>Approved</x:v>
      </x:c>
      <x:c r="K3" s="14" t="str">
        <x:f>IF('Raw Invoices'!K3="","",'Raw Invoices'!K3)</x:f>
        <x:v>INV-2026-002_V002.pdf</x:v>
      </x:c>
      <x:c r="L3" s="52" t="str">
        <x:f>IFERROR(VLOOKUP(UPPER(TRIM(B3)),'Vendor Mapping'!$A$13:$B$36,2,FALSE),"UNMAPPED")</x:f>
        <x:v>V002</x:v>
      </x:c>
      <x:c r="M3" s="53" t="str">
        <x:f>IF(L3="UNMAPPED","Needs Review",VLOOKUP(L3,'Vendor Mapping'!$A$2:$D$9,2,FALSE))</x:f>
        <x:v>Citra Digital Services</x:v>
      </x:c>
      <x:c r="N3" s="56">
        <x:f t="shared" si="0"/>
        <x:v>1</x:v>
      </x:c>
      <x:c r="O3" s="56">
        <x:f t="shared" si="1"/>
        <x:v>1</x:v>
      </x:c>
      <x:c r="P3" s="45" t="str">
        <x:f t="shared" si="2"/>
        <x:v>Overdue - Written Follow-Up</x:v>
      </x:c>
      <x:c r="Q3" s="45" t="str">
        <x:f t="shared" si="3"/>
        <x:v>HIGH</x:v>
      </x:c>
      <x:c r="R3" s="46" t="str">
        <x:f t="shared" si="4"/>
        <x:v>Send email reminder to vendor; log response</x:v>
      </x:c>
      <x:c r="T3" s="59" t="s">
        <x:v>209</x:v>
      </x:c>
      <x:c r="U3" s="61" t="s">
        <x:v>210</x:v>
      </x:c>
    </x:row>
    <x:row r="4" ht="23.100000381469727" customHeight="1">
      <x:c r="A4" s="23" t="str">
        <x:f>'Raw Invoices'!A4</x:f>
        <x:v>INV-2026-003</x:v>
      </x:c>
      <x:c r="B4" s="9" t="str">
        <x:f>'Raw Invoices'!B4</x:f>
        <x:v>BrightPath Software</x:v>
      </x:c>
      <x:c r="C4" s="10" t="n">
        <x:f>'Raw Invoices'!C4</x:f>
        <x:v>46184</x:v>
      </x:c>
      <x:c r="D4" s="10" t="n">
        <x:f>'Raw Invoices'!D4</x:f>
        <x:v>46214</x:v>
      </x:c>
      <x:c r="E4" s="88" t="str">
        <x:f>'Raw Invoices'!E4</x:f>
        <x:v>USD</x:v>
      </x:c>
      <x:c r="F4" s="11" t="n">
        <x:f>IF('Raw Invoices'!F4="","",'Raw Invoices'!F4)</x:f>
        <x:v>152.5</x:v>
      </x:c>
      <x:c r="G4" s="9" t="str">
        <x:f>IF('Raw Invoices'!G4="","",'Raw Invoices'!G4)</x:f>
        <x:v>PO-2403</x:v>
      </x:c>
      <x:c r="H4" s="26" t="str">
        <x:f>'Raw Invoices'!H4</x:f>
        <x:v>Pending</x:v>
      </x:c>
      <x:c r="I4" s="10" t="str">
        <x:f>IF('Raw Invoices'!I4="","",'Raw Invoices'!I4)</x:f>
      </x:c>
      <x:c r="J4" s="26" t="str">
        <x:f>'Raw Invoices'!J4</x:f>
        <x:v>Approved</x:v>
      </x:c>
      <x:c r="K4" s="9" t="str">
        <x:f>IF('Raw Invoices'!K4="","",'Raw Invoices'!K4)</x:f>
        <x:v>INV-2026-003_V003.pdf</x:v>
      </x:c>
      <x:c r="L4" s="50" t="str">
        <x:f>IFERROR(VLOOKUP(UPPER(TRIM(B4)),'Vendor Mapping'!$A$13:$B$36,2,FALSE),"UNMAPPED")</x:f>
        <x:v>V003</x:v>
      </x:c>
      <x:c r="M4" s="51" t="str">
        <x:f>IF(L4="UNMAPPED","Needs Review",VLOOKUP(L4,'Vendor Mapping'!$A$2:$D$9,2,FALSE))</x:f>
        <x:v>BrightPath Software</x:v>
      </x:c>
      <x:c r="N4" s="55">
        <x:f t="shared" si="0"/>
        <x:v>1</x:v>
      </x:c>
      <x:c r="O4" s="55">
        <x:f t="shared" si="1"/>
        <x:v>1</x:v>
      </x:c>
      <x:c r="P4" s="43" t="str">
        <x:f t="shared" si="2"/>
        <x:v>Overdue - Written Follow-Up</x:v>
      </x:c>
      <x:c r="Q4" s="43" t="str">
        <x:f t="shared" si="3"/>
        <x:v>HIGH</x:v>
      </x:c>
      <x:c r="R4" s="44" t="str">
        <x:f t="shared" si="4"/>
        <x:v>Send email reminder to vendor; log response</x:v>
      </x:c>
    </x:row>
    <x:row r="5" ht="23.100000381469727" customHeight="1">
      <x:c r="A5" s="24" t="str">
        <x:f>'Raw Invoices'!A5</x:f>
        <x:v>INV-2026-004</x:v>
      </x:c>
      <x:c r="B5" s="14" t="str">
        <x:f>'Raw Invoices'!B5</x:f>
        <x:v>garuda logistic</x:v>
      </x:c>
      <x:c r="C5" s="15" t="n">
        <x:f>'Raw Invoices'!C5</x:f>
        <x:v>46187</x:v>
      </x:c>
      <x:c r="D5" s="15" t="n">
        <x:f>'Raw Invoices'!D5</x:f>
        <x:v>46208</x:v>
      </x:c>
      <x:c r="E5" s="89" t="str">
        <x:f>'Raw Invoices'!E5</x:f>
        <x:v>IDR</x:v>
      </x:c>
      <x:c r="F5" s="16" t="n">
        <x:f>IF('Raw Invoices'!F5="","",'Raw Invoices'!F5)</x:f>
        <x:v>1000000</x:v>
      </x:c>
      <x:c r="G5" s="14" t="str">
        <x:f>IF('Raw Invoices'!G5="","",'Raw Invoices'!G5)</x:f>
        <x:v>PO-2404</x:v>
      </x:c>
      <x:c r="H5" s="27" t="str">
        <x:f>'Raw Invoices'!H5</x:f>
        <x:v>Paid</x:v>
      </x:c>
      <x:c r="I5" s="15" t="n">
        <x:f>IF('Raw Invoices'!I5="","",'Raw Invoices'!I5)</x:f>
        <x:v>46203</x:v>
      </x:c>
      <x:c r="J5" s="27" t="str">
        <x:f>'Raw Invoices'!J5</x:f>
        <x:v>Approved</x:v>
      </x:c>
      <x:c r="K5" s="14" t="str">
        <x:f>IF('Raw Invoices'!K5="","",'Raw Invoices'!K5)</x:f>
        <x:v>INV-2026-004_V004.pdf</x:v>
      </x:c>
      <x:c r="L5" s="52" t="str">
        <x:f>IFERROR(VLOOKUP(UPPER(TRIM(B5)),'Vendor Mapping'!$A$13:$B$36,2,FALSE),"UNMAPPED")</x:f>
        <x:v>V004</x:v>
      </x:c>
      <x:c r="M5" s="53" t="str">
        <x:f>IF(L5="UNMAPPED","Needs Review",VLOOKUP(L5,'Vendor Mapping'!$A$2:$D$9,2,FALSE))</x:f>
        <x:v>Garuda Logistics</x:v>
      </x:c>
      <x:c r="N5" s="56">
        <x:f t="shared" si="0"/>
        <x:v>1</x:v>
      </x:c>
      <x:c r="O5" s="56">
        <x:f t="shared" si="1"/>
        <x:v>0</x:v>
      </x:c>
      <x:c r="P5" s="45" t="str">
        <x:f t="shared" si="2"/>
        <x:v>Ready / Complete</x:v>
      </x:c>
      <x:c r="Q5" s="45" t="str">
        <x:f t="shared" si="3"/>
        <x:v>LOW</x:v>
      </x:c>
      <x:c r="R5" s="46" t="str">
        <x:f t="shared" si="4"/>
        <x:v>File and record complete</x:v>
      </x:c>
    </x:row>
    <x:row r="6" ht="23.100000381469727" customHeight="1">
      <x:c r="A6" s="23" t="str">
        <x:f>'Raw Invoices'!A6</x:f>
        <x:v>INV-2026-005</x:v>
      </x:c>
      <x:c r="B6" s="9" t="str">
        <x:f>'Raw Invoices'!B6</x:f>
        <x:v>ATLAS WORKSPACE</x:v>
      </x:c>
      <x:c r="C6" s="10" t="n">
        <x:f>'Raw Invoices'!C6</x:f>
        <x:v>46190</x:v>
      </x:c>
      <x:c r="D6" s="10" t="n">
        <x:f>'Raw Invoices'!D6</x:f>
        <x:v>46204</x:v>
      </x:c>
      <x:c r="E6" s="88" t="str">
        <x:f>'Raw Invoices'!E6</x:f>
        <x:v>USD</x:v>
      </x:c>
      <x:c r="F6" s="11" t="n">
        <x:f>IF('Raw Invoices'!F6="","",'Raw Invoices'!F6)</x:f>
        <x:v>197.5</x:v>
      </x:c>
      <x:c r="G6" s="9" t="str">
        <x:f>IF('Raw Invoices'!G6="","",'Raw Invoices'!G6)</x:f>
        <x:v>PO-2405</x:v>
      </x:c>
      <x:c r="H6" s="26" t="str">
        <x:f>'Raw Invoices'!H6</x:f>
        <x:v>Unpaid</x:v>
      </x:c>
      <x:c r="I6" s="10" t="str">
        <x:f>IF('Raw Invoices'!I6="","",'Raw Invoices'!I6)</x:f>
      </x:c>
      <x:c r="J6" s="26" t="str">
        <x:f>'Raw Invoices'!J6</x:f>
        <x:v>Approved</x:v>
      </x:c>
      <x:c r="K6" s="9" t="str">
        <x:f>IF('Raw Invoices'!K6="","",'Raw Invoices'!K6)</x:f>
        <x:v>INV-2026-005_V005.pdf</x:v>
      </x:c>
      <x:c r="L6" s="50" t="str">
        <x:f>IFERROR(VLOOKUP(UPPER(TRIM(B6)),'Vendor Mapping'!$A$13:$B$36,2,FALSE),"UNMAPPED")</x:f>
        <x:v>V005</x:v>
      </x:c>
      <x:c r="M6" s="51" t="str">
        <x:f>IF(L6="UNMAPPED","Needs Review",VLOOKUP(L6,'Vendor Mapping'!$A$2:$D$9,2,FALSE))</x:f>
        <x:v>Atlas Workspace</x:v>
      </x:c>
      <x:c r="N6" s="55">
        <x:f t="shared" si="0"/>
        <x:v>3</x:v>
      </x:c>
      <x:c r="O6" s="55">
        <x:f t="shared" si="1"/>
        <x:v>2</x:v>
      </x:c>
      <x:c r="P6" s="43" t="str">
        <x:f t="shared" si="2"/>
        <x:v>Duplicate Invoice ID</x:v>
      </x:c>
      <x:c r="Q6" s="43" t="str">
        <x:f t="shared" si="3"/>
        <x:v>HIGH</x:v>
      </x:c>
      <x:c r="R6" s="44" t="str">
        <x:f t="shared" si="4"/>
        <x:v>Compare files and confirm duplicate in writing</x:v>
      </x:c>
    </x:row>
    <x:row r="7" ht="23.100000381469727" customHeight="1">
      <x:c r="A7" s="24" t="str">
        <x:f>'Raw Invoices'!A7</x:f>
        <x:v>INV-2026-006</x:v>
      </x:c>
      <x:c r="B7" s="14" t="str">
        <x:f>'Raw Invoices'!B7</x:f>
        <x:v>Sinar Print &amp; Pack</x:v>
      </x:c>
      <x:c r="C7" s="15" t="n">
        <x:f>'Raw Invoices'!C7</x:f>
        <x:v>46193</x:v>
      </x:c>
      <x:c r="D7" s="15" t="n">
        <x:f>'Raw Invoices'!D7</x:f>
        <x:v>46223</x:v>
      </x:c>
      <x:c r="E7" s="89" t="str">
        <x:f>'Raw Invoices'!E7</x:f>
        <x:v>IDR</x:v>
      </x:c>
      <x:c r="F7" s="16" t="n">
        <x:f>IF('Raw Invoices'!F7="","",'Raw Invoices'!F7)</x:f>
        <x:v>1275000</x:v>
      </x:c>
      <x:c r="G7" s="14" t="str">
        <x:f>IF('Raw Invoices'!G7="","",'Raw Invoices'!G7)</x:f>
        <x:v>PO-2406</x:v>
      </x:c>
      <x:c r="H7" s="27" t="str">
        <x:f>'Raw Invoices'!H7</x:f>
        <x:v>Pending</x:v>
      </x:c>
      <x:c r="I7" s="15" t="str">
        <x:f>IF('Raw Invoices'!I7="","",'Raw Invoices'!I7)</x:f>
      </x:c>
      <x:c r="J7" s="27" t="str">
        <x:f>'Raw Invoices'!J7</x:f>
        <x:v>Pending Approval</x:v>
      </x:c>
      <x:c r="K7" s="14" t="str">
        <x:f>IF('Raw Invoices'!K7="","",'Raw Invoices'!K7)</x:f>
        <x:v>INV-2026-006_V006.pdf</x:v>
      </x:c>
      <x:c r="L7" s="52" t="str">
        <x:f>IFERROR(VLOOKUP(UPPER(TRIM(B7)),'Vendor Mapping'!$A$13:$B$36,2,FALSE),"UNMAPPED")</x:f>
        <x:v>V006</x:v>
      </x:c>
      <x:c r="M7" s="53" t="str">
        <x:f>IF(L7="UNMAPPED","Needs Review",VLOOKUP(L7,'Vendor Mapping'!$A$2:$D$9,2,FALSE))</x:f>
        <x:v>Sinar Print &amp; Pack</x:v>
      </x:c>
      <x:c r="N7" s="56">
        <x:f t="shared" si="0"/>
        <x:v>1</x:v>
      </x:c>
      <x:c r="O7" s="56">
        <x:f t="shared" si="1"/>
        <x:v>2</x:v>
      </x:c>
      <x:c r="P7" s="45" t="str">
        <x:f t="shared" si="2"/>
        <x:v>Overdue - Written Follow-Up</x:v>
      </x:c>
      <x:c r="Q7" s="45" t="str">
        <x:f t="shared" si="3"/>
        <x:v>HIGH</x:v>
      </x:c>
      <x:c r="R7" s="46" t="str">
        <x:f t="shared" si="4"/>
        <x:v>Send email reminder to vendor; log response</x:v>
      </x:c>
    </x:row>
    <x:row r="8" ht="23.100000381469727" customHeight="1">
      <x:c r="A8" s="23" t="str">
        <x:f>'Raw Invoices'!A8</x:f>
        <x:v>INV-2026-007</x:v>
      </x:c>
      <x:c r="B8" s="9" t="str">
        <x:f>'Raw Invoices'!B8</x:f>
        <x:v>karya facility support</x:v>
      </x:c>
      <x:c r="C8" s="10" t="n">
        <x:f>'Raw Invoices'!C8</x:f>
        <x:v>46196</x:v>
      </x:c>
      <x:c r="D8" s="10" t="n">
        <x:f>'Raw Invoices'!D8</x:f>
        <x:v>46210</x:v>
      </x:c>
      <x:c r="E8" s="88" t="str">
        <x:f>'Raw Invoices'!E8</x:f>
        <x:v>IDR</x:v>
      </x:c>
      <x:c r="F8" s="11" t="n">
        <x:f>IF('Raw Invoices'!F8="","",'Raw Invoices'!F8)</x:f>
        <x:v>1412500</x:v>
      </x:c>
      <x:c r="G8" s="9" t="str">
        <x:f>IF('Raw Invoices'!G8="","",'Raw Invoices'!G8)</x:f>
        <x:v>PO-2407</x:v>
      </x:c>
      <x:c r="H8" s="26" t="str">
        <x:f>'Raw Invoices'!H8</x:f>
        <x:v>Paid</x:v>
      </x:c>
      <x:c r="I8" s="10" t="n">
        <x:f>IF('Raw Invoices'!I8="","",'Raw Invoices'!I8)</x:f>
        <x:v>46207</x:v>
      </x:c>
      <x:c r="J8" s="26" t="str">
        <x:f>'Raw Invoices'!J8</x:f>
        <x:v>Approved</x:v>
      </x:c>
      <x:c r="K8" s="9" t="str">
        <x:f>IF('Raw Invoices'!K8="","",'Raw Invoices'!K8)</x:f>
        <x:v>INV-2026-007_V007.pdf</x:v>
      </x:c>
      <x:c r="L8" s="50" t="str">
        <x:f>IFERROR(VLOOKUP(UPPER(TRIM(B8)),'Vendor Mapping'!$A$13:$B$36,2,FALSE),"UNMAPPED")</x:f>
        <x:v>V007</x:v>
      </x:c>
      <x:c r="M8" s="51" t="str">
        <x:f>IF(L8="UNMAPPED","Needs Review",VLOOKUP(L8,'Vendor Mapping'!$A$2:$D$9,2,FALSE))</x:f>
        <x:v>Karya Facility Support</x:v>
      </x:c>
      <x:c r="N8" s="55">
        <x:f t="shared" si="0"/>
        <x:v>1</x:v>
      </x:c>
      <x:c r="O8" s="55">
        <x:f t="shared" si="1"/>
        <x:v>0</x:v>
      </x:c>
      <x:c r="P8" s="43" t="str">
        <x:f t="shared" si="2"/>
        <x:v>Ready / Complete</x:v>
      </x:c>
      <x:c r="Q8" s="43" t="str">
        <x:f t="shared" si="3"/>
        <x:v>LOW</x:v>
      </x:c>
      <x:c r="R8" s="44" t="str">
        <x:f t="shared" si="4"/>
        <x:v>File and record complete</x:v>
      </x:c>
    </x:row>
    <x:row r="9" ht="23.100000381469727" customHeight="1">
      <x:c r="A9" s="24" t="str">
        <x:f>'Raw Invoices'!A9</x:f>
        <x:v>INV-2026-008</x:v>
      </x:c>
      <x:c r="B9" s="14" t="str">
        <x:f>'Raw Invoices'!B9</x:f>
        <x:v>MERIDIAN CLOUD TOOLS</x:v>
      </x:c>
      <x:c r="C9" s="15" t="n">
        <x:f>'Raw Invoices'!C9</x:f>
        <x:v>46175</x:v>
      </x:c>
      <x:c r="D9" s="15" t="n">
        <x:f>'Raw Invoices'!D9</x:f>
        <x:v>46205</x:v>
      </x:c>
      <x:c r="E9" s="89" t="str">
        <x:f>'Raw Invoices'!E9</x:f>
        <x:v>USD</x:v>
      </x:c>
      <x:c r="F9" s="16" t="n">
        <x:f>IF('Raw Invoices'!F9="","",'Raw Invoices'!F9)</x:f>
        <x:v>265</x:v>
      </x:c>
      <x:c r="G9" s="14" t="str">
        <x:f>IF('Raw Invoices'!G9="","",'Raw Invoices'!G9)</x:f>
      </x:c>
      <x:c r="H9" s="27" t="str">
        <x:f>'Raw Invoices'!H9</x:f>
        <x:v>Paid</x:v>
      </x:c>
      <x:c r="I9" s="15" t="n">
        <x:f>IF('Raw Invoices'!I9="","",'Raw Invoices'!I9)</x:f>
        <x:v>46201</x:v>
      </x:c>
      <x:c r="J9" s="27" t="str">
        <x:f>'Raw Invoices'!J9</x:f>
        <x:v>Approved</x:v>
      </x:c>
      <x:c r="K9" s="14" t="str">
        <x:f>IF('Raw Invoices'!K9="","",'Raw Invoices'!K9)</x:f>
        <x:v>INV-2026-008_V008.pdf</x:v>
      </x:c>
      <x:c r="L9" s="52" t="str">
        <x:f>IFERROR(VLOOKUP(UPPER(TRIM(B9)),'Vendor Mapping'!$A$13:$B$36,2,FALSE),"UNMAPPED")</x:f>
        <x:v>V008</x:v>
      </x:c>
      <x:c r="M9" s="53" t="str">
        <x:f>IF(L9="UNMAPPED","Needs Review",VLOOKUP(L9,'Vendor Mapping'!$A$2:$D$9,2,FALSE))</x:f>
        <x:v>Meridian Cloud Tools</x:v>
      </x:c>
      <x:c r="N9" s="56">
        <x:f t="shared" si="0"/>
        <x:v>1</x:v>
      </x:c>
      <x:c r="O9" s="56">
        <x:f t="shared" si="1"/>
        <x:v>1</x:v>
      </x:c>
      <x:c r="P9" s="45" t="str">
        <x:f t="shared" si="2"/>
        <x:v>Missing PO Number</x:v>
      </x:c>
      <x:c r="Q9" s="45" t="str">
        <x:f t="shared" si="3"/>
        <x:v>MEDIUM</x:v>
      </x:c>
      <x:c r="R9" s="46" t="str">
        <x:f t="shared" si="4"/>
        <x:v>Request missing/corrected document by email</x:v>
      </x:c>
    </x:row>
    <x:row r="10" ht="23.100000381469727" customHeight="1">
      <x:c r="A10" s="23" t="str">
        <x:f>'Raw Invoices'!A10</x:f>
        <x:v>INV-2026-009</x:v>
      </x:c>
      <x:c r="B10" s="9" t="str">
        <x:f>'Raw Invoices'!B10</x:f>
        <x:v>Nusantara Office Supply</x:v>
      </x:c>
      <x:c r="C10" s="10" t="n">
        <x:f>'Raw Invoices'!C10</x:f>
        <x:v>46178</x:v>
      </x:c>
      <x:c r="D10" s="10" t="n">
        <x:f>'Raw Invoices'!D10</x:f>
        <x:v>46208</x:v>
      </x:c>
      <x:c r="E10" s="88" t="str">
        <x:f>'Raw Invoices'!E10</x:f>
        <x:v>IDR</x:v>
      </x:c>
      <x:c r="F10" s="11" t="n">
        <x:f>IF('Raw Invoices'!F10="","",'Raw Invoices'!F10)</x:f>
        <x:v>1687500</x:v>
      </x:c>
      <x:c r="G10" s="9" t="str">
        <x:f>IF('Raw Invoices'!G10="","",'Raw Invoices'!G10)</x:f>
        <x:v>PO-2409</x:v>
      </x:c>
      <x:c r="H10" s="26" t="str">
        <x:f>'Raw Invoices'!H10</x:f>
        <x:v>Pending</x:v>
      </x:c>
      <x:c r="I10" s="10" t="str">
        <x:f>IF('Raw Invoices'!I10="","",'Raw Invoices'!I10)</x:f>
      </x:c>
      <x:c r="J10" s="26" t="str">
        <x:f>'Raw Invoices'!J10</x:f>
        <x:v>Approved</x:v>
      </x:c>
      <x:c r="K10" s="9" t="str">
        <x:f>IF('Raw Invoices'!K10="","",'Raw Invoices'!K10)</x:f>
        <x:v>INV-2026-009_V001.pdf</x:v>
      </x:c>
      <x:c r="L10" s="50" t="str">
        <x:f>IFERROR(VLOOKUP(UPPER(TRIM(B10)),'Vendor Mapping'!$A$13:$B$36,2,FALSE),"UNMAPPED")</x:f>
        <x:v>V001</x:v>
      </x:c>
      <x:c r="M10" s="51" t="str">
        <x:f>IF(L10="UNMAPPED","Needs Review",VLOOKUP(L10,'Vendor Mapping'!$A$2:$D$9,2,FALSE))</x:f>
        <x:v>Nusantara Office Supply</x:v>
      </x:c>
      <x:c r="N10" s="55">
        <x:f t="shared" si="0"/>
        <x:v>1</x:v>
      </x:c>
      <x:c r="O10" s="55">
        <x:f t="shared" si="1"/>
        <x:v>1</x:v>
      </x:c>
      <x:c r="P10" s="43" t="str">
        <x:f t="shared" si="2"/>
        <x:v>Overdue - Written Follow-Up</x:v>
      </x:c>
      <x:c r="Q10" s="43" t="str">
        <x:f t="shared" si="3"/>
        <x:v>HIGH</x:v>
      </x:c>
      <x:c r="R10" s="44" t="str">
        <x:f t="shared" si="4"/>
        <x:v>Send email reminder to vendor; log response</x:v>
      </x:c>
    </x:row>
    <x:row r="11" ht="23.100000381469727" customHeight="1">
      <x:c r="A11" s="24" t="str">
        <x:f>'Raw Invoices'!A11</x:f>
        <x:v>INV-2026-010</x:v>
      </x:c>
      <x:c r="B11" s="14" t="str">
        <x:f>'Raw Invoices'!B11</x:f>
        <x:v>Citra digital service</x:v>
      </x:c>
      <x:c r="C11" s="15" t="n">
        <x:f>'Raw Invoices'!C11</x:f>
        <x:v>46181</x:v>
      </x:c>
      <x:c r="D11" s="15" t="n">
        <x:f>'Raw Invoices'!D11</x:f>
        <x:v>46195</x:v>
      </x:c>
      <x:c r="E11" s="89" t="str">
        <x:f>'Raw Invoices'!E11</x:f>
        <x:v>IDR</x:v>
      </x:c>
      <x:c r="F11" s="16" t="n">
        <x:f>IF('Raw Invoices'!F11="","",'Raw Invoices'!F11)</x:f>
        <x:v>1825000</x:v>
      </x:c>
      <x:c r="G11" s="14" t="str">
        <x:f>IF('Raw Invoices'!G11="","",'Raw Invoices'!G11)</x:f>
        <x:v>PO-2410</x:v>
      </x:c>
      <x:c r="H11" s="27" t="str">
        <x:f>'Raw Invoices'!H11</x:f>
        <x:v>Unpaid</x:v>
      </x:c>
      <x:c r="I11" s="15" t="str">
        <x:f>IF('Raw Invoices'!I11="","",'Raw Invoices'!I11)</x:f>
      </x:c>
      <x:c r="J11" s="27" t="str">
        <x:f>'Raw Invoices'!J11</x:f>
        <x:v>Approved</x:v>
      </x:c>
      <x:c r="K11" s="14" t="str">
        <x:f>IF('Raw Invoices'!K11="","",'Raw Invoices'!K11)</x:f>
        <x:v>INV-2026-010_V002.pdf</x:v>
      </x:c>
      <x:c r="L11" s="52" t="str">
        <x:f>IFERROR(VLOOKUP(UPPER(TRIM(B11)),'Vendor Mapping'!$A$13:$B$36,2,FALSE),"UNMAPPED")</x:f>
        <x:v>V002</x:v>
      </x:c>
      <x:c r="M11" s="53" t="str">
        <x:f>IF(L11="UNMAPPED","Needs Review",VLOOKUP(L11,'Vendor Mapping'!$A$2:$D$9,2,FALSE))</x:f>
        <x:v>Citra Digital Services</x:v>
      </x:c>
      <x:c r="N11" s="56">
        <x:f t="shared" si="0"/>
        <x:v>1</x:v>
      </x:c>
      <x:c r="O11" s="56">
        <x:f t="shared" si="1"/>
        <x:v>1</x:v>
      </x:c>
      <x:c r="P11" s="45" t="str">
        <x:f t="shared" si="2"/>
        <x:v>Overdue - Written Follow-Up</x:v>
      </x:c>
      <x:c r="Q11" s="45" t="str">
        <x:f t="shared" si="3"/>
        <x:v>HIGH</x:v>
      </x:c>
      <x:c r="R11" s="46" t="str">
        <x:f t="shared" si="4"/>
        <x:v>Send email reminder to vendor; log response</x:v>
      </x:c>
    </x:row>
    <x:row r="12" ht="23.100000381469727" customHeight="1">
      <x:c r="A12" s="23" t="str">
        <x:f>'Raw Invoices'!A12</x:f>
        <x:v>INV-2026-011</x:v>
      </x:c>
      <x:c r="B12" s="9" t="str">
        <x:f>'Raw Invoices'!B12</x:f>
        <x:v>BRIGHTPATH SOFTWARE</x:v>
      </x:c>
      <x:c r="C12" s="10" t="n">
        <x:f>'Raw Invoices'!C12</x:f>
        <x:v>46184</x:v>
      </x:c>
      <x:c r="D12" s="10" t="n">
        <x:f>'Raw Invoices'!D12</x:f>
        <x:v>46214</x:v>
      </x:c>
      <x:c r="E12" s="88" t="str">
        <x:f>'Raw Invoices'!E12</x:f>
        <x:v>USD</x:v>
      </x:c>
      <x:c r="F12" s="11" t="n">
        <x:f>IF('Raw Invoices'!F12="","",'Raw Invoices'!F12)</x:f>
        <x:v>332.5</x:v>
      </x:c>
      <x:c r="G12" s="9" t="str">
        <x:f>IF('Raw Invoices'!G12="","",'Raw Invoices'!G12)</x:f>
        <x:v>PO-2411</x:v>
      </x:c>
      <x:c r="H12" s="26" t="str">
        <x:f>'Raw Invoices'!H12</x:f>
        <x:v>Unpaid</x:v>
      </x:c>
      <x:c r="I12" s="10" t="str">
        <x:f>IF('Raw Invoices'!I12="","",'Raw Invoices'!I12)</x:f>
      </x:c>
      <x:c r="J12" s="26" t="str">
        <x:f>'Raw Invoices'!J12</x:f>
        <x:v>Approved</x:v>
      </x:c>
      <x:c r="K12" s="9" t="str">
        <x:f>IF('Raw Invoices'!K12="","",'Raw Invoices'!K12)</x:f>
        <x:v>INV-2026-011_V003.pdf</x:v>
      </x:c>
      <x:c r="L12" s="50" t="str">
        <x:f>IFERROR(VLOOKUP(UPPER(TRIM(B12)),'Vendor Mapping'!$A$13:$B$36,2,FALSE),"UNMAPPED")</x:f>
        <x:v>V003</x:v>
      </x:c>
      <x:c r="M12" s="51" t="str">
        <x:f>IF(L12="UNMAPPED","Needs Review",VLOOKUP(L12,'Vendor Mapping'!$A$2:$D$9,2,FALSE))</x:f>
        <x:v>BrightPath Software</x:v>
      </x:c>
      <x:c r="N12" s="55">
        <x:f t="shared" si="0"/>
        <x:v>1</x:v>
      </x:c>
      <x:c r="O12" s="55">
        <x:f t="shared" si="1"/>
        <x:v>1</x:v>
      </x:c>
      <x:c r="P12" s="43" t="str">
        <x:f t="shared" si="2"/>
        <x:v>Overdue - Written Follow-Up</x:v>
      </x:c>
      <x:c r="Q12" s="43" t="str">
        <x:f t="shared" si="3"/>
        <x:v>HIGH</x:v>
      </x:c>
      <x:c r="R12" s="44" t="str">
        <x:f t="shared" si="4"/>
        <x:v>Send email reminder to vendor; log response</x:v>
      </x:c>
    </x:row>
    <x:row r="13" ht="23.100000381469727" customHeight="1">
      <x:c r="A13" s="24" t="str">
        <x:f>'Raw Invoices'!A13</x:f>
        <x:v>INV-2026-012</x:v>
      </x:c>
      <x:c r="B13" s="14" t="str">
        <x:f>'Raw Invoices'!B13</x:f>
        <x:v>Garuda Logistics</x:v>
      </x:c>
      <x:c r="C13" s="15" t="n">
        <x:f>'Raw Invoices'!C13</x:f>
        <x:v>46187</x:v>
      </x:c>
      <x:c r="D13" s="15" t="n">
        <x:f>'Raw Invoices'!D13</x:f>
        <x:v>46208</x:v>
      </x:c>
      <x:c r="E13" s="89" t="str">
        <x:f>'Raw Invoices'!E13</x:f>
        <x:v>IDR</x:v>
      </x:c>
      <x:c r="F13" s="16" t="n">
        <x:f>IF('Raw Invoices'!F13="","",'Raw Invoices'!F13)</x:f>
        <x:v>2100000</x:v>
      </x:c>
      <x:c r="G13" s="14" t="str">
        <x:f>IF('Raw Invoices'!G13="","",'Raw Invoices'!G13)</x:f>
        <x:v>PO-2412</x:v>
      </x:c>
      <x:c r="H13" s="27" t="str">
        <x:f>'Raw Invoices'!H13</x:f>
        <x:v>Paid</x:v>
      </x:c>
      <x:c r="I13" s="15" t="n">
        <x:f>IF('Raw Invoices'!I13="","",'Raw Invoices'!I13)</x:f>
        <x:v>46205</x:v>
      </x:c>
      <x:c r="J13" s="27" t="str">
        <x:f>'Raw Invoices'!J13</x:f>
        <x:v>Pending Approval</x:v>
      </x:c>
      <x:c r="K13" s="14" t="str">
        <x:f>IF('Raw Invoices'!K13="","",'Raw Invoices'!K13)</x:f>
        <x:v>INV-2026-012_V004.pdf</x:v>
      </x:c>
      <x:c r="L13" s="52" t="str">
        <x:f>IFERROR(VLOOKUP(UPPER(TRIM(B13)),'Vendor Mapping'!$A$13:$B$36,2,FALSE),"UNMAPPED")</x:f>
        <x:v>V004</x:v>
      </x:c>
      <x:c r="M13" s="53" t="str">
        <x:f>IF(L13="UNMAPPED","Needs Review",VLOOKUP(L13,'Vendor Mapping'!$A$2:$D$9,2,FALSE))</x:f>
        <x:v>Garuda Logistics</x:v>
      </x:c>
      <x:c r="N13" s="56">
        <x:f t="shared" si="0"/>
        <x:v>1</x:v>
      </x:c>
      <x:c r="O13" s="56">
        <x:f t="shared" si="1"/>
        <x:v>1</x:v>
      </x:c>
      <x:c r="P13" s="45" t="str">
        <x:f t="shared" si="2"/>
        <x:v>Pending Written Approval</x:v>
      </x:c>
      <x:c r="Q13" s="45" t="str">
        <x:f t="shared" si="3"/>
        <x:v>MEDIUM</x:v>
      </x:c>
      <x:c r="R13" s="46" t="str">
        <x:f t="shared" si="4"/>
        <x:v>Send approval request by email/chat</x:v>
      </x:c>
    </x:row>
    <x:row r="14" ht="23.100000381469727" customHeight="1">
      <x:c r="A14" s="23" t="str">
        <x:f>'Raw Invoices'!A14</x:f>
        <x:v>INV-2026-013</x:v>
      </x:c>
      <x:c r="B14" s="9" t="str">
        <x:f>'Raw Invoices'!B14</x:f>
        <x:v>atlas workspace</x:v>
      </x:c>
      <x:c r="C14" s="10" t="n">
        <x:f>'Raw Invoices'!C14</x:f>
        <x:v>46190</x:v>
      </x:c>
      <x:c r="D14" s="10" t="n">
        <x:f>'Raw Invoices'!D14</x:f>
        <x:v>46204</x:v>
      </x:c>
      <x:c r="E14" s="88" t="str">
        <x:f>'Raw Invoices'!E14</x:f>
        <x:v>USD</x:v>
      </x:c>
      <x:c r="F14" s="11" t="n">
        <x:f>IF('Raw Invoices'!F14="","",'Raw Invoices'!F14)</x:f>
        <x:v>377.5</x:v>
      </x:c>
      <x:c r="G14" s="9" t="str">
        <x:f>IF('Raw Invoices'!G14="","",'Raw Invoices'!G14)</x:f>
        <x:v>PO-2413</x:v>
      </x:c>
      <x:c r="H14" s="26" t="str">
        <x:f>'Raw Invoices'!H14</x:f>
        <x:v>Unpaid</x:v>
      </x:c>
      <x:c r="I14" s="10" t="str">
        <x:f>IF('Raw Invoices'!I14="","",'Raw Invoices'!I14)</x:f>
      </x:c>
      <x:c r="J14" s="26" t="str">
        <x:f>'Raw Invoices'!J14</x:f>
        <x:v>Approved</x:v>
      </x:c>
      <x:c r="K14" s="9" t="str">
        <x:f>IF('Raw Invoices'!K14="","",'Raw Invoices'!K14)</x:f>
        <x:v>INV-2026-013_V005.pdf</x:v>
      </x:c>
      <x:c r="L14" s="50" t="str">
        <x:f>IFERROR(VLOOKUP(UPPER(TRIM(B14)),'Vendor Mapping'!$A$13:$B$36,2,FALSE),"UNMAPPED")</x:f>
        <x:v>V005</x:v>
      </x:c>
      <x:c r="M14" s="51" t="str">
        <x:f>IF(L14="UNMAPPED","Needs Review",VLOOKUP(L14,'Vendor Mapping'!$A$2:$D$9,2,FALSE))</x:f>
        <x:v>Atlas Workspace</x:v>
      </x:c>
      <x:c r="N14" s="55">
        <x:f t="shared" si="0"/>
        <x:v>1</x:v>
      </x:c>
      <x:c r="O14" s="55">
        <x:f t="shared" si="1"/>
        <x:v>1</x:v>
      </x:c>
      <x:c r="P14" s="43" t="str">
        <x:f t="shared" si="2"/>
        <x:v>Overdue - Written Follow-Up</x:v>
      </x:c>
      <x:c r="Q14" s="43" t="str">
        <x:f t="shared" si="3"/>
        <x:v>HIGH</x:v>
      </x:c>
      <x:c r="R14" s="44" t="str">
        <x:f t="shared" si="4"/>
        <x:v>Send email reminder to vendor; log response</x:v>
      </x:c>
    </x:row>
    <x:row r="15" ht="23.100000381469727" customHeight="1">
      <x:c r="A15" s="24" t="str">
        <x:f>'Raw Invoices'!A15</x:f>
        <x:v>INV-2026-014</x:v>
      </x:c>
      <x:c r="B15" s="14" t="str">
        <x:f>'Raw Invoices'!B15</x:f>
        <x:v>SINAR PRINT &amp; PACK</x:v>
      </x:c>
      <x:c r="C15" s="15" t="n">
        <x:f>'Raw Invoices'!C15</x:f>
        <x:v>46193</x:v>
      </x:c>
      <x:c r="D15" s="15" t="n">
        <x:f>'Raw Invoices'!D15</x:f>
        <x:v>46223</x:v>
      </x:c>
      <x:c r="E15" s="89" t="str">
        <x:f>'Raw Invoices'!E15</x:f>
        <x:v>IDR</x:v>
      </x:c>
      <x:c r="F15" s="16" t="n">
        <x:f>IF('Raw Invoices'!F15="","",'Raw Invoices'!F15)</x:f>
        <x:v>2375000</x:v>
      </x:c>
      <x:c r="G15" s="14" t="str">
        <x:f>IF('Raw Invoices'!G15="","",'Raw Invoices'!G15)</x:f>
        <x:v>PO-2414</x:v>
      </x:c>
      <x:c r="H15" s="27" t="str">
        <x:f>'Raw Invoices'!H15</x:f>
        <x:v>Paid</x:v>
      </x:c>
      <x:c r="I15" s="15" t="n">
        <x:f>IF('Raw Invoices'!I15="","",'Raw Invoices'!I15)</x:f>
        <x:v>46218</x:v>
      </x:c>
      <x:c r="J15" s="27" t="str">
        <x:f>'Raw Invoices'!J15</x:f>
        <x:v>Approved</x:v>
      </x:c>
      <x:c r="K15" s="14" t="str">
        <x:f>IF('Raw Invoices'!K15="","",'Raw Invoices'!K15)</x:f>
        <x:v>INV-2026-014_V006.pdf</x:v>
      </x:c>
      <x:c r="L15" s="52" t="str">
        <x:f>IFERROR(VLOOKUP(UPPER(TRIM(B15)),'Vendor Mapping'!$A$13:$B$36,2,FALSE),"UNMAPPED")</x:f>
        <x:v>V006</x:v>
      </x:c>
      <x:c r="M15" s="53" t="str">
        <x:f>IF(L15="UNMAPPED","Needs Review",VLOOKUP(L15,'Vendor Mapping'!$A$2:$D$9,2,FALSE))</x:f>
        <x:v>Sinar Print &amp; Pack</x:v>
      </x:c>
      <x:c r="N15" s="56">
        <x:f t="shared" si="0"/>
        <x:v>1</x:v>
      </x:c>
      <x:c r="O15" s="56">
        <x:f t="shared" si="1"/>
        <x:v>0</x:v>
      </x:c>
      <x:c r="P15" s="45" t="str">
        <x:f t="shared" si="2"/>
        <x:v>Ready / Complete</x:v>
      </x:c>
      <x:c r="Q15" s="45" t="str">
        <x:f t="shared" si="3"/>
        <x:v>LOW</x:v>
      </x:c>
      <x:c r="R15" s="46" t="str">
        <x:f t="shared" si="4"/>
        <x:v>File and record complete</x:v>
      </x:c>
    </x:row>
    <x:row r="16" ht="23.100000381469727" customHeight="1">
      <x:c r="A16" s="23" t="str">
        <x:f>'Raw Invoices'!A16</x:f>
        <x:v>INV-2026-005</x:v>
      </x:c>
      <x:c r="B16" s="9" t="str">
        <x:f>'Raw Invoices'!B16</x:f>
        <x:v>Karya Facility Support</x:v>
      </x:c>
      <x:c r="C16" s="10" t="n">
        <x:f>'Raw Invoices'!C16</x:f>
        <x:v>46196</x:v>
      </x:c>
      <x:c r="D16" s="10" t="n">
        <x:f>'Raw Invoices'!D16</x:f>
        <x:v>46210</x:v>
      </x:c>
      <x:c r="E16" s="88" t="str">
        <x:f>'Raw Invoices'!E16</x:f>
        <x:v>IDR</x:v>
      </x:c>
      <x:c r="F16" s="11" t="n">
        <x:f>IF('Raw Invoices'!F16="","",'Raw Invoices'!F16)</x:f>
        <x:v>2512500</x:v>
      </x:c>
      <x:c r="G16" s="9" t="str">
        <x:f>IF('Raw Invoices'!G16="","",'Raw Invoices'!G16)</x:f>
        <x:v>PO-2415</x:v>
      </x:c>
      <x:c r="H16" s="26" t="str">
        <x:f>'Raw Invoices'!H16</x:f>
        <x:v>Pending</x:v>
      </x:c>
      <x:c r="I16" s="10" t="str">
        <x:f>IF('Raw Invoices'!I16="","",'Raw Invoices'!I16)</x:f>
      </x:c>
      <x:c r="J16" s="26" t="str">
        <x:f>'Raw Invoices'!J16</x:f>
        <x:v>Approved</x:v>
      </x:c>
      <x:c r="K16" s="9" t="str">
        <x:f>IF('Raw Invoices'!K16="","",'Raw Invoices'!K16)</x:f>
        <x:v>INV-2026-015_V007.pdf</x:v>
      </x:c>
      <x:c r="L16" s="50" t="str">
        <x:f>IFERROR(VLOOKUP(UPPER(TRIM(B16)),'Vendor Mapping'!$A$13:$B$36,2,FALSE),"UNMAPPED")</x:f>
        <x:v>V007</x:v>
      </x:c>
      <x:c r="M16" s="51" t="str">
        <x:f>IF(L16="UNMAPPED","Needs Review",VLOOKUP(L16,'Vendor Mapping'!$A$2:$D$9,2,FALSE))</x:f>
        <x:v>Karya Facility Support</x:v>
      </x:c>
      <x:c r="N16" s="55">
        <x:f t="shared" si="0"/>
        <x:v>3</x:v>
      </x:c>
      <x:c r="O16" s="55">
        <x:f t="shared" si="1"/>
        <x:v>2</x:v>
      </x:c>
      <x:c r="P16" s="43" t="str">
        <x:f t="shared" si="2"/>
        <x:v>Duplicate Invoice ID</x:v>
      </x:c>
      <x:c r="Q16" s="43" t="str">
        <x:f t="shared" si="3"/>
        <x:v>HIGH</x:v>
      </x:c>
      <x:c r="R16" s="44" t="str">
        <x:f t="shared" si="4"/>
        <x:v>Compare files and confirm duplicate in writing</x:v>
      </x:c>
    </x:row>
    <x:row r="17" ht="23.100000381469727" customHeight="1">
      <x:c r="A17" s="24" t="str">
        <x:f>'Raw Invoices'!A17</x:f>
        <x:v>INV-2026-016</x:v>
      </x:c>
      <x:c r="B17" s="14" t="str">
        <x:f>'Raw Invoices'!B17</x:f>
        <x:v>meridian cloud tools</x:v>
      </x:c>
      <x:c r="C17" s="15" t="n">
        <x:f>'Raw Invoices'!C17</x:f>
        <x:v>46175</x:v>
      </x:c>
      <x:c r="D17" s="15" t="n">
        <x:f>'Raw Invoices'!D17</x:f>
        <x:v>46205</x:v>
      </x:c>
      <x:c r="E17" s="89" t="str">
        <x:f>'Raw Invoices'!E17</x:f>
        <x:v>USD</x:v>
      </x:c>
      <x:c r="F17" s="16" t="n">
        <x:f>IF('Raw Invoices'!F17="","",'Raw Invoices'!F17)</x:f>
        <x:v>445</x:v>
      </x:c>
      <x:c r="G17" s="14" t="str">
        <x:f>IF('Raw Invoices'!G17="","",'Raw Invoices'!G17)</x:f>
        <x:v>PO-2416</x:v>
      </x:c>
      <x:c r="H17" s="27" t="str">
        <x:f>'Raw Invoices'!H17</x:f>
        <x:v>Paid</x:v>
      </x:c>
      <x:c r="I17" s="15" t="n">
        <x:f>IF('Raw Invoices'!I17="","",'Raw Invoices'!I17)</x:f>
        <x:v>46203</x:v>
      </x:c>
      <x:c r="J17" s="27" t="str">
        <x:f>'Raw Invoices'!J17</x:f>
        <x:v>Approved</x:v>
      </x:c>
      <x:c r="K17" s="14" t="str">
        <x:f>IF('Raw Invoices'!K17="","",'Raw Invoices'!K17)</x:f>
        <x:v>INV-2026-016_V008.pdf</x:v>
      </x:c>
      <x:c r="L17" s="52" t="str">
        <x:f>IFERROR(VLOOKUP(UPPER(TRIM(B17)),'Vendor Mapping'!$A$13:$B$36,2,FALSE),"UNMAPPED")</x:f>
        <x:v>V008</x:v>
      </x:c>
      <x:c r="M17" s="53" t="str">
        <x:f>IF(L17="UNMAPPED","Needs Review",VLOOKUP(L17,'Vendor Mapping'!$A$2:$D$9,2,FALSE))</x:f>
        <x:v>Meridian Cloud Tools</x:v>
      </x:c>
      <x:c r="N17" s="56">
        <x:f t="shared" si="0"/>
        <x:v>1</x:v>
      </x:c>
      <x:c r="O17" s="56">
        <x:f t="shared" si="1"/>
        <x:v>0</x:v>
      </x:c>
      <x:c r="P17" s="45" t="str">
        <x:f t="shared" si="2"/>
        <x:v>Ready / Complete</x:v>
      </x:c>
      <x:c r="Q17" s="45" t="str">
        <x:f t="shared" si="3"/>
        <x:v>LOW</x:v>
      </x:c>
      <x:c r="R17" s="46" t="str">
        <x:f t="shared" si="4"/>
        <x:v>File and record complete</x:v>
      </x:c>
    </x:row>
    <x:row r="18" ht="23.100000381469727" customHeight="1">
      <x:c r="A18" s="23" t="str">
        <x:f>'Raw Invoices'!A18</x:f>
        <x:v>INV-2026-017</x:v>
      </x:c>
      <x:c r="B18" s="9" t="str">
        <x:f>'Raw Invoices'!B18</x:f>
        <x:v>NUSANTARA OFFICE SUPPLY</x:v>
      </x:c>
      <x:c r="C18" s="10" t="n">
        <x:f>'Raw Invoices'!C18</x:f>
        <x:v>46208</x:v>
      </x:c>
      <x:c r="D18" s="10" t="n">
        <x:f>'Raw Invoices'!D18</x:f>
        <x:v>46238</x:v>
      </x:c>
      <x:c r="E18" s="88" t="str">
        <x:f>'Raw Invoices'!E18</x:f>
        <x:v>IDR</x:v>
      </x:c>
      <x:c r="F18" s="11" t="n">
        <x:f>IF('Raw Invoices'!F18="","",'Raw Invoices'!F18)</x:f>
        <x:v>2787500</x:v>
      </x:c>
      <x:c r="G18" s="9" t="str">
        <x:f>IF('Raw Invoices'!G18="","",'Raw Invoices'!G18)</x:f>
        <x:v>PO-2417</x:v>
      </x:c>
      <x:c r="H18" s="26" t="str">
        <x:f>'Raw Invoices'!H18</x:f>
        <x:v>Unpaid</x:v>
      </x:c>
      <x:c r="I18" s="10" t="str">
        <x:f>IF('Raw Invoices'!I18="","",'Raw Invoices'!I18)</x:f>
      </x:c>
      <x:c r="J18" s="26" t="str">
        <x:f>'Raw Invoices'!J18</x:f>
        <x:v>Approved</x:v>
      </x:c>
      <x:c r="K18" s="9" t="str">
        <x:f>IF('Raw Invoices'!K18="","",'Raw Invoices'!K18)</x:f>
        <x:v>INV-2026-017_V001.pdf</x:v>
      </x:c>
      <x:c r="L18" s="50" t="str">
        <x:f>IFERROR(VLOOKUP(UPPER(TRIM(B18)),'Vendor Mapping'!$A$13:$B$36,2,FALSE),"UNMAPPED")</x:f>
        <x:v>V001</x:v>
      </x:c>
      <x:c r="M18" s="51" t="str">
        <x:f>IF(L18="UNMAPPED","Needs Review",VLOOKUP(L18,'Vendor Mapping'!$A$2:$D$9,2,FALSE))</x:f>
        <x:v>Nusantara Office Supply</x:v>
      </x:c>
      <x:c r="N18" s="55">
        <x:f t="shared" si="0"/>
        <x:v>1</x:v>
      </x:c>
      <x:c r="O18" s="55">
        <x:f t="shared" si="1"/>
        <x:v>1</x:v>
      </x:c>
      <x:c r="P18" s="43" t="str">
        <x:f t="shared" si="2"/>
        <x:v>Overdue - Written Follow-Up</x:v>
      </x:c>
      <x:c r="Q18" s="43" t="str">
        <x:f t="shared" si="3"/>
        <x:v>HIGH</x:v>
      </x:c>
      <x:c r="R18" s="44" t="str">
        <x:f t="shared" si="4"/>
        <x:v>Send email reminder to vendor; log response</x:v>
      </x:c>
    </x:row>
    <x:row r="19" ht="23.100000381469727" customHeight="1">
      <x:c r="A19" s="24" t="str">
        <x:f>'Raw Invoices'!A19</x:f>
        <x:v>INV-2026-018</x:v>
      </x:c>
      <x:c r="B19" s="14" t="str">
        <x:f>'Raw Invoices'!B19</x:f>
        <x:v>Citra Digital Services</x:v>
      </x:c>
      <x:c r="C19" s="15" t="n">
        <x:f>'Raw Invoices'!C19</x:f>
        <x:v>46211</x:v>
      </x:c>
      <x:c r="D19" s="15" t="n">
        <x:f>'Raw Invoices'!D19</x:f>
        <x:v>46225</x:v>
      </x:c>
      <x:c r="E19" s="89" t="str">
        <x:f>'Raw Invoices'!E19</x:f>
        <x:v>IDR</x:v>
      </x:c>
      <x:c r="F19" s="16" t="n">
        <x:f>IF('Raw Invoices'!F19="","",'Raw Invoices'!F19)</x:f>
        <x:v>2925000</x:v>
      </x:c>
      <x:c r="G19" s="14" t="str">
        <x:f>IF('Raw Invoices'!G19="","",'Raw Invoices'!G19)</x:f>
        <x:v>PO-2418</x:v>
      </x:c>
      <x:c r="H19" s="27" t="str">
        <x:f>'Raw Invoices'!H19</x:f>
        <x:v>Pending</x:v>
      </x:c>
      <x:c r="I19" s="15" t="str">
        <x:f>IF('Raw Invoices'!I19="","",'Raw Invoices'!I19)</x:f>
      </x:c>
      <x:c r="J19" s="27" t="str">
        <x:f>'Raw Invoices'!J19</x:f>
        <x:v>Pending Approval</x:v>
      </x:c>
      <x:c r="K19" s="14" t="str">
        <x:f>IF('Raw Invoices'!K19="","",'Raw Invoices'!K19)</x:f>
        <x:v>INV-2026-018_V002.pdf</x:v>
      </x:c>
      <x:c r="L19" s="52" t="str">
        <x:f>IFERROR(VLOOKUP(UPPER(TRIM(B19)),'Vendor Mapping'!$A$13:$B$36,2,FALSE),"UNMAPPED")</x:f>
        <x:v>V002</x:v>
      </x:c>
      <x:c r="M19" s="53" t="str">
        <x:f>IF(L19="UNMAPPED","Needs Review",VLOOKUP(L19,'Vendor Mapping'!$A$2:$D$9,2,FALSE))</x:f>
        <x:v>Citra Digital Services</x:v>
      </x:c>
      <x:c r="N19" s="56">
        <x:f t="shared" si="0"/>
        <x:v>1</x:v>
      </x:c>
      <x:c r="O19" s="56">
        <x:f t="shared" si="1"/>
        <x:v>2</x:v>
      </x:c>
      <x:c r="P19" s="45" t="str">
        <x:f t="shared" si="2"/>
        <x:v>Overdue - Written Follow-Up</x:v>
      </x:c>
      <x:c r="Q19" s="45" t="str">
        <x:f t="shared" si="3"/>
        <x:v>HIGH</x:v>
      </x:c>
      <x:c r="R19" s="46" t="str">
        <x:f t="shared" si="4"/>
        <x:v>Send email reminder to vendor; log response</x:v>
      </x:c>
    </x:row>
    <x:row r="20" ht="23.100000381469727" customHeight="1">
      <x:c r="A20" s="23" t="str">
        <x:f>'Raw Invoices'!A20</x:f>
        <x:v>INV-2026-019</x:v>
      </x:c>
      <x:c r="B20" s="9" t="str">
        <x:f>'Raw Invoices'!B20</x:f>
        <x:v>brightpath software</x:v>
      </x:c>
      <x:c r="C20" s="10" t="n">
        <x:f>'Raw Invoices'!C20</x:f>
        <x:v>46214</x:v>
      </x:c>
      <x:c r="D20" s="10" t="n">
        <x:f>'Raw Invoices'!D20</x:f>
        <x:v>46244</x:v>
      </x:c>
      <x:c r="E20" s="88" t="str">
        <x:f>'Raw Invoices'!E20</x:f>
        <x:v>USD</x:v>
      </x:c>
      <x:c r="F20" s="11" t="n">
        <x:f>IF('Raw Invoices'!F20="","",'Raw Invoices'!F20)</x:f>
        <x:v>-250000</x:v>
      </x:c>
      <x:c r="G20" s="9" t="str">
        <x:f>IF('Raw Invoices'!G20="","",'Raw Invoices'!G20)</x:f>
        <x:v>PO-2419</x:v>
      </x:c>
      <x:c r="H20" s="26" t="str">
        <x:f>'Raw Invoices'!H20</x:f>
        <x:v>Unpaid</x:v>
      </x:c>
      <x:c r="I20" s="10" t="str">
        <x:f>IF('Raw Invoices'!I20="","",'Raw Invoices'!I20)</x:f>
      </x:c>
      <x:c r="J20" s="26" t="str">
        <x:f>'Raw Invoices'!J20</x:f>
        <x:v>Approved</x:v>
      </x:c>
      <x:c r="K20" s="9" t="str">
        <x:f>IF('Raw Invoices'!K20="","",'Raw Invoices'!K20)</x:f>
        <x:v>INV-2026-019_V003.pdf</x:v>
      </x:c>
      <x:c r="L20" s="50" t="str">
        <x:f>IFERROR(VLOOKUP(UPPER(TRIM(B20)),'Vendor Mapping'!$A$13:$B$36,2,FALSE),"UNMAPPED")</x:f>
        <x:v>V003</x:v>
      </x:c>
      <x:c r="M20" s="51" t="str">
        <x:f>IF(L20="UNMAPPED","Needs Review",VLOOKUP(L20,'Vendor Mapping'!$A$2:$D$9,2,FALSE))</x:f>
        <x:v>BrightPath Software</x:v>
      </x:c>
      <x:c r="N20" s="55">
        <x:f t="shared" si="0"/>
        <x:v>1</x:v>
      </x:c>
      <x:c r="O20" s="55">
        <x:f t="shared" si="1"/>
        <x:v>2</x:v>
      </x:c>
      <x:c r="P20" s="43" t="str">
        <x:f t="shared" si="2"/>
        <x:v>Invalid Amount</x:v>
      </x:c>
      <x:c r="Q20" s="43" t="str">
        <x:f t="shared" si="3"/>
        <x:v>HIGH</x:v>
      </x:c>
      <x:c r="R20" s="44" t="str">
        <x:f t="shared" si="4"/>
        <x:v>Request missing/corrected document by email</x:v>
      </x:c>
    </x:row>
    <x:row r="21" ht="23.100000381469727" customHeight="1">
      <x:c r="A21" s="24" t="str">
        <x:f>'Raw Invoices'!A21</x:f>
        <x:v>INV-2026-020</x:v>
      </x:c>
      <x:c r="B21" s="14" t="str">
        <x:f>'Raw Invoices'!B21</x:f>
        <x:v>GARUDA LOGISTICS</x:v>
      </x:c>
      <x:c r="C21" s="15" t="n">
        <x:f>'Raw Invoices'!C21</x:f>
        <x:v>46217</x:v>
      </x:c>
      <x:c r="D21" s="15" t="n">
        <x:f>'Raw Invoices'!D21</x:f>
        <x:v>46238</x:v>
      </x:c>
      <x:c r="E21" s="89" t="str">
        <x:f>'Raw Invoices'!E21</x:f>
        <x:v>IDR</x:v>
      </x:c>
      <x:c r="F21" s="16" t="n">
        <x:f>IF('Raw Invoices'!F21="","",'Raw Invoices'!F21)</x:f>
        <x:v>3200000</x:v>
      </x:c>
      <x:c r="G21" s="14" t="str">
        <x:f>IF('Raw Invoices'!G21="","",'Raw Invoices'!G21)</x:f>
        <x:v>PO-2420</x:v>
      </x:c>
      <x:c r="H21" s="27" t="str">
        <x:f>'Raw Invoices'!H21</x:f>
        <x:v>Paid</x:v>
      </x:c>
      <x:c r="I21" s="15" t="n">
        <x:f>IF('Raw Invoices'!I21="","",'Raw Invoices'!I21)</x:f>
        <x:v>46237</x:v>
      </x:c>
      <x:c r="J21" s="27" t="str">
        <x:f>'Raw Invoices'!J21</x:f>
        <x:v>Approved</x:v>
      </x:c>
      <x:c r="K21" s="14" t="str">
        <x:f>IF('Raw Invoices'!K21="","",'Raw Invoices'!K21)</x:f>
        <x:v>INV-2026-020_V004.pdf</x:v>
      </x:c>
      <x:c r="L21" s="52" t="str">
        <x:f>IFERROR(VLOOKUP(UPPER(TRIM(B21)),'Vendor Mapping'!$A$13:$B$36,2,FALSE),"UNMAPPED")</x:f>
        <x:v>V004</x:v>
      </x:c>
      <x:c r="M21" s="53" t="str">
        <x:f>IF(L21="UNMAPPED","Needs Review",VLOOKUP(L21,'Vendor Mapping'!$A$2:$D$9,2,FALSE))</x:f>
        <x:v>Garuda Logistics</x:v>
      </x:c>
      <x:c r="N21" s="56">
        <x:f t="shared" si="0"/>
        <x:v>1</x:v>
      </x:c>
      <x:c r="O21" s="56">
        <x:f t="shared" si="1"/>
        <x:v>0</x:v>
      </x:c>
      <x:c r="P21" s="45" t="str">
        <x:f t="shared" si="2"/>
        <x:v>Ready / Complete</x:v>
      </x:c>
      <x:c r="Q21" s="45" t="str">
        <x:f t="shared" si="3"/>
        <x:v>LOW</x:v>
      </x:c>
      <x:c r="R21" s="46" t="str">
        <x:f t="shared" si="4"/>
        <x:v>File and record complete</x:v>
      </x:c>
    </x:row>
    <x:row r="22" ht="23.100000381469727" customHeight="1">
      <x:c r="A22" s="23" t="str">
        <x:f>'Raw Invoices'!A22</x:f>
        <x:v>INV-2026-021</x:v>
      </x:c>
      <x:c r="B22" s="9" t="str">
        <x:f>'Raw Invoices'!B22</x:f>
        <x:v>Atlas Workspace</x:v>
      </x:c>
      <x:c r="C22" s="10" t="n">
        <x:f>'Raw Invoices'!C22</x:f>
        <x:v>46220</x:v>
      </x:c>
      <x:c r="D22" s="10" t="n">
        <x:f>'Raw Invoices'!D22</x:f>
        <x:v>46234</x:v>
      </x:c>
      <x:c r="E22" s="88" t="str">
        <x:f>'Raw Invoices'!E22</x:f>
        <x:v>USD</x:v>
      </x:c>
      <x:c r="F22" s="11" t="n">
        <x:f>IF('Raw Invoices'!F22="","",'Raw Invoices'!F22)</x:f>
        <x:v>557.5</x:v>
      </x:c>
      <x:c r="G22" s="9" t="str">
        <x:f>IF('Raw Invoices'!G22="","",'Raw Invoices'!G22)</x:f>
        <x:v>PO-2421</x:v>
      </x:c>
      <x:c r="H22" s="26" t="str">
        <x:f>'Raw Invoices'!H22</x:f>
        <x:v>Paid</x:v>
      </x:c>
      <x:c r="I22" s="10" t="n">
        <x:f>IF('Raw Invoices'!I22="","",'Raw Invoices'!I22)</x:f>
        <x:v>46232</x:v>
      </x:c>
      <x:c r="J22" s="26" t="str">
        <x:f>'Raw Invoices'!J22</x:f>
        <x:v>Approved</x:v>
      </x:c>
      <x:c r="K22" s="9" t="str">
        <x:f>IF('Raw Invoices'!K22="","",'Raw Invoices'!K22)</x:f>
        <x:v>INV-2026-021_V005.pdf</x:v>
      </x:c>
      <x:c r="L22" s="50" t="str">
        <x:f>IFERROR(VLOOKUP(UPPER(TRIM(B22)),'Vendor Mapping'!$A$13:$B$36,2,FALSE),"UNMAPPED")</x:f>
        <x:v>V005</x:v>
      </x:c>
      <x:c r="M22" s="51" t="str">
        <x:f>IF(L22="UNMAPPED","Needs Review",VLOOKUP(L22,'Vendor Mapping'!$A$2:$D$9,2,FALSE))</x:f>
        <x:v>Atlas Workspace</x:v>
      </x:c>
      <x:c r="N22" s="55">
        <x:f t="shared" si="0"/>
        <x:v>1</x:v>
      </x:c>
      <x:c r="O22" s="55">
        <x:f t="shared" si="1"/>
        <x:v>0</x:v>
      </x:c>
      <x:c r="P22" s="43" t="str">
        <x:f t="shared" si="2"/>
        <x:v>Ready / Complete</x:v>
      </x:c>
      <x:c r="Q22" s="43" t="str">
        <x:f t="shared" si="3"/>
        <x:v>LOW</x:v>
      </x:c>
      <x:c r="R22" s="44" t="str">
        <x:f t="shared" si="4"/>
        <x:v>File and record complete</x:v>
      </x:c>
    </x:row>
    <x:row r="23" ht="23.100000381469727" customHeight="1">
      <x:c r="A23" s="24" t="str">
        <x:f>'Raw Invoices'!A23</x:f>
        <x:v>INV-2026-022</x:v>
      </x:c>
      <x:c r="B23" s="14" t="str">
        <x:f>'Raw Invoices'!B23</x:f>
        <x:v>Sinar Print and Pack</x:v>
      </x:c>
      <x:c r="C23" s="15" t="n">
        <x:f>'Raw Invoices'!C23</x:f>
        <x:v>46223</x:v>
      </x:c>
      <x:c r="D23" s="15" t="n">
        <x:f>'Raw Invoices'!D23</x:f>
        <x:v>46253</x:v>
      </x:c>
      <x:c r="E23" s="89" t="str">
        <x:f>'Raw Invoices'!E23</x:f>
        <x:v>IDR</x:v>
      </x:c>
      <x:c r="F23" s="16" t="n">
        <x:f>IF('Raw Invoices'!F23="","",'Raw Invoices'!F23)</x:f>
        <x:v>3475000</x:v>
      </x:c>
      <x:c r="G23" s="14" t="str">
        <x:f>IF('Raw Invoices'!G23="","",'Raw Invoices'!G23)</x:f>
        <x:v>PO-2422</x:v>
      </x:c>
      <x:c r="H23" s="27" t="str">
        <x:f>'Raw Invoices'!H23</x:f>
        <x:v>Unpaid</x:v>
      </x:c>
      <x:c r="I23" s="15" t="str">
        <x:f>IF('Raw Invoices'!I23="","",'Raw Invoices'!I23)</x:f>
      </x:c>
      <x:c r="J23" s="27" t="str">
        <x:f>'Raw Invoices'!J23</x:f>
        <x:v>Approved</x:v>
      </x:c>
      <x:c r="K23" s="14" t="str">
        <x:f>IF('Raw Invoices'!K23="","",'Raw Invoices'!K23)</x:f>
        <x:v>INV-2026-022_V006.pdf</x:v>
      </x:c>
      <x:c r="L23" s="52" t="str">
        <x:f>IFERROR(VLOOKUP(UPPER(TRIM(B23)),'Vendor Mapping'!$A$13:$B$36,2,FALSE),"UNMAPPED")</x:f>
        <x:v>V006</x:v>
      </x:c>
      <x:c r="M23" s="53" t="str">
        <x:f>IF(L23="UNMAPPED","Needs Review",VLOOKUP(L23,'Vendor Mapping'!$A$2:$D$9,2,FALSE))</x:f>
        <x:v>Sinar Print &amp; Pack</x:v>
      </x:c>
      <x:c r="N23" s="56">
        <x:f t="shared" si="0"/>
        <x:v>1</x:v>
      </x:c>
      <x:c r="O23" s="56">
        <x:f t="shared" si="1"/>
        <x:v>1</x:v>
      </x:c>
      <x:c r="P23" s="45" t="str">
        <x:f t="shared" si="2"/>
        <x:v>Overdue - Written Follow-Up</x:v>
      </x:c>
      <x:c r="Q23" s="45" t="str">
        <x:f t="shared" si="3"/>
        <x:v>HIGH</x:v>
      </x:c>
      <x:c r="R23" s="46" t="str">
        <x:f t="shared" si="4"/>
        <x:v>Send email reminder to vendor; log response</x:v>
      </x:c>
    </x:row>
    <x:row r="24" ht="23.100000381469727" customHeight="1">
      <x:c r="A24" s="23" t="str">
        <x:f>'Raw Invoices'!A24</x:f>
        <x:v>INV-2026-023</x:v>
      </x:c>
      <x:c r="B24" s="9" t="str">
        <x:f>'Raw Invoices'!B24</x:f>
        <x:v>KARYA FACILITY SUPPORT</x:v>
      </x:c>
      <x:c r="C24" s="10" t="n">
        <x:f>'Raw Invoices'!C24</x:f>
        <x:v>46226</x:v>
      </x:c>
      <x:c r="D24" s="10" t="n">
        <x:f>'Raw Invoices'!D24</x:f>
        <x:v>46240</x:v>
      </x:c>
      <x:c r="E24" s="88" t="str">
        <x:f>'Raw Invoices'!E24</x:f>
        <x:v>IDR</x:v>
      </x:c>
      <x:c r="F24" s="11" t="n">
        <x:f>IF('Raw Invoices'!F24="","",'Raw Invoices'!F24)</x:f>
        <x:v>3612500</x:v>
      </x:c>
      <x:c r="G24" s="9" t="str">
        <x:f>IF('Raw Invoices'!G24="","",'Raw Invoices'!G24)</x:f>
        <x:v>PO-2423</x:v>
      </x:c>
      <x:c r="H24" s="26" t="str">
        <x:f>'Raw Invoices'!H24</x:f>
        <x:v>Paid</x:v>
      </x:c>
      <x:c r="I24" s="10" t="str">
        <x:f>IF('Raw Invoices'!I24="","",'Raw Invoices'!I24)</x:f>
      </x:c>
      <x:c r="J24" s="26" t="str">
        <x:f>'Raw Invoices'!J24</x:f>
        <x:v>Approved</x:v>
      </x:c>
      <x:c r="K24" s="9" t="str">
        <x:f>IF('Raw Invoices'!K24="","",'Raw Invoices'!K24)</x:f>
        <x:v>INV-2026-023_V007.pdf</x:v>
      </x:c>
      <x:c r="L24" s="50" t="str">
        <x:f>IFERROR(VLOOKUP(UPPER(TRIM(B24)),'Vendor Mapping'!$A$13:$B$36,2,FALSE),"UNMAPPED")</x:f>
        <x:v>V007</x:v>
      </x:c>
      <x:c r="M24" s="51" t="str">
        <x:f>IF(L24="UNMAPPED","Needs Review",VLOOKUP(L24,'Vendor Mapping'!$A$2:$D$9,2,FALSE))</x:f>
        <x:v>Karya Facility Support</x:v>
      </x:c>
      <x:c r="N24" s="55">
        <x:f t="shared" si="0"/>
        <x:v>1</x:v>
      </x:c>
      <x:c r="O24" s="55">
        <x:f t="shared" si="1"/>
        <x:v>1</x:v>
      </x:c>
      <x:c r="P24" s="43" t="str">
        <x:f t="shared" si="2"/>
        <x:v>Paid - Missing Payment Date</x:v>
      </x:c>
      <x:c r="Q24" s="43" t="str">
        <x:f t="shared" si="3"/>
        <x:v>MEDIUM</x:v>
      </x:c>
      <x:c r="R24" s="44" t="str">
        <x:f t="shared" si="4"/>
        <x:v>Request missing/corrected document by email</x:v>
      </x:c>
    </x:row>
    <x:row r="25" ht="23.100000381469727" customHeight="1">
      <x:c r="A25" s="24" t="str">
        <x:f>'Raw Invoices'!A25</x:f>
        <x:v>INV-2026-024</x:v>
      </x:c>
      <x:c r="B25" s="14" t="str">
        <x:f>'Raw Invoices'!B25</x:f>
        <x:v>Meridian Cloud Tools</x:v>
      </x:c>
      <x:c r="C25" s="15" t="n">
        <x:f>'Raw Invoices'!C25</x:f>
        <x:v>46205</x:v>
      </x:c>
      <x:c r="D25" s="15" t="n">
        <x:f>'Raw Invoices'!D25</x:f>
        <x:v>46235</x:v>
      </x:c>
      <x:c r="E25" s="89" t="str">
        <x:f>'Raw Invoices'!E25</x:f>
        <x:v>USD</x:v>
      </x:c>
      <x:c r="F25" s="16" t="n">
        <x:f>IF('Raw Invoices'!F25="","",'Raw Invoices'!F25)</x:f>
        <x:v>625</x:v>
      </x:c>
      <x:c r="G25" s="14" t="str">
        <x:f>IF('Raw Invoices'!G25="","",'Raw Invoices'!G25)</x:f>
        <x:v>PO-2424</x:v>
      </x:c>
      <x:c r="H25" s="27" t="str">
        <x:f>'Raw Invoices'!H25</x:f>
        <x:v>Paid</x:v>
      </x:c>
      <x:c r="I25" s="15" t="n">
        <x:f>IF('Raw Invoices'!I25="","",'Raw Invoices'!I25)</x:f>
        <x:v>46230</x:v>
      </x:c>
      <x:c r="J25" s="27" t="str">
        <x:f>'Raw Invoices'!J25</x:f>
        <x:v>Pending Approval</x:v>
      </x:c>
      <x:c r="K25" s="14" t="str">
        <x:f>IF('Raw Invoices'!K25="","",'Raw Invoices'!K25)</x:f>
        <x:v>INV-2026-024_V008.pdf</x:v>
      </x:c>
      <x:c r="L25" s="52" t="str">
        <x:f>IFERROR(VLOOKUP(UPPER(TRIM(B25)),'Vendor Mapping'!$A$13:$B$36,2,FALSE),"UNMAPPED")</x:f>
        <x:v>V008</x:v>
      </x:c>
      <x:c r="M25" s="53" t="str">
        <x:f>IF(L25="UNMAPPED","Needs Review",VLOOKUP(L25,'Vendor Mapping'!$A$2:$D$9,2,FALSE))</x:f>
        <x:v>Meridian Cloud Tools</x:v>
      </x:c>
      <x:c r="N25" s="56">
        <x:f t="shared" si="0"/>
        <x:v>1</x:v>
      </x:c>
      <x:c r="O25" s="56">
        <x:f t="shared" si="1"/>
        <x:v>1</x:v>
      </x:c>
      <x:c r="P25" s="45" t="str">
        <x:f t="shared" si="2"/>
        <x:v>Pending Written Approval</x:v>
      </x:c>
      <x:c r="Q25" s="45" t="str">
        <x:f t="shared" si="3"/>
        <x:v>MEDIUM</x:v>
      </x:c>
      <x:c r="R25" s="46" t="str">
        <x:f t="shared" si="4"/>
        <x:v>Send approval request by email/chat</x:v>
      </x:c>
    </x:row>
    <x:row r="26" ht="23.100000381469727" customHeight="1">
      <x:c r="A26" s="23" t="str">
        <x:f>'Raw Invoices'!A26</x:f>
        <x:v>INV-2026-025</x:v>
      </x:c>
      <x:c r="B26" s="9" t="str">
        <x:f>'Raw Invoices'!B26</x:f>
        <x:v>nusantara office supply</x:v>
      </x:c>
      <x:c r="C26" s="10" t="n">
        <x:f>'Raw Invoices'!C26</x:f>
        <x:v>46208</x:v>
      </x:c>
      <x:c r="D26" s="10" t="n">
        <x:f>'Raw Invoices'!D26</x:f>
        <x:v>46238</x:v>
      </x:c>
      <x:c r="E26" s="88" t="str">
        <x:f>'Raw Invoices'!E26</x:f>
        <x:v>IDR</x:v>
      </x:c>
      <x:c r="F26" s="11" t="n">
        <x:f>IF('Raw Invoices'!F26="","",'Raw Invoices'!F26)</x:f>
        <x:v>3887500</x:v>
      </x:c>
      <x:c r="G26" s="9" t="str">
        <x:f>IF('Raw Invoices'!G26="","",'Raw Invoices'!G26)</x:f>
        <x:v>PO-2425</x:v>
      </x:c>
      <x:c r="H26" s="26" t="str">
        <x:f>'Raw Invoices'!H26</x:f>
        <x:v>Unpaid</x:v>
      </x:c>
      <x:c r="I26" s="10" t="str">
        <x:f>IF('Raw Invoices'!I26="","",'Raw Invoices'!I26)</x:f>
      </x:c>
      <x:c r="J26" s="26" t="str">
        <x:f>'Raw Invoices'!J26</x:f>
        <x:v>Approved</x:v>
      </x:c>
      <x:c r="K26" s="9" t="str">
        <x:f>IF('Raw Invoices'!K26="","",'Raw Invoices'!K26)</x:f>
        <x:v>INV-2026-025_V001.pdf</x:v>
      </x:c>
      <x:c r="L26" s="50" t="str">
        <x:f>IFERROR(VLOOKUP(UPPER(TRIM(B26)),'Vendor Mapping'!$A$13:$B$36,2,FALSE),"UNMAPPED")</x:f>
        <x:v>V001</x:v>
      </x:c>
      <x:c r="M26" s="51" t="str">
        <x:f>IF(L26="UNMAPPED","Needs Review",VLOOKUP(L26,'Vendor Mapping'!$A$2:$D$9,2,FALSE))</x:f>
        <x:v>Nusantara Office Supply</x:v>
      </x:c>
      <x:c r="N26" s="55">
        <x:f t="shared" si="0"/>
        <x:v>1</x:v>
      </x:c>
      <x:c r="O26" s="55">
        <x:f t="shared" si="1"/>
        <x:v>1</x:v>
      </x:c>
      <x:c r="P26" s="43" t="str">
        <x:f t="shared" si="2"/>
        <x:v>Overdue - Written Follow-Up</x:v>
      </x:c>
      <x:c r="Q26" s="43" t="str">
        <x:f t="shared" si="3"/>
        <x:v>HIGH</x:v>
      </x:c>
      <x:c r="R26" s="44" t="str">
        <x:f t="shared" si="4"/>
        <x:v>Send email reminder to vendor; log response</x:v>
      </x:c>
    </x:row>
    <x:row r="27" ht="23.100000381469727" customHeight="1">
      <x:c r="A27" s="24" t="str">
        <x:f>'Raw Invoices'!A27</x:f>
        <x:v>INV-2026-026</x:v>
      </x:c>
      <x:c r="B27" s="14" t="str">
        <x:f>'Raw Invoices'!B27</x:f>
        <x:v>CITRA DIGITAL SERVICES</x:v>
      </x:c>
      <x:c r="C27" s="15" t="n">
        <x:f>'Raw Invoices'!C27</x:f>
        <x:v>46211</x:v>
      </x:c>
      <x:c r="D27" s="15" t="n">
        <x:f>'Raw Invoices'!D27</x:f>
        <x:v>46225</x:v>
      </x:c>
      <x:c r="E27" s="89" t="str">
        <x:f>'Raw Invoices'!E27</x:f>
        <x:v>IDR</x:v>
      </x:c>
      <x:c r="F27" s="16" t="n">
        <x:f>IF('Raw Invoices'!F27="","",'Raw Invoices'!F27)</x:f>
        <x:v>4025000</x:v>
      </x:c>
      <x:c r="G27" s="14" t="str">
        <x:f>IF('Raw Invoices'!G27="","",'Raw Invoices'!G27)</x:f>
        <x:v>PO-2426</x:v>
      </x:c>
      <x:c r="H27" s="27" t="str">
        <x:f>'Raw Invoices'!H27</x:f>
        <x:v>Unpaid</x:v>
      </x:c>
      <x:c r="I27" s="15" t="str">
        <x:f>IF('Raw Invoices'!I27="","",'Raw Invoices'!I27)</x:f>
      </x:c>
      <x:c r="J27" s="27" t="str">
        <x:f>'Raw Invoices'!J27</x:f>
        <x:v>Approved</x:v>
      </x:c>
      <x:c r="K27" s="14" t="str">
        <x:f>IF('Raw Invoices'!K27="","",'Raw Invoices'!K27)</x:f>
        <x:v>INV-2026-026_V002.pdf</x:v>
      </x:c>
      <x:c r="L27" s="52" t="str">
        <x:f>IFERROR(VLOOKUP(UPPER(TRIM(B27)),'Vendor Mapping'!$A$13:$B$36,2,FALSE),"UNMAPPED")</x:f>
        <x:v>V002</x:v>
      </x:c>
      <x:c r="M27" s="53" t="str">
        <x:f>IF(L27="UNMAPPED","Needs Review",VLOOKUP(L27,'Vendor Mapping'!$A$2:$D$9,2,FALSE))</x:f>
        <x:v>Citra Digital Services</x:v>
      </x:c>
      <x:c r="N27" s="56">
        <x:f t="shared" si="0"/>
        <x:v>1</x:v>
      </x:c>
      <x:c r="O27" s="56">
        <x:f t="shared" si="1"/>
        <x:v>1</x:v>
      </x:c>
      <x:c r="P27" s="45" t="str">
        <x:f t="shared" si="2"/>
        <x:v>Overdue - Written Follow-Up</x:v>
      </x:c>
      <x:c r="Q27" s="45" t="str">
        <x:f t="shared" si="3"/>
        <x:v>HIGH</x:v>
      </x:c>
      <x:c r="R27" s="46" t="str">
        <x:f t="shared" si="4"/>
        <x:v>Send email reminder to vendor; log response</x:v>
      </x:c>
    </x:row>
    <x:row r="28" ht="23.100000381469727" customHeight="1">
      <x:c r="A28" s="23" t="str">
        <x:f>'Raw Invoices'!A28</x:f>
        <x:v>INV-2026-027</x:v>
      </x:c>
      <x:c r="B28" s="9" t="str">
        <x:f>'Raw Invoices'!B28</x:f>
        <x:v>BrightPath Software</x:v>
      </x:c>
      <x:c r="C28" s="10" t="n">
        <x:f>'Raw Invoices'!C28</x:f>
        <x:v>46214</x:v>
      </x:c>
      <x:c r="D28" s="10" t="n">
        <x:f>'Raw Invoices'!D28</x:f>
        <x:v>46244</x:v>
      </x:c>
      <x:c r="E28" s="88" t="str">
        <x:f>'Raw Invoices'!E28</x:f>
        <x:v>USD</x:v>
      </x:c>
      <x:c r="F28" s="11" t="n">
        <x:f>IF('Raw Invoices'!F28="","",'Raw Invoices'!F28)</x:f>
        <x:v>692.5</x:v>
      </x:c>
      <x:c r="G28" s="9" t="str">
        <x:f>IF('Raw Invoices'!G28="","",'Raw Invoices'!G28)</x:f>
      </x:c>
      <x:c r="H28" s="26" t="str">
        <x:f>'Raw Invoices'!H28</x:f>
        <x:v>Pending</x:v>
      </x:c>
      <x:c r="I28" s="10" t="str">
        <x:f>IF('Raw Invoices'!I28="","",'Raw Invoices'!I28)</x:f>
      </x:c>
      <x:c r="J28" s="26" t="str">
        <x:f>'Raw Invoices'!J28</x:f>
        <x:v>Approved</x:v>
      </x:c>
      <x:c r="K28" s="9" t="str">
        <x:f>IF('Raw Invoices'!K28="","",'Raw Invoices'!K28)</x:f>
        <x:v>INV-2026-027_V003.pdf</x:v>
      </x:c>
      <x:c r="L28" s="50" t="str">
        <x:f>IFERROR(VLOOKUP(UPPER(TRIM(B28)),'Vendor Mapping'!$A$13:$B$36,2,FALSE),"UNMAPPED")</x:f>
        <x:v>V003</x:v>
      </x:c>
      <x:c r="M28" s="51" t="str">
        <x:f>IF(L28="UNMAPPED","Needs Review",VLOOKUP(L28,'Vendor Mapping'!$A$2:$D$9,2,FALSE))</x:f>
        <x:v>BrightPath Software</x:v>
      </x:c>
      <x:c r="N28" s="55">
        <x:f t="shared" si="0"/>
        <x:v>1</x:v>
      </x:c>
      <x:c r="O28" s="55">
        <x:f t="shared" si="1"/>
        <x:v>2</x:v>
      </x:c>
      <x:c r="P28" s="43" t="str">
        <x:f t="shared" si="2"/>
        <x:v>Missing PO Number</x:v>
      </x:c>
      <x:c r="Q28" s="43" t="str">
        <x:f t="shared" si="3"/>
        <x:v>MEDIUM</x:v>
      </x:c>
      <x:c r="R28" s="44" t="str">
        <x:f t="shared" si="4"/>
        <x:v>Request missing/corrected document by email</x:v>
      </x:c>
    </x:row>
    <x:row r="29" ht="23.100000381469727" customHeight="1">
      <x:c r="A29" s="24" t="str">
        <x:f>'Raw Invoices'!A29</x:f>
        <x:v>INV-2026-028</x:v>
      </x:c>
      <x:c r="B29" s="14" t="str">
        <x:f>'Raw Invoices'!B29</x:f>
        <x:v>garuda logistic</x:v>
      </x:c>
      <x:c r="C29" s="15" t="n">
        <x:f>'Raw Invoices'!C29</x:f>
        <x:v>46217</x:v>
      </x:c>
      <x:c r="D29" s="15" t="n">
        <x:f>'Raw Invoices'!D29</x:f>
        <x:v>46238</x:v>
      </x:c>
      <x:c r="E29" s="89" t="str">
        <x:f>'Raw Invoices'!E29</x:f>
        <x:v>IDR</x:v>
      </x:c>
      <x:c r="F29" s="16" t="n">
        <x:f>IF('Raw Invoices'!F29="","",'Raw Invoices'!F29)</x:f>
        <x:v>4300000</x:v>
      </x:c>
      <x:c r="G29" s="14" t="str">
        <x:f>IF('Raw Invoices'!G29="","",'Raw Invoices'!G29)</x:f>
        <x:v>PO-2428</x:v>
      </x:c>
      <x:c r="H29" s="27" t="str">
        <x:f>'Raw Invoices'!H29</x:f>
        <x:v>Paid</x:v>
      </x:c>
      <x:c r="I29" s="15" t="n">
        <x:f>IF('Raw Invoices'!I29="","",'Raw Invoices'!I29)</x:f>
        <x:v>46234</x:v>
      </x:c>
      <x:c r="J29" s="27" t="str">
        <x:f>'Raw Invoices'!J29</x:f>
        <x:v>Approved</x:v>
      </x:c>
      <x:c r="K29" s="14" t="str">
        <x:f>IF('Raw Invoices'!K29="","",'Raw Invoices'!K29)</x:f>
        <x:v>INV-2026-028_V004.pdf</x:v>
      </x:c>
      <x:c r="L29" s="52" t="str">
        <x:f>IFERROR(VLOOKUP(UPPER(TRIM(B29)),'Vendor Mapping'!$A$13:$B$36,2,FALSE),"UNMAPPED")</x:f>
        <x:v>V004</x:v>
      </x:c>
      <x:c r="M29" s="53" t="str">
        <x:f>IF(L29="UNMAPPED","Needs Review",VLOOKUP(L29,'Vendor Mapping'!$A$2:$D$9,2,FALSE))</x:f>
        <x:v>Garuda Logistics</x:v>
      </x:c>
      <x:c r="N29" s="56">
        <x:f t="shared" si="0"/>
        <x:v>1</x:v>
      </x:c>
      <x:c r="O29" s="56">
        <x:f t="shared" si="1"/>
        <x:v>0</x:v>
      </x:c>
      <x:c r="P29" s="45" t="str">
        <x:f t="shared" si="2"/>
        <x:v>Ready / Complete</x:v>
      </x:c>
      <x:c r="Q29" s="45" t="str">
        <x:f t="shared" si="3"/>
        <x:v>LOW</x:v>
      </x:c>
      <x:c r="R29" s="46" t="str">
        <x:f t="shared" si="4"/>
        <x:v>File and record complete</x:v>
      </x:c>
    </x:row>
    <x:row r="30" ht="23.100000381469727" customHeight="1">
      <x:c r="A30" s="23" t="str">
        <x:f>'Raw Invoices'!A30</x:f>
        <x:v>INV-2026-029</x:v>
      </x:c>
      <x:c r="B30" s="9" t="str">
        <x:f>'Raw Invoices'!B30</x:f>
        <x:v>ATLAS WORKSPACE</x:v>
      </x:c>
      <x:c r="C30" s="10" t="n">
        <x:f>'Raw Invoices'!C30</x:f>
        <x:v>46220</x:v>
      </x:c>
      <x:c r="D30" s="10" t="n">
        <x:f>'Raw Invoices'!D30</x:f>
        <x:v>46234</x:v>
      </x:c>
      <x:c r="E30" s="88" t="str">
        <x:f>'Raw Invoices'!E30</x:f>
        <x:v>USD</x:v>
      </x:c>
      <x:c r="F30" s="11" t="n">
        <x:f>IF('Raw Invoices'!F30="","",'Raw Invoices'!F30)</x:f>
        <x:v>737.5</x:v>
      </x:c>
      <x:c r="G30" s="9" t="str">
        <x:f>IF('Raw Invoices'!G30="","",'Raw Invoices'!G30)</x:f>
        <x:v>PO-2429</x:v>
      </x:c>
      <x:c r="H30" s="26" t="str">
        <x:f>'Raw Invoices'!H30</x:f>
        <x:v>Unpaid</x:v>
      </x:c>
      <x:c r="I30" s="10" t="str">
        <x:f>IF('Raw Invoices'!I30="","",'Raw Invoices'!I30)</x:f>
      </x:c>
      <x:c r="J30" s="26" t="str">
        <x:f>'Raw Invoices'!J30</x:f>
        <x:v>Approved</x:v>
      </x:c>
      <x:c r="K30" s="9" t="str">
        <x:f>IF('Raw Invoices'!K30="","",'Raw Invoices'!K30)</x:f>
        <x:v>INV-2026-029_V005.pdf</x:v>
      </x:c>
      <x:c r="L30" s="50" t="str">
        <x:f>IFERROR(VLOOKUP(UPPER(TRIM(B30)),'Vendor Mapping'!$A$13:$B$36,2,FALSE),"UNMAPPED")</x:f>
        <x:v>V005</x:v>
      </x:c>
      <x:c r="M30" s="51" t="str">
        <x:f>IF(L30="UNMAPPED","Needs Review",VLOOKUP(L30,'Vendor Mapping'!$A$2:$D$9,2,FALSE))</x:f>
        <x:v>Atlas Workspace</x:v>
      </x:c>
      <x:c r="N30" s="55">
        <x:f t="shared" si="0"/>
        <x:v>1</x:v>
      </x:c>
      <x:c r="O30" s="55">
        <x:f t="shared" si="1"/>
        <x:v>1</x:v>
      </x:c>
      <x:c r="P30" s="43" t="str">
        <x:f t="shared" si="2"/>
        <x:v>Overdue - Written Follow-Up</x:v>
      </x:c>
      <x:c r="Q30" s="43" t="str">
        <x:f t="shared" si="3"/>
        <x:v>HIGH</x:v>
      </x:c>
      <x:c r="R30" s="44" t="str">
        <x:f t="shared" si="4"/>
        <x:v>Send email reminder to vendor; log response</x:v>
      </x:c>
    </x:row>
    <x:row r="31" ht="23.100000381469727" customHeight="1">
      <x:c r="A31" s="24" t="str">
        <x:f>'Raw Invoices'!A31</x:f>
        <x:v>INV-2026-030</x:v>
      </x:c>
      <x:c r="B31" s="14" t="str">
        <x:f>'Raw Invoices'!B31</x:f>
        <x:v>Sinar Print &amp; Pack</x:v>
      </x:c>
      <x:c r="C31" s="15" t="n">
        <x:f>'Raw Invoices'!C31</x:f>
        <x:v>46223</x:v>
      </x:c>
      <x:c r="D31" s="15" t="n">
        <x:f>'Raw Invoices'!D31</x:f>
        <x:v>46253</x:v>
      </x:c>
      <x:c r="E31" s="89" t="str">
        <x:f>'Raw Invoices'!E31</x:f>
        <x:v>IDR</x:v>
      </x:c>
      <x:c r="F31" s="16" t="n">
        <x:f>IF('Raw Invoices'!F31="","",'Raw Invoices'!F31)</x:f>
        <x:v>4575000</x:v>
      </x:c>
      <x:c r="G31" s="14" t="str">
        <x:f>IF('Raw Invoices'!G31="","",'Raw Invoices'!G31)</x:f>
        <x:v>PO-2430</x:v>
      </x:c>
      <x:c r="H31" s="27" t="str">
        <x:f>'Raw Invoices'!H31</x:f>
        <x:v>Pending</x:v>
      </x:c>
      <x:c r="I31" s="15" t="str">
        <x:f>IF('Raw Invoices'!I31="","",'Raw Invoices'!I31)</x:f>
      </x:c>
      <x:c r="J31" s="27" t="str">
        <x:f>'Raw Invoices'!J31</x:f>
        <x:v>Pending Approval</x:v>
      </x:c>
      <x:c r="K31" s="14" t="str">
        <x:f>IF('Raw Invoices'!K31="","",'Raw Invoices'!K31)</x:f>
        <x:v>INV-2026-030_V006.pdf</x:v>
      </x:c>
      <x:c r="L31" s="52" t="str">
        <x:f>IFERROR(VLOOKUP(UPPER(TRIM(B31)),'Vendor Mapping'!$A$13:$B$36,2,FALSE),"UNMAPPED")</x:f>
        <x:v>V006</x:v>
      </x:c>
      <x:c r="M31" s="53" t="str">
        <x:f>IF(L31="UNMAPPED","Needs Review",VLOOKUP(L31,'Vendor Mapping'!$A$2:$D$9,2,FALSE))</x:f>
        <x:v>Sinar Print &amp; Pack</x:v>
      </x:c>
      <x:c r="N31" s="56">
        <x:f t="shared" si="0"/>
        <x:v>1</x:v>
      </x:c>
      <x:c r="O31" s="56">
        <x:f t="shared" si="1"/>
        <x:v>2</x:v>
      </x:c>
      <x:c r="P31" s="45" t="str">
        <x:f t="shared" si="2"/>
        <x:v>Overdue - Written Follow-Up</x:v>
      </x:c>
      <x:c r="Q31" s="45" t="str">
        <x:f t="shared" si="3"/>
        <x:v>HIGH</x:v>
      </x:c>
      <x:c r="R31" s="46" t="str">
        <x:f t="shared" si="4"/>
        <x:v>Send email reminder to vendor; log response</x:v>
      </x:c>
    </x:row>
    <x:row r="32" ht="23.100000381469727" customHeight="1">
      <x:c r="A32" s="23" t="str">
        <x:f>'Raw Invoices'!A32</x:f>
        <x:v>INV-2026-031</x:v>
      </x:c>
      <x:c r="B32" s="9" t="str">
        <x:f>'Raw Invoices'!B32</x:f>
        <x:v>Unknown Creative Partner</x:v>
      </x:c>
      <x:c r="C32" s="10" t="n">
        <x:f>'Raw Invoices'!C32</x:f>
        <x:v>46226</x:v>
      </x:c>
      <x:c r="D32" s="10" t="n">
        <x:f>'Raw Invoices'!D32</x:f>
        <x:v>46240</x:v>
      </x:c>
      <x:c r="E32" s="88" t="str">
        <x:f>'Raw Invoices'!E32</x:f>
        <x:v>IDR</x:v>
      </x:c>
      <x:c r="F32" s="11" t="n">
        <x:f>IF('Raw Invoices'!F32="","",'Raw Invoices'!F32)</x:f>
        <x:v>4712500</x:v>
      </x:c>
      <x:c r="G32" s="9" t="str">
        <x:f>IF('Raw Invoices'!G32="","",'Raw Invoices'!G32)</x:f>
        <x:v>PO-2431</x:v>
      </x:c>
      <x:c r="H32" s="26" t="str">
        <x:f>'Raw Invoices'!H32</x:f>
        <x:v>Unpaid</x:v>
      </x:c>
      <x:c r="I32" s="10" t="str">
        <x:f>IF('Raw Invoices'!I32="","",'Raw Invoices'!I32)</x:f>
      </x:c>
      <x:c r="J32" s="26" t="str">
        <x:f>'Raw Invoices'!J32</x:f>
        <x:v>Approved</x:v>
      </x:c>
      <x:c r="K32" s="9" t="str">
        <x:f>IF('Raw Invoices'!K32="","",'Raw Invoices'!K32)</x:f>
        <x:v>INV-2026-031_V007.pdf</x:v>
      </x:c>
      <x:c r="L32" s="50" t="str">
        <x:f>IFERROR(VLOOKUP(UPPER(TRIM(B32)),'Vendor Mapping'!$A$13:$B$36,2,FALSE),"UNMAPPED")</x:f>
        <x:v>UNMAPPED</x:v>
      </x:c>
      <x:c r="M32" s="51" t="str">
        <x:f>IF(L32="UNMAPPED","Needs Review",VLOOKUP(L32,'Vendor Mapping'!$A$2:$D$9,2,FALSE))</x:f>
        <x:v>Needs Review</x:v>
      </x:c>
      <x:c r="N32" s="55">
        <x:f t="shared" si="0"/>
        <x:v>1</x:v>
      </x:c>
      <x:c r="O32" s="55">
        <x:f t="shared" si="1"/>
        <x:v>2</x:v>
      </x:c>
      <x:c r="P32" s="43" t="str">
        <x:f t="shared" si="2"/>
        <x:v>Unmapped Vendor</x:v>
      </x:c>
      <x:c r="Q32" s="43" t="str">
        <x:f t="shared" si="3"/>
        <x:v>MEDIUM</x:v>
      </x:c>
      <x:c r="R32" s="44" t="str">
        <x:f t="shared" si="4"/>
        <x:v>Request vendor master confirmation by email</x:v>
      </x:c>
    </x:row>
    <x:row r="33" ht="23.100000381469727" customHeight="1">
      <x:c r="A33" s="24" t="str">
        <x:f>'Raw Invoices'!A33</x:f>
        <x:v>INV-2026-032</x:v>
      </x:c>
      <x:c r="B33" s="14" t="str">
        <x:f>'Raw Invoices'!B33</x:f>
        <x:v>MERIDIAN CLOUD TOOLS</x:v>
      </x:c>
      <x:c r="C33" s="15" t="n">
        <x:f>'Raw Invoices'!C33</x:f>
        <x:v>46205</x:v>
      </x:c>
      <x:c r="D33" s="15" t="n">
        <x:f>'Raw Invoices'!D33</x:f>
        <x:v>46235</x:v>
      </x:c>
      <x:c r="E33" s="89" t="str">
        <x:f>'Raw Invoices'!E33</x:f>
        <x:v>USD</x:v>
      </x:c>
      <x:c r="F33" s="16" t="n">
        <x:f>IF('Raw Invoices'!F33="","",'Raw Invoices'!F33)</x:f>
        <x:v>805</x:v>
      </x:c>
      <x:c r="G33" s="14" t="str">
        <x:f>IF('Raw Invoices'!G33="","",'Raw Invoices'!G33)</x:f>
        <x:v>PO-2432</x:v>
      </x:c>
      <x:c r="H33" s="27" t="str">
        <x:f>'Raw Invoices'!H33</x:f>
        <x:v>Paid</x:v>
      </x:c>
      <x:c r="I33" s="15" t="n">
        <x:f>IF('Raw Invoices'!I33="","",'Raw Invoices'!I33)</x:f>
        <x:v>46232</x:v>
      </x:c>
      <x:c r="J33" s="27" t="str">
        <x:f>'Raw Invoices'!J33</x:f>
        <x:v>Approved</x:v>
      </x:c>
      <x:c r="K33" s="14" t="str">
        <x:f>IF('Raw Invoices'!K33="","",'Raw Invoices'!K33)</x:f>
        <x:v>INV-2026-032_V008.pdf</x:v>
      </x:c>
      <x:c r="L33" s="52" t="str">
        <x:f>IFERROR(VLOOKUP(UPPER(TRIM(B33)),'Vendor Mapping'!$A$13:$B$36,2,FALSE),"UNMAPPED")</x:f>
        <x:v>V008</x:v>
      </x:c>
      <x:c r="M33" s="53" t="str">
        <x:f>IF(L33="UNMAPPED","Needs Review",VLOOKUP(L33,'Vendor Mapping'!$A$2:$D$9,2,FALSE))</x:f>
        <x:v>Meridian Cloud Tools</x:v>
      </x:c>
      <x:c r="N33" s="56">
        <x:f t="shared" si="0"/>
        <x:v>1</x:v>
      </x:c>
      <x:c r="O33" s="56">
        <x:f t="shared" si="1"/>
        <x:v>0</x:v>
      </x:c>
      <x:c r="P33" s="45" t="str">
        <x:f t="shared" si="2"/>
        <x:v>Ready / Complete</x:v>
      </x:c>
      <x:c r="Q33" s="45" t="str">
        <x:f t="shared" si="3"/>
        <x:v>LOW</x:v>
      </x:c>
      <x:c r="R33" s="46" t="str">
        <x:f t="shared" si="4"/>
        <x:v>File and record complete</x:v>
      </x:c>
    </x:row>
    <x:row r="34" ht="23.100000381469727" customHeight="1">
      <x:c r="A34" s="23" t="str">
        <x:f>'Raw Invoices'!A34</x:f>
        <x:v>INV-2026-033</x:v>
      </x:c>
      <x:c r="B34" s="9" t="str">
        <x:f>'Raw Invoices'!B34</x:f>
        <x:v>Nusantara Office Supply</x:v>
      </x:c>
      <x:c r="C34" s="10" t="n">
        <x:f>'Raw Invoices'!C34</x:f>
        <x:v>46239</x:v>
      </x:c>
      <x:c r="D34" s="10" t="n">
        <x:f>'Raw Invoices'!D34</x:f>
        <x:v>46269</x:v>
      </x:c>
      <x:c r="E34" s="88" t="str">
        <x:f>'Raw Invoices'!E34</x:f>
        <x:v>IDR</x:v>
      </x:c>
      <x:c r="F34" s="11" t="str">
        <x:f>IF('Raw Invoices'!F34="","",'Raw Invoices'!F34)</x:f>
      </x:c>
      <x:c r="G34" s="9" t="str">
        <x:f>IF('Raw Invoices'!G34="","",'Raw Invoices'!G34)</x:f>
        <x:v>PO-2433</x:v>
      </x:c>
      <x:c r="H34" s="26" t="str">
        <x:f>'Raw Invoices'!H34</x:f>
        <x:v>Pending</x:v>
      </x:c>
      <x:c r="I34" s="10" t="str">
        <x:f>IF('Raw Invoices'!I34="","",'Raw Invoices'!I34)</x:f>
      </x:c>
      <x:c r="J34" s="26" t="str">
        <x:f>'Raw Invoices'!J34</x:f>
        <x:v>Approved</x:v>
      </x:c>
      <x:c r="K34" s="9" t="str">
        <x:f>IF('Raw Invoices'!K34="","",'Raw Invoices'!K34)</x:f>
        <x:v>INV-2026-033_V001.pdf</x:v>
      </x:c>
      <x:c r="L34" s="50" t="str">
        <x:f>IFERROR(VLOOKUP(UPPER(TRIM(B34)),'Vendor Mapping'!$A$13:$B$36,2,FALSE),"UNMAPPED")</x:f>
        <x:v>V001</x:v>
      </x:c>
      <x:c r="M34" s="51" t="str">
        <x:f>IF(L34="UNMAPPED","Needs Review",VLOOKUP(L34,'Vendor Mapping'!$A$2:$D$9,2,FALSE))</x:f>
        <x:v>Nusantara Office Supply</x:v>
      </x:c>
      <x:c r="N34" s="55">
        <x:f t="shared" si="0"/>
        <x:v>1</x:v>
      </x:c>
      <x:c r="O34" s="55">
        <x:f t="shared" si="1"/>
        <x:v>2</x:v>
      </x:c>
      <x:c r="P34" s="43" t="str">
        <x:f t="shared" si="2"/>
        <x:v>Missing Amount</x:v>
      </x:c>
      <x:c r="Q34" s="43" t="str">
        <x:f t="shared" si="3"/>
        <x:v>MEDIUM</x:v>
      </x:c>
      <x:c r="R34" s="44" t="str">
        <x:f t="shared" si="4"/>
        <x:v>Request missing/corrected document by email</x:v>
      </x:c>
    </x:row>
    <x:row r="35" ht="23.100000381469727" customHeight="1">
      <x:c r="A35" s="24" t="str">
        <x:f>'Raw Invoices'!A35</x:f>
        <x:v>INV-2026-034</x:v>
      </x:c>
      <x:c r="B35" s="14" t="str">
        <x:f>'Raw Invoices'!B35</x:f>
        <x:v>Citra digital service</x:v>
      </x:c>
      <x:c r="C35" s="15" t="n">
        <x:f>'Raw Invoices'!C35</x:f>
        <x:v>46242</x:v>
      </x:c>
      <x:c r="D35" s="15" t="n">
        <x:f>'Raw Invoices'!D35</x:f>
        <x:v>46256</x:v>
      </x:c>
      <x:c r="E35" s="89" t="str">
        <x:f>'Raw Invoices'!E35</x:f>
        <x:v>IDR</x:v>
      </x:c>
      <x:c r="F35" s="16" t="n">
        <x:f>IF('Raw Invoices'!F35="","",'Raw Invoices'!F35)</x:f>
        <x:v>5125000</x:v>
      </x:c>
      <x:c r="G35" s="14" t="str">
        <x:f>IF('Raw Invoices'!G35="","",'Raw Invoices'!G35)</x:f>
        <x:v>PO-2434</x:v>
      </x:c>
      <x:c r="H35" s="27" t="str">
        <x:f>'Raw Invoices'!H35</x:f>
        <x:v>Unpaid</x:v>
      </x:c>
      <x:c r="I35" s="15" t="str">
        <x:f>IF('Raw Invoices'!I35="","",'Raw Invoices'!I35)</x:f>
      </x:c>
      <x:c r="J35" s="27" t="str">
        <x:f>'Raw Invoices'!J35</x:f>
        <x:v>Approved</x:v>
      </x:c>
      <x:c r="K35" s="14" t="str">
        <x:f>IF('Raw Invoices'!K35="","",'Raw Invoices'!K35)</x:f>
        <x:v>INV-2026-034_V002.pdf</x:v>
      </x:c>
      <x:c r="L35" s="52" t="str">
        <x:f>IFERROR(VLOOKUP(UPPER(TRIM(B35)),'Vendor Mapping'!$A$13:$B$36,2,FALSE),"UNMAPPED")</x:f>
        <x:v>V002</x:v>
      </x:c>
      <x:c r="M35" s="53" t="str">
        <x:f>IF(L35="UNMAPPED","Needs Review",VLOOKUP(L35,'Vendor Mapping'!$A$2:$D$9,2,FALSE))</x:f>
        <x:v>Citra Digital Services</x:v>
      </x:c>
      <x:c r="N35" s="56">
        <x:f t="shared" si="0"/>
        <x:v>1</x:v>
      </x:c>
      <x:c r="O35" s="56">
        <x:f t="shared" si="1"/>
        <x:v>1</x:v>
      </x:c>
      <x:c r="P35" s="45" t="str">
        <x:f t="shared" si="2"/>
        <x:v>Overdue - Written Follow-Up</x:v>
      </x:c>
      <x:c r="Q35" s="45" t="str">
        <x:f t="shared" si="3"/>
        <x:v>HIGH</x:v>
      </x:c>
      <x:c r="R35" s="46" t="str">
        <x:f t="shared" si="4"/>
        <x:v>Send email reminder to vendor; log response</x:v>
      </x:c>
    </x:row>
    <x:row r="36" ht="23.100000381469727" customHeight="1">
      <x:c r="A36" s="23" t="str">
        <x:f>'Raw Invoices'!A36</x:f>
        <x:v>INV-2026-035</x:v>
      </x:c>
      <x:c r="B36" s="9" t="str">
        <x:f>'Raw Invoices'!B36</x:f>
        <x:v>BRIGHTPATH SOFTWARE</x:v>
      </x:c>
      <x:c r="C36" s="10" t="n">
        <x:f>'Raw Invoices'!C36</x:f>
        <x:v>46245</x:v>
      </x:c>
      <x:c r="D36" s="10" t="n">
        <x:f>'Raw Invoices'!D36</x:f>
        <x:v>46275</x:v>
      </x:c>
      <x:c r="E36" s="88" t="str">
        <x:f>'Raw Invoices'!E36</x:f>
        <x:v>USD</x:v>
      </x:c>
      <x:c r="F36" s="11" t="n">
        <x:f>IF('Raw Invoices'!F36="","",'Raw Invoices'!F36)</x:f>
        <x:v>872.5</x:v>
      </x:c>
      <x:c r="G36" s="9" t="str">
        <x:f>IF('Raw Invoices'!G36="","",'Raw Invoices'!G36)</x:f>
        <x:v>PO-2435</x:v>
      </x:c>
      <x:c r="H36" s="26" t="str">
        <x:f>'Raw Invoices'!H36</x:f>
        <x:v>Paid</x:v>
      </x:c>
      <x:c r="I36" s="10" t="n">
        <x:f>IF('Raw Invoices'!I36="","",'Raw Invoices'!I36)</x:f>
        <x:v>46274</x:v>
      </x:c>
      <x:c r="J36" s="26" t="str">
        <x:f>'Raw Invoices'!J36</x:f>
        <x:v>Approved</x:v>
      </x:c>
      <x:c r="K36" s="9" t="str">
        <x:f>IF('Raw Invoices'!K36="","",'Raw Invoices'!K36)</x:f>
        <x:v>INV-2026-035_V003.pdf</x:v>
      </x:c>
      <x:c r="L36" s="50" t="str">
        <x:f>IFERROR(VLOOKUP(UPPER(TRIM(B36)),'Vendor Mapping'!$A$13:$B$36,2,FALSE),"UNMAPPED")</x:f>
        <x:v>V003</x:v>
      </x:c>
      <x:c r="M36" s="51" t="str">
        <x:f>IF(L36="UNMAPPED","Needs Review",VLOOKUP(L36,'Vendor Mapping'!$A$2:$D$9,2,FALSE))</x:f>
        <x:v>BrightPath Software</x:v>
      </x:c>
      <x:c r="N36" s="55">
        <x:f t="shared" si="0"/>
        <x:v>1</x:v>
      </x:c>
      <x:c r="O36" s="55">
        <x:f t="shared" si="1"/>
        <x:v>0</x:v>
      </x:c>
      <x:c r="P36" s="43" t="str">
        <x:f t="shared" si="2"/>
        <x:v>Ready / Complete</x:v>
      </x:c>
      <x:c r="Q36" s="43" t="str">
        <x:f t="shared" si="3"/>
        <x:v>LOW</x:v>
      </x:c>
      <x:c r="R36" s="44" t="str">
        <x:f t="shared" si="4"/>
        <x:v>File and record complete</x:v>
      </x:c>
    </x:row>
    <x:row r="37" ht="23.100000381469727" customHeight="1">
      <x:c r="A37" s="24" t="str">
        <x:f>'Raw Invoices'!A37</x:f>
        <x:v>INV-2026-036</x:v>
      </x:c>
      <x:c r="B37" s="14" t="str">
        <x:f>'Raw Invoices'!B37</x:f>
        <x:v>Garuda Logistics</x:v>
      </x:c>
      <x:c r="C37" s="15" t="n">
        <x:f>'Raw Invoices'!C37</x:f>
        <x:v>46248</x:v>
      </x:c>
      <x:c r="D37" s="15" t="n">
        <x:f>'Raw Invoices'!D37</x:f>
        <x:v>46269</x:v>
      </x:c>
      <x:c r="E37" s="89" t="str">
        <x:f>'Raw Invoices'!E37</x:f>
        <x:v>IDR</x:v>
      </x:c>
      <x:c r="F37" s="16" t="n">
        <x:f>IF('Raw Invoices'!F37="","",'Raw Invoices'!F37)</x:f>
        <x:v>5400000</x:v>
      </x:c>
      <x:c r="G37" s="14" t="str">
        <x:f>IF('Raw Invoices'!G37="","",'Raw Invoices'!G37)</x:f>
        <x:v>PO-2436</x:v>
      </x:c>
      <x:c r="H37" s="27" t="str">
        <x:f>'Raw Invoices'!H37</x:f>
        <x:v>Paid</x:v>
      </x:c>
      <x:c r="I37" s="15" t="n">
        <x:f>IF('Raw Invoices'!I37="","",'Raw Invoices'!I37)</x:f>
        <x:v>46267</x:v>
      </x:c>
      <x:c r="J37" s="27" t="str">
        <x:f>'Raw Invoices'!J37</x:f>
        <x:v>Pending Approval</x:v>
      </x:c>
      <x:c r="K37" s="14" t="str">
        <x:f>IF('Raw Invoices'!K37="","",'Raw Invoices'!K37)</x:f>
        <x:v>INV-2026-036_V004.pdf</x:v>
      </x:c>
      <x:c r="L37" s="52" t="str">
        <x:f>IFERROR(VLOOKUP(UPPER(TRIM(B37)),'Vendor Mapping'!$A$13:$B$36,2,FALSE),"UNMAPPED")</x:f>
        <x:v>V004</x:v>
      </x:c>
      <x:c r="M37" s="53" t="str">
        <x:f>IF(L37="UNMAPPED","Needs Review",VLOOKUP(L37,'Vendor Mapping'!$A$2:$D$9,2,FALSE))</x:f>
        <x:v>Garuda Logistics</x:v>
      </x:c>
      <x:c r="N37" s="56">
        <x:f t="shared" si="0"/>
        <x:v>1</x:v>
      </x:c>
      <x:c r="O37" s="56">
        <x:f t="shared" si="1"/>
        <x:v>1</x:v>
      </x:c>
      <x:c r="P37" s="45" t="str">
        <x:f t="shared" si="2"/>
        <x:v>Pending Written Approval</x:v>
      </x:c>
      <x:c r="Q37" s="45" t="str">
        <x:f t="shared" si="3"/>
        <x:v>MEDIUM</x:v>
      </x:c>
      <x:c r="R37" s="46" t="str">
        <x:f t="shared" si="4"/>
        <x:v>Send approval request by email/chat</x:v>
      </x:c>
    </x:row>
    <x:row r="38" ht="23.100000381469727" customHeight="1">
      <x:c r="A38" s="23" t="str">
        <x:f>'Raw Invoices'!A38</x:f>
        <x:v>INV-2026-037</x:v>
      </x:c>
      <x:c r="B38" s="9" t="str">
        <x:f>'Raw Invoices'!B38</x:f>
        <x:v>atlas workspace</x:v>
      </x:c>
      <x:c r="C38" s="10" t="n">
        <x:f>'Raw Invoices'!C38</x:f>
        <x:v>46251</x:v>
      </x:c>
      <x:c r="D38" s="10" t="n">
        <x:f>'Raw Invoices'!D38</x:f>
        <x:v>46265</x:v>
      </x:c>
      <x:c r="E38" s="88" t="str">
        <x:f>'Raw Invoices'!E38</x:f>
        <x:v>USD</x:v>
      </x:c>
      <x:c r="F38" s="11" t="n">
        <x:f>IF('Raw Invoices'!F38="","",'Raw Invoices'!F38)</x:f>
        <x:v>917.5</x:v>
      </x:c>
      <x:c r="G38" s="9" t="str">
        <x:f>IF('Raw Invoices'!G38="","",'Raw Invoices'!G38)</x:f>
        <x:v>PO-2437</x:v>
      </x:c>
      <x:c r="H38" s="26" t="str">
        <x:f>'Raw Invoices'!H38</x:f>
        <x:v>Unpaid</x:v>
      </x:c>
      <x:c r="I38" s="10" t="str">
        <x:f>IF('Raw Invoices'!I38="","",'Raw Invoices'!I38)</x:f>
      </x:c>
      <x:c r="J38" s="26" t="str">
        <x:f>'Raw Invoices'!J38</x:f>
        <x:v>Approved</x:v>
      </x:c>
      <x:c r="K38" s="9" t="str">
        <x:f>IF('Raw Invoices'!K38="","",'Raw Invoices'!K38)</x:f>
      </x:c>
      <x:c r="L38" s="50" t="str">
        <x:f>IFERROR(VLOOKUP(UPPER(TRIM(B38)),'Vendor Mapping'!$A$13:$B$36,2,FALSE),"UNMAPPED")</x:f>
        <x:v>V005</x:v>
      </x:c>
      <x:c r="M38" s="51" t="str">
        <x:f>IF(L38="UNMAPPED","Needs Review",VLOOKUP(L38,'Vendor Mapping'!$A$2:$D$9,2,FALSE))</x:f>
        <x:v>Atlas Workspace</x:v>
      </x:c>
      <x:c r="N38" s="55">
        <x:f t="shared" si="0"/>
        <x:v>1</x:v>
      </x:c>
      <x:c r="O38" s="55">
        <x:f t="shared" si="1"/>
        <x:v>2</x:v>
      </x:c>
      <x:c r="P38" s="43" t="str">
        <x:f t="shared" si="2"/>
        <x:v>Missing Invoice File</x:v>
      </x:c>
      <x:c r="Q38" s="43" t="str">
        <x:f t="shared" si="3"/>
        <x:v>MEDIUM</x:v>
      </x:c>
      <x:c r="R38" s="44" t="str">
        <x:f t="shared" si="4"/>
        <x:v>Request missing/corrected document by email</x:v>
      </x:c>
    </x:row>
    <x:row r="39" ht="23.100000381469727" customHeight="1">
      <x:c r="A39" s="24" t="str">
        <x:f>'Raw Invoices'!A39</x:f>
        <x:v>INV-2026-038</x:v>
      </x:c>
      <x:c r="B39" s="14" t="str">
        <x:f>'Raw Invoices'!B39</x:f>
        <x:v>SINAR PRINT &amp; PACK</x:v>
      </x:c>
      <x:c r="C39" s="15" t="n">
        <x:f>'Raw Invoices'!C39</x:f>
        <x:v>46254</x:v>
      </x:c>
      <x:c r="D39" s="15" t="n">
        <x:f>'Raw Invoices'!D39</x:f>
        <x:v>46284</x:v>
      </x:c>
      <x:c r="E39" s="89" t="str">
        <x:f>'Raw Invoices'!E39</x:f>
        <x:v>IDR</x:v>
      </x:c>
      <x:c r="F39" s="16" t="n">
        <x:f>IF('Raw Invoices'!F39="","",'Raw Invoices'!F39)</x:f>
        <x:v>5675000</x:v>
      </x:c>
      <x:c r="G39" s="14" t="str">
        <x:f>IF('Raw Invoices'!G39="","",'Raw Invoices'!G39)</x:f>
        <x:v>PO-2438</x:v>
      </x:c>
      <x:c r="H39" s="27" t="str">
        <x:f>'Raw Invoices'!H39</x:f>
        <x:v>Unpaid</x:v>
      </x:c>
      <x:c r="I39" s="15" t="str">
        <x:f>IF('Raw Invoices'!I39="","",'Raw Invoices'!I39)</x:f>
      </x:c>
      <x:c r="J39" s="27" t="str">
        <x:f>'Raw Invoices'!J39</x:f>
        <x:v>Approved</x:v>
      </x:c>
      <x:c r="K39" s="14" t="str">
        <x:f>IF('Raw Invoices'!K39="","",'Raw Invoices'!K39)</x:f>
        <x:v>INV-2026-038_V006.pdf</x:v>
      </x:c>
      <x:c r="L39" s="52" t="str">
        <x:f>IFERROR(VLOOKUP(UPPER(TRIM(B39)),'Vendor Mapping'!$A$13:$B$36,2,FALSE),"UNMAPPED")</x:f>
        <x:v>V006</x:v>
      </x:c>
      <x:c r="M39" s="53" t="str">
        <x:f>IF(L39="UNMAPPED","Needs Review",VLOOKUP(L39,'Vendor Mapping'!$A$2:$D$9,2,FALSE))</x:f>
        <x:v>Sinar Print &amp; Pack</x:v>
      </x:c>
      <x:c r="N39" s="56">
        <x:f t="shared" si="0"/>
        <x:v>1</x:v>
      </x:c>
      <x:c r="O39" s="56">
        <x:f t="shared" si="1"/>
        <x:v>1</x:v>
      </x:c>
      <x:c r="P39" s="45" t="str">
        <x:f t="shared" si="2"/>
        <x:v>Overdue - Written Follow-Up</x:v>
      </x:c>
      <x:c r="Q39" s="45" t="str">
        <x:f t="shared" si="3"/>
        <x:v>HIGH</x:v>
      </x:c>
      <x:c r="R39" s="46" t="str">
        <x:f t="shared" si="4"/>
        <x:v>Send email reminder to vendor; log response</x:v>
      </x:c>
    </x:row>
    <x:row r="40" ht="23.100000381469727" customHeight="1">
      <x:c r="A40" s="23" t="str">
        <x:f>'Raw Invoices'!A40</x:f>
        <x:v>INV-2026-039</x:v>
      </x:c>
      <x:c r="B40" s="9" t="str">
        <x:f>'Raw Invoices'!B40</x:f>
        <x:v>Karya Facility Support</x:v>
      </x:c>
      <x:c r="C40" s="10" t="n">
        <x:f>'Raw Invoices'!C40</x:f>
        <x:v>46257</x:v>
      </x:c>
      <x:c r="D40" s="10" t="n">
        <x:f>'Raw Invoices'!D40</x:f>
        <x:v>46271</x:v>
      </x:c>
      <x:c r="E40" s="88" t="str">
        <x:f>'Raw Invoices'!E40</x:f>
        <x:v>IDR</x:v>
      </x:c>
      <x:c r="F40" s="11" t="n">
        <x:f>IF('Raw Invoices'!F40="","",'Raw Invoices'!F40)</x:f>
        <x:v>5812500</x:v>
      </x:c>
      <x:c r="G40" s="9" t="str">
        <x:f>IF('Raw Invoices'!G40="","",'Raw Invoices'!G40)</x:f>
        <x:v>PO-2439</x:v>
      </x:c>
      <x:c r="H40" s="26" t="str">
        <x:f>'Raw Invoices'!H40</x:f>
        <x:v>Pending</x:v>
      </x:c>
      <x:c r="I40" s="10" t="str">
        <x:f>IF('Raw Invoices'!I40="","",'Raw Invoices'!I40)</x:f>
      </x:c>
      <x:c r="J40" s="26" t="str">
        <x:f>'Raw Invoices'!J40</x:f>
        <x:v>Approved</x:v>
      </x:c>
      <x:c r="K40" s="9" t="str">
        <x:f>IF('Raw Invoices'!K40="","",'Raw Invoices'!K40)</x:f>
        <x:v>INV-2026-039_V007.pdf</x:v>
      </x:c>
      <x:c r="L40" s="50" t="str">
        <x:f>IFERROR(VLOOKUP(UPPER(TRIM(B40)),'Vendor Mapping'!$A$13:$B$36,2,FALSE),"UNMAPPED")</x:f>
        <x:v>V007</x:v>
      </x:c>
      <x:c r="M40" s="51" t="str">
        <x:f>IF(L40="UNMAPPED","Needs Review",VLOOKUP(L40,'Vendor Mapping'!$A$2:$D$9,2,FALSE))</x:f>
        <x:v>Karya Facility Support</x:v>
      </x:c>
      <x:c r="N40" s="55">
        <x:f t="shared" si="0"/>
        <x:v>1</x:v>
      </x:c>
      <x:c r="O40" s="55">
        <x:f t="shared" si="1"/>
        <x:v>1</x:v>
      </x:c>
      <x:c r="P40" s="43" t="str">
        <x:f t="shared" si="2"/>
        <x:v>Overdue - Written Follow-Up</x:v>
      </x:c>
      <x:c r="Q40" s="43" t="str">
        <x:f t="shared" si="3"/>
        <x:v>HIGH</x:v>
      </x:c>
      <x:c r="R40" s="44" t="str">
        <x:f t="shared" si="4"/>
        <x:v>Send email reminder to vendor; log response</x:v>
      </x:c>
    </x:row>
    <x:row r="41" ht="23.100000381469727" customHeight="1">
      <x:c r="A41" s="24" t="str">
        <x:f>'Raw Invoices'!A41</x:f>
        <x:v>INV-2026-040</x:v>
      </x:c>
      <x:c r="B41" s="14" t="str">
        <x:f>'Raw Invoices'!B41</x:f>
        <x:v>meridian cloud tools</x:v>
      </x:c>
      <x:c r="C41" s="15" t="n">
        <x:f>'Raw Invoices'!C41</x:f>
        <x:v>46236</x:v>
      </x:c>
      <x:c r="D41" s="15" t="n">
        <x:f>'Raw Invoices'!D41</x:f>
        <x:v>46266</x:v>
      </x:c>
      <x:c r="E41" s="89" t="str">
        <x:f>'Raw Invoices'!E41</x:f>
        <x:v>USD</x:v>
      </x:c>
      <x:c r="F41" s="16" t="n">
        <x:f>IF('Raw Invoices'!F41="","",'Raw Invoices'!F41)</x:f>
        <x:v>985</x:v>
      </x:c>
      <x:c r="G41" s="14" t="str">
        <x:f>IF('Raw Invoices'!G41="","",'Raw Invoices'!G41)</x:f>
        <x:v>PO-2440</x:v>
      </x:c>
      <x:c r="H41" s="27" t="str">
        <x:f>'Raw Invoices'!H41</x:f>
        <x:v>Paid</x:v>
      </x:c>
      <x:c r="I41" s="15" t="n">
        <x:f>IF('Raw Invoices'!I41="","",'Raw Invoices'!I41)</x:f>
        <x:v>46265</x:v>
      </x:c>
      <x:c r="J41" s="27" t="str">
        <x:f>'Raw Invoices'!J41</x:f>
        <x:v>Approved</x:v>
      </x:c>
      <x:c r="K41" s="14" t="str">
        <x:f>IF('Raw Invoices'!K41="","",'Raw Invoices'!K41)</x:f>
        <x:v>INV-2026-040_V008.pdf</x:v>
      </x:c>
      <x:c r="L41" s="52" t="str">
        <x:f>IFERROR(VLOOKUP(UPPER(TRIM(B41)),'Vendor Mapping'!$A$13:$B$36,2,FALSE),"UNMAPPED")</x:f>
        <x:v>V008</x:v>
      </x:c>
      <x:c r="M41" s="53" t="str">
        <x:f>IF(L41="UNMAPPED","Needs Review",VLOOKUP(L41,'Vendor Mapping'!$A$2:$D$9,2,FALSE))</x:f>
        <x:v>Meridian Cloud Tools</x:v>
      </x:c>
      <x:c r="N41" s="56">
        <x:f t="shared" si="0"/>
        <x:v>1</x:v>
      </x:c>
      <x:c r="O41" s="56">
        <x:f t="shared" si="1"/>
        <x:v>0</x:v>
      </x:c>
      <x:c r="P41" s="45" t="str">
        <x:f t="shared" si="2"/>
        <x:v>Ready / Complete</x:v>
      </x:c>
      <x:c r="Q41" s="45" t="str">
        <x:f t="shared" si="3"/>
        <x:v>LOW</x:v>
      </x:c>
      <x:c r="R41" s="46" t="str">
        <x:f t="shared" si="4"/>
        <x:v>File and record complete</x:v>
      </x:c>
    </x:row>
    <x:row r="42" ht="23.100000381469727" customHeight="1">
      <x:c r="A42" s="23" t="str">
        <x:f>'Raw Invoices'!A42</x:f>
        <x:v>INV-2026-041</x:v>
      </x:c>
      <x:c r="B42" s="9" t="str">
        <x:f>'Raw Invoices'!B42</x:f>
        <x:v>NUSANTARA OFFICE SUPPLY</x:v>
      </x:c>
      <x:c r="C42" s="10" t="n">
        <x:f>'Raw Invoices'!C42</x:f>
        <x:v>46239</x:v>
      </x:c>
      <x:c r="D42" s="10" t="n">
        <x:f>'Raw Invoices'!D42</x:f>
        <x:v>46269</x:v>
      </x:c>
      <x:c r="E42" s="88" t="str">
        <x:f>'Raw Invoices'!E42</x:f>
        <x:v>IDR</x:v>
      </x:c>
      <x:c r="F42" s="11" t="n">
        <x:f>IF('Raw Invoices'!F42="","",'Raw Invoices'!F42)</x:f>
        <x:v>6087500</x:v>
      </x:c>
      <x:c r="G42" s="9" t="str">
        <x:f>IF('Raw Invoices'!G42="","",'Raw Invoices'!G42)</x:f>
        <x:v>PO-2441</x:v>
      </x:c>
      <x:c r="H42" s="26" t="str">
        <x:f>'Raw Invoices'!H42</x:f>
        <x:v>Unpaid</x:v>
      </x:c>
      <x:c r="I42" s="10" t="str">
        <x:f>IF('Raw Invoices'!I42="","",'Raw Invoices'!I42)</x:f>
      </x:c>
      <x:c r="J42" s="26" t="str">
        <x:f>'Raw Invoices'!J42</x:f>
        <x:v>Approved</x:v>
      </x:c>
      <x:c r="K42" s="9" t="str">
        <x:f>IF('Raw Invoices'!K42="","",'Raw Invoices'!K42)</x:f>
        <x:v>INV-2026-041_V001.pdf</x:v>
      </x:c>
      <x:c r="L42" s="50" t="str">
        <x:f>IFERROR(VLOOKUP(UPPER(TRIM(B42)),'Vendor Mapping'!$A$13:$B$36,2,FALSE),"UNMAPPED")</x:f>
        <x:v>V001</x:v>
      </x:c>
      <x:c r="M42" s="51" t="str">
        <x:f>IF(L42="UNMAPPED","Needs Review",VLOOKUP(L42,'Vendor Mapping'!$A$2:$D$9,2,FALSE))</x:f>
        <x:v>Nusantara Office Supply</x:v>
      </x:c>
      <x:c r="N42" s="55">
        <x:f t="shared" si="0"/>
        <x:v>1</x:v>
      </x:c>
      <x:c r="O42" s="55">
        <x:f t="shared" si="1"/>
        <x:v>1</x:v>
      </x:c>
      <x:c r="P42" s="43" t="str">
        <x:f t="shared" si="2"/>
        <x:v>Overdue - Written Follow-Up</x:v>
      </x:c>
      <x:c r="Q42" s="43" t="str">
        <x:f t="shared" si="3"/>
        <x:v>HIGH</x:v>
      </x:c>
      <x:c r="R42" s="44" t="str">
        <x:f t="shared" si="4"/>
        <x:v>Send email reminder to vendor; log response</x:v>
      </x:c>
    </x:row>
    <x:row r="43" ht="23.100000381469727" customHeight="1">
      <x:c r="A43" s="24" t="str">
        <x:f>'Raw Invoices'!A43</x:f>
        <x:v>INV-2026-005</x:v>
      </x:c>
      <x:c r="B43" s="14" t="str">
        <x:f>'Raw Invoices'!B43</x:f>
        <x:v>Citra Digital Services</x:v>
      </x:c>
      <x:c r="C43" s="15" t="n">
        <x:f>'Raw Invoices'!C43</x:f>
        <x:v>46242</x:v>
      </x:c>
      <x:c r="D43" s="15" t="n">
        <x:f>'Raw Invoices'!D43</x:f>
        <x:v>46256</x:v>
      </x:c>
      <x:c r="E43" s="89" t="str">
        <x:f>'Raw Invoices'!E43</x:f>
        <x:v>IDR</x:v>
      </x:c>
      <x:c r="F43" s="16" t="n">
        <x:f>IF('Raw Invoices'!F43="","",'Raw Invoices'!F43)</x:f>
        <x:v>6225000</x:v>
      </x:c>
      <x:c r="G43" s="14" t="str">
        <x:f>IF('Raw Invoices'!G43="","",'Raw Invoices'!G43)</x:f>
        <x:v>PO-2442</x:v>
      </x:c>
      <x:c r="H43" s="27" t="str">
        <x:f>'Raw Invoices'!H43</x:f>
        <x:v>Paid</x:v>
      </x:c>
      <x:c r="I43" s="15" t="n">
        <x:f>IF('Raw Invoices'!I43="","",'Raw Invoices'!I43)</x:f>
        <x:v>46253</x:v>
      </x:c>
      <x:c r="J43" s="27" t="str">
        <x:f>'Raw Invoices'!J43</x:f>
        <x:v>Pending Approval</x:v>
      </x:c>
      <x:c r="K43" s="14" t="str">
        <x:f>IF('Raw Invoices'!K43="","",'Raw Invoices'!K43)</x:f>
        <x:v>INV-2026-042_V002.pdf</x:v>
      </x:c>
      <x:c r="L43" s="52" t="str">
        <x:f>IFERROR(VLOOKUP(UPPER(TRIM(B43)),'Vendor Mapping'!$A$13:$B$36,2,FALSE),"UNMAPPED")</x:f>
        <x:v>V002</x:v>
      </x:c>
      <x:c r="M43" s="53" t="str">
        <x:f>IF(L43="UNMAPPED","Needs Review",VLOOKUP(L43,'Vendor Mapping'!$A$2:$D$9,2,FALSE))</x:f>
        <x:v>Citra Digital Services</x:v>
      </x:c>
      <x:c r="N43" s="56">
        <x:f t="shared" si="0"/>
        <x:v>3</x:v>
      </x:c>
      <x:c r="O43" s="56">
        <x:f t="shared" si="1"/>
        <x:v>2</x:v>
      </x:c>
      <x:c r="P43" s="45" t="str">
        <x:f t="shared" si="2"/>
        <x:v>Duplicate Invoice ID</x:v>
      </x:c>
      <x:c r="Q43" s="45" t="str">
        <x:f t="shared" si="3"/>
        <x:v>HIGH</x:v>
      </x:c>
      <x:c r="R43" s="46" t="str">
        <x:f t="shared" si="4"/>
        <x:v>Compare files and confirm duplicate in writing</x:v>
      </x:c>
    </x:row>
    <x:row r="44" ht="23.100000381469727" customHeight="1">
      <x:c r="A44" s="23" t="str">
        <x:f>'Raw Invoices'!A44</x:f>
        <x:v>INV-2026-043</x:v>
      </x:c>
      <x:c r="B44" s="9" t="str">
        <x:f>'Raw Invoices'!B44</x:f>
        <x:v>brightpath software</x:v>
      </x:c>
      <x:c r="C44" s="10" t="n">
        <x:f>'Raw Invoices'!C44</x:f>
        <x:v>46245</x:v>
      </x:c>
      <x:c r="D44" s="10" t="n">
        <x:f>'Raw Invoices'!D44</x:f>
        <x:v>46275</x:v>
      </x:c>
      <x:c r="E44" s="88" t="str">
        <x:f>'Raw Invoices'!E44</x:f>
        <x:v>USD</x:v>
      </x:c>
      <x:c r="F44" s="11" t="n">
        <x:f>IF('Raw Invoices'!F44="","",'Raw Invoices'!F44)</x:f>
        <x:v>1052.5</x:v>
      </x:c>
      <x:c r="G44" s="9" t="str">
        <x:f>IF('Raw Invoices'!G44="","",'Raw Invoices'!G44)</x:f>
        <x:v>PO-2443</x:v>
      </x:c>
      <x:c r="H44" s="26" t="str">
        <x:f>'Raw Invoices'!H44</x:f>
        <x:v>Unpaid</x:v>
      </x:c>
      <x:c r="I44" s="10" t="str">
        <x:f>IF('Raw Invoices'!I44="","",'Raw Invoices'!I44)</x:f>
      </x:c>
      <x:c r="J44" s="26" t="str">
        <x:f>'Raw Invoices'!J44</x:f>
        <x:v>Approved</x:v>
      </x:c>
      <x:c r="K44" s="9" t="str">
        <x:f>IF('Raw Invoices'!K44="","",'Raw Invoices'!K44)</x:f>
        <x:v>INV-2026-043_V003.pdf</x:v>
      </x:c>
      <x:c r="L44" s="50" t="str">
        <x:f>IFERROR(VLOOKUP(UPPER(TRIM(B44)),'Vendor Mapping'!$A$13:$B$36,2,FALSE),"UNMAPPED")</x:f>
        <x:v>V003</x:v>
      </x:c>
      <x:c r="M44" s="51" t="str">
        <x:f>IF(L44="UNMAPPED","Needs Review",VLOOKUP(L44,'Vendor Mapping'!$A$2:$D$9,2,FALSE))</x:f>
        <x:v>BrightPath Software</x:v>
      </x:c>
      <x:c r="N44" s="55">
        <x:f t="shared" si="0"/>
        <x:v>1</x:v>
      </x:c>
      <x:c r="O44" s="55">
        <x:f t="shared" si="1"/>
        <x:v>1</x:v>
      </x:c>
      <x:c r="P44" s="43" t="str">
        <x:f t="shared" si="2"/>
        <x:v>Overdue - Written Follow-Up</x:v>
      </x:c>
      <x:c r="Q44" s="43" t="str">
        <x:f t="shared" si="3"/>
        <x:v>HIGH</x:v>
      </x:c>
      <x:c r="R44" s="44" t="str">
        <x:f t="shared" si="4"/>
        <x:v>Send email reminder to vendor; log response</x:v>
      </x:c>
    </x:row>
    <x:row r="45" ht="23.100000381469727" customHeight="1">
      <x:c r="A45" s="24" t="str">
        <x:f>'Raw Invoices'!A45</x:f>
        <x:v>INV-2026-044</x:v>
      </x:c>
      <x:c r="B45" s="14" t="str">
        <x:f>'Raw Invoices'!B45</x:f>
        <x:v>GARUDA LOGISTICS</x:v>
      </x:c>
      <x:c r="C45" s="15" t="n">
        <x:f>'Raw Invoices'!C45</x:f>
        <x:v>46248</x:v>
      </x:c>
      <x:c r="D45" s="15" t="n">
        <x:f>'Raw Invoices'!D45</x:f>
        <x:v>46269</x:v>
      </x:c>
      <x:c r="E45" s="89" t="str">
        <x:f>'Raw Invoices'!E45</x:f>
        <x:v>IDR</x:v>
      </x:c>
      <x:c r="F45" s="16" t="n">
        <x:f>IF('Raw Invoices'!F45="","",'Raw Invoices'!F45)</x:f>
        <x:v>6500000</x:v>
      </x:c>
      <x:c r="G45" s="14" t="str">
        <x:f>IF('Raw Invoices'!G45="","",'Raw Invoices'!G45)</x:f>
        <x:v>PO-2444</x:v>
      </x:c>
      <x:c r="H45" s="27" t="str">
        <x:f>'Raw Invoices'!H45</x:f>
        <x:v>Paid</x:v>
      </x:c>
      <x:c r="I45" s="15" t="n">
        <x:f>IF('Raw Invoices'!I45="","",'Raw Invoices'!I45)</x:f>
        <x:v>46264</x:v>
      </x:c>
      <x:c r="J45" s="27" t="str">
        <x:f>'Raw Invoices'!J45</x:f>
        <x:v>Approved</x:v>
      </x:c>
      <x:c r="K45" s="14" t="str">
        <x:f>IF('Raw Invoices'!K45="","",'Raw Invoices'!K45)</x:f>
        <x:v>INV-2026-044_V004.pdf</x:v>
      </x:c>
      <x:c r="L45" s="52" t="str">
        <x:f>IFERROR(VLOOKUP(UPPER(TRIM(B45)),'Vendor Mapping'!$A$13:$B$36,2,FALSE),"UNMAPPED")</x:f>
        <x:v>V004</x:v>
      </x:c>
      <x:c r="M45" s="53" t="str">
        <x:f>IF(L45="UNMAPPED","Needs Review",VLOOKUP(L45,'Vendor Mapping'!$A$2:$D$9,2,FALSE))</x:f>
        <x:v>Garuda Logistics</x:v>
      </x:c>
      <x:c r="N45" s="56">
        <x:f t="shared" si="0"/>
        <x:v>1</x:v>
      </x:c>
      <x:c r="O45" s="56">
        <x:f t="shared" si="1"/>
        <x:v>0</x:v>
      </x:c>
      <x:c r="P45" s="45" t="str">
        <x:f t="shared" si="2"/>
        <x:v>Ready / Complete</x:v>
      </x:c>
      <x:c r="Q45" s="45" t="str">
        <x:f t="shared" si="3"/>
        <x:v>LOW</x:v>
      </x:c>
      <x:c r="R45" s="46" t="str">
        <x:f t="shared" si="4"/>
        <x:v>File and record complete</x:v>
      </x:c>
    </x:row>
    <x:row r="46" ht="23.100000381469727" customHeight="1">
      <x:c r="A46" s="23" t="str">
        <x:f>'Raw Invoices'!A46</x:f>
        <x:v>INV-2026-045</x:v>
      </x:c>
      <x:c r="B46" s="9" t="str">
        <x:f>'Raw Invoices'!B46</x:f>
        <x:v>Atlas Workspace</x:v>
      </x:c>
      <x:c r="C46" s="10" t="n">
        <x:f>'Raw Invoices'!C46</x:f>
        <x:v>46251</x:v>
      </x:c>
      <x:c r="D46" s="10" t="n">
        <x:f>'Raw Invoices'!D46</x:f>
        <x:v>46265</x:v>
      </x:c>
      <x:c r="E46" s="88" t="str">
        <x:f>'Raw Invoices'!E46</x:f>
        <x:v>USD</x:v>
      </x:c>
      <x:c r="F46" s="11" t="n">
        <x:f>IF('Raw Invoices'!F46="","",'Raw Invoices'!F46)</x:f>
        <x:v>1097.5</x:v>
      </x:c>
      <x:c r="G46" s="9" t="str">
        <x:f>IF('Raw Invoices'!G46="","",'Raw Invoices'!G46)</x:f>
        <x:v>PO-2445</x:v>
      </x:c>
      <x:c r="H46" s="26" t="str">
        <x:f>'Raw Invoices'!H46</x:f>
        <x:v>Pending</x:v>
      </x:c>
      <x:c r="I46" s="10" t="str">
        <x:f>IF('Raw Invoices'!I46="","",'Raw Invoices'!I46)</x:f>
      </x:c>
      <x:c r="J46" s="26" t="str">
        <x:f>'Raw Invoices'!J46</x:f>
        <x:v>Approved</x:v>
      </x:c>
      <x:c r="K46" s="9" t="str">
        <x:f>IF('Raw Invoices'!K46="","",'Raw Invoices'!K46)</x:f>
        <x:v>INV-2026-045_V005.pdf</x:v>
      </x:c>
      <x:c r="L46" s="50" t="str">
        <x:f>IFERROR(VLOOKUP(UPPER(TRIM(B46)),'Vendor Mapping'!$A$13:$B$36,2,FALSE),"UNMAPPED")</x:f>
        <x:v>V005</x:v>
      </x:c>
      <x:c r="M46" s="51" t="str">
        <x:f>IF(L46="UNMAPPED","Needs Review",VLOOKUP(L46,'Vendor Mapping'!$A$2:$D$9,2,FALSE))</x:f>
        <x:v>Atlas Workspace</x:v>
      </x:c>
      <x:c r="N46" s="55">
        <x:f t="shared" si="0"/>
        <x:v>1</x:v>
      </x:c>
      <x:c r="O46" s="55">
        <x:f t="shared" si="1"/>
        <x:v>1</x:v>
      </x:c>
      <x:c r="P46" s="43" t="str">
        <x:f t="shared" si="2"/>
        <x:v>Overdue - Written Follow-Up</x:v>
      </x:c>
      <x:c r="Q46" s="43" t="str">
        <x:f t="shared" si="3"/>
        <x:v>HIGH</x:v>
      </x:c>
      <x:c r="R46" s="44" t="str">
        <x:f t="shared" si="4"/>
        <x:v>Send email reminder to vendor; log response</x:v>
      </x:c>
    </x:row>
    <x:row r="47" ht="23.100000381469727" customHeight="1">
      <x:c r="A47" s="24" t="str">
        <x:f>'Raw Invoices'!A47</x:f>
        <x:v>INV-2026-046</x:v>
      </x:c>
      <x:c r="B47" s="14" t="str">
        <x:f>'Raw Invoices'!B47</x:f>
        <x:v>Sinar Print and Pack</x:v>
      </x:c>
      <x:c r="C47" s="15" t="n">
        <x:f>'Raw Invoices'!C47</x:f>
        <x:v>46254</x:v>
      </x:c>
      <x:c r="D47" s="15" t="n">
        <x:f>'Raw Invoices'!D47</x:f>
        <x:v>46284</x:v>
      </x:c>
      <x:c r="E47" s="89" t="str">
        <x:f>'Raw Invoices'!E47</x:f>
        <x:v>IDR</x:v>
      </x:c>
      <x:c r="F47" s="16" t="n">
        <x:f>IF('Raw Invoices'!F47="","",'Raw Invoices'!F47)</x:f>
        <x:v>6775000</x:v>
      </x:c>
      <x:c r="G47" s="14" t="str">
        <x:f>IF('Raw Invoices'!G47="","",'Raw Invoices'!G47)</x:f>
        <x:v>PO-2446</x:v>
      </x:c>
      <x:c r="H47" s="27" t="str">
        <x:f>'Raw Invoices'!H47</x:f>
        <x:v>Unpaid</x:v>
      </x:c>
      <x:c r="I47" s="15" t="str">
        <x:f>IF('Raw Invoices'!I47="","",'Raw Invoices'!I47)</x:f>
      </x:c>
      <x:c r="J47" s="27" t="str">
        <x:f>'Raw Invoices'!J47</x:f>
        <x:v>Approved</x:v>
      </x:c>
      <x:c r="K47" s="14" t="str">
        <x:f>IF('Raw Invoices'!K47="","",'Raw Invoices'!K47)</x:f>
        <x:v>INV-2026-046_V006.pdf</x:v>
      </x:c>
      <x:c r="L47" s="52" t="str">
        <x:f>IFERROR(VLOOKUP(UPPER(TRIM(B47)),'Vendor Mapping'!$A$13:$B$36,2,FALSE),"UNMAPPED")</x:f>
        <x:v>V006</x:v>
      </x:c>
      <x:c r="M47" s="53" t="str">
        <x:f>IF(L47="UNMAPPED","Needs Review",VLOOKUP(L47,'Vendor Mapping'!$A$2:$D$9,2,FALSE))</x:f>
        <x:v>Sinar Print &amp; Pack</x:v>
      </x:c>
      <x:c r="N47" s="56">
        <x:f t="shared" si="0"/>
        <x:v>1</x:v>
      </x:c>
      <x:c r="O47" s="56">
        <x:f t="shared" si="1"/>
        <x:v>1</x:v>
      </x:c>
      <x:c r="P47" s="45" t="str">
        <x:f t="shared" si="2"/>
        <x:v>Overdue - Written Follow-Up</x:v>
      </x:c>
      <x:c r="Q47" s="45" t="str">
        <x:f t="shared" si="3"/>
        <x:v>HIGH</x:v>
      </x:c>
      <x:c r="R47" s="46" t="str">
        <x:f t="shared" si="4"/>
        <x:v>Send email reminder to vendor; log response</x:v>
      </x:c>
    </x:row>
    <x:row r="48" ht="23.100000381469727" customHeight="1">
      <x:c r="A48" s="23" t="str">
        <x:f>'Raw Invoices'!A48</x:f>
        <x:v>INV-2026-047</x:v>
      </x:c>
      <x:c r="B48" s="9" t="str">
        <x:f>'Raw Invoices'!B48</x:f>
        <x:v>KARYA FACILITY SUPPORT</x:v>
      </x:c>
      <x:c r="C48" s="10" t="n">
        <x:f>'Raw Invoices'!C48</x:f>
        <x:v>46257</x:v>
      </x:c>
      <x:c r="D48" s="10" t="n">
        <x:f>'Raw Invoices'!D48</x:f>
        <x:v>46271</x:v>
      </x:c>
      <x:c r="E48" s="88" t="str">
        <x:f>'Raw Invoices'!E48</x:f>
        <x:v>IDR</x:v>
      </x:c>
      <x:c r="F48" s="11" t="n">
        <x:f>IF('Raw Invoices'!F48="","",'Raw Invoices'!F48)</x:f>
        <x:v>6912500</x:v>
      </x:c>
      <x:c r="G48" s="9" t="str">
        <x:f>IF('Raw Invoices'!G48="","",'Raw Invoices'!G48)</x:f>
        <x:v>PO-2447</x:v>
      </x:c>
      <x:c r="H48" s="26" t="str">
        <x:f>'Raw Invoices'!H48</x:f>
        <x:v>Unpaid</x:v>
      </x:c>
      <x:c r="I48" s="10" t="str">
        <x:f>IF('Raw Invoices'!I48="","",'Raw Invoices'!I48)</x:f>
      </x:c>
      <x:c r="J48" s="26" t="str">
        <x:f>'Raw Invoices'!J48</x:f>
        <x:v>Approved</x:v>
      </x:c>
      <x:c r="K48" s="9" t="str">
        <x:f>IF('Raw Invoices'!K48="","",'Raw Invoices'!K48)</x:f>
        <x:v>INV-2026-047_V007.pdf</x:v>
      </x:c>
      <x:c r="L48" s="50" t="str">
        <x:f>IFERROR(VLOOKUP(UPPER(TRIM(B48)),'Vendor Mapping'!$A$13:$B$36,2,FALSE),"UNMAPPED")</x:f>
        <x:v>V007</x:v>
      </x:c>
      <x:c r="M48" s="51" t="str">
        <x:f>IF(L48="UNMAPPED","Needs Review",VLOOKUP(L48,'Vendor Mapping'!$A$2:$D$9,2,FALSE))</x:f>
        <x:v>Karya Facility Support</x:v>
      </x:c>
      <x:c r="N48" s="55">
        <x:f t="shared" si="0"/>
        <x:v>1</x:v>
      </x:c>
      <x:c r="O48" s="55">
        <x:f t="shared" si="1"/>
        <x:v>1</x:v>
      </x:c>
      <x:c r="P48" s="43" t="str">
        <x:f t="shared" si="2"/>
        <x:v>Overdue - Written Follow-Up</x:v>
      </x:c>
      <x:c r="Q48" s="43" t="str">
        <x:f t="shared" si="3"/>
        <x:v>HIGH</x:v>
      </x:c>
      <x:c r="R48" s="44" t="str">
        <x:f t="shared" si="4"/>
        <x:v>Send email reminder to vendor; log response</x:v>
      </x:c>
    </x:row>
    <x:row r="49" ht="23.100000381469727" customHeight="1">
      <x:c r="A49" s="25" t="str">
        <x:f>'Raw Invoices'!A49</x:f>
        <x:v>INV-2026-048</x:v>
      </x:c>
      <x:c r="B49" s="19" t="str">
        <x:f>'Raw Invoices'!B49</x:f>
        <x:v>Meridian Cloud Tools</x:v>
      </x:c>
      <x:c r="C49" s="20" t="n">
        <x:f>'Raw Invoices'!C49</x:f>
        <x:v>46236</x:v>
      </x:c>
      <x:c r="D49" s="20" t="n">
        <x:f>'Raw Invoices'!D49</x:f>
        <x:v>46266</x:v>
      </x:c>
      <x:c r="E49" s="90" t="str">
        <x:f>'Raw Invoices'!E49</x:f>
        <x:v>USD</x:v>
      </x:c>
      <x:c r="F49" s="21" t="n">
        <x:f>IF('Raw Invoices'!F49="","",'Raw Invoices'!F49)</x:f>
        <x:v>1165</x:v>
      </x:c>
      <x:c r="G49" s="19" t="str">
        <x:f>IF('Raw Invoices'!G49="","",'Raw Invoices'!G49)</x:f>
        <x:v>PO-2448</x:v>
      </x:c>
      <x:c r="H49" s="28" t="str">
        <x:f>'Raw Invoices'!H49</x:f>
        <x:v>Paid</x:v>
      </x:c>
      <x:c r="I49" s="20" t="n">
        <x:f>IF('Raw Invoices'!I49="","",'Raw Invoices'!I49)</x:f>
        <x:v>46262</x:v>
      </x:c>
      <x:c r="J49" s="28" t="str">
        <x:f>'Raw Invoices'!J49</x:f>
        <x:v>Pending Approval</x:v>
      </x:c>
      <x:c r="K49" s="19" t="str">
        <x:f>IF('Raw Invoices'!K49="","",'Raw Invoices'!K49)</x:f>
        <x:v>INV-2026-048_V008.pdf</x:v>
      </x:c>
      <x:c r="L49" s="52" t="str">
        <x:f>IFERROR(VLOOKUP(UPPER(TRIM(B49)),'Vendor Mapping'!$A$13:$B$36,2,FALSE),"UNMAPPED")</x:f>
        <x:v>V008</x:v>
      </x:c>
      <x:c r="M49" s="54" t="str">
        <x:f>IF(L49="UNMAPPED","Needs Review",VLOOKUP(L49,'Vendor Mapping'!$A$2:$D$9,2,FALSE))</x:f>
        <x:v>Meridian Cloud Tools</x:v>
      </x:c>
      <x:c r="N49" s="57">
        <x:f t="shared" si="0"/>
        <x:v>1</x:v>
      </x:c>
      <x:c r="O49" s="57">
        <x:f t="shared" si="1"/>
        <x:v>1</x:v>
      </x:c>
      <x:c r="P49" s="47" t="str">
        <x:f t="shared" si="2"/>
        <x:v>Pending Written Approval</x:v>
      </x:c>
      <x:c r="Q49" s="47" t="str">
        <x:f t="shared" si="3"/>
        <x:v>MEDIUM</x:v>
      </x:c>
      <x:c r="R49" s="48" t="str">
        <x:f t="shared" si="4"/>
        <x:v>Send approval request by email/chat</x:v>
      </x:c>
    </x:row>
  </x:sheetData>
  <x:conditionalFormatting sqref="P2:P49">
    <x:cfRule type="containsText" dxfId="20" priority="4" operator="containsText" text="Ready / Complete"/>
    <x:cfRule type="containsText" dxfId="19" priority="5" operator="containsText" text="Overdue"/>
    <x:cfRule type="containsText" dxfId="18" priority="6" operator="containsText" text="Duplicate"/>
    <x:cfRule type="containsText" dxfId="17" priority="7" operator="containsText" text="Missing"/>
    <x:cfRule type="containsText" dxfId="16" priority="8" operator="containsText" text="Unmapped"/>
    <x:cfRule type="containsText" dxfId="15" priority="9" operator="containsText" text="Pending"/>
  </x:conditionalFormatting>
  <x:conditionalFormatting sqref="Q2:Q49">
    <x:cfRule type="containsText" dxfId="14" priority="10" operator="containsText" text="HIGH"/>
    <x:cfRule type="containsText" dxfId="13" priority="11" operator="containsText" text="MEDIUM"/>
    <x:cfRule type="containsText" dxfId="12" priority="12" operator="containsText" text="LOW"/>
  </x:conditionalFormatting>
  <x:conditionalFormatting sqref="O2:O49">
    <x:cfRule type="dataBar" priority="13">
      <x:dataBar>
        <x:cfvo type="min"/>
        <x:cfvo type="max"/>
        <x:color rgb="FFC7FF00"/>
      </x:dataBar>
    </x:cfRule>
  </x:conditionalFormatting>
  <x:conditionalFormatting sqref="O2:O49">
    <x:cfRule type="dataBar" priority="14">
      <x:dataBar>
        <x:cfvo type="min"/>
        <x:cfvo type="max"/>
        <x:color rgb="FFC7FF00"/>
      </x:dataBar>
    </x:cfRule>
  </x:conditionalFormatting>
  <x:conditionalFormatting sqref="O2:O49">
    <x:cfRule type="dataBar" priority="15">
      <x:dataBar>
        <x:cfvo type="min"/>
        <x:cfvo type="max"/>
        <x:color rgb="FFC7FF00"/>
      </x:dataBar>
      <x:extLst>
        <x:ext xmlns:x14="http://schemas.microsoft.com/office/spreadsheetml/2009/9/main" uri="{B025F937-C7B1-47D3-B67F-A62EFF666E3E}">
          <x14:id>{C0A2656C-10F8-D4CA-2A4B-927EB0D61DAA}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5" id="{C0A2656C-10F8-D4CA-2A4B-927EB0D61DAA}">
            <x14:dataBar gradient="0">
              <x14:cfvo type="min"/>
              <x14:cfvo type="max"/>
              <x14:fillColor rgb="FFC7FF00"/>
              <x14:negativeFillColor auto="1"/>
              <x14:axisColor auto="1"/>
            </x14:dataBar>
          </x14:cfRule>
          <xm:sqref>O2:O49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8" customWidth="1"/>
    <x:col min="2" max="2" width="6.625" customWidth="1"/>
  </x:cols>
  <x:sheetData>
    <x:row r="1" ht="38.099998474121094" customHeight="1">
      <x:c r="A1" s="62" t="s">
        <x:v>211</x:v>
      </x:c>
      <x:c r="B1" s="62"/>
      <x:c r="C1" s="6"/>
      <x:c r="D1" s="6"/>
    </x:row>
    <x:row r="2" ht="24.950000762939453" customHeight="1">
      <x:c r="A2" s="129" t="s">
        <x:v>212</x:v>
      </x:c>
      <x:c r="B2" s="129"/>
    </x:row>
    <x:row r="3" ht="33.95000076293945" customHeight="1">
      <x:c r="A3" s="7" t="s">
        <x:v>213</x:v>
      </x:c>
      <x:c r="B3" s="7" t="s">
        <x:v>214</x:v>
      </x:c>
    </x:row>
    <x:row r="4" ht="23.100000381469727" customHeight="1">
      <x:c r="A4" s="8" t="s">
        <x:v>215</x:v>
      </x:c>
      <x:c r="B4" s="63" t="n">
        <x:f>COUNTA('Invoice Validation'!$A$2:$A$49)</x:f>
        <x:v>48</x:v>
      </x:c>
    </x:row>
    <x:row r="5" ht="23.100000381469727" customHeight="1">
      <x:c r="A5" s="66" t="s">
        <x:v>216</x:v>
      </x:c>
      <x:c r="B5" s="69" t="n">
        <x:f>COUNTIF('Invoice Validation'!$P$2:$P$49,"Ready / Complete")</x:f>
        <x:v>11</x:v>
      </x:c>
    </x:row>
    <x:row r="6" ht="23.100000381469727" customHeight="1">
      <x:c r="A6" s="67" t="s">
        <x:v>217</x:v>
      </x:c>
      <x:c r="B6" s="70" t="n">
        <x:f>COUNTIF('Invoice Validation'!$O$2:$O$49,"&gt;0")</x:f>
        <x:v>37</x:v>
      </x:c>
    </x:row>
    <x:row r="7" ht="23.100000381469727" customHeight="1">
      <x:c r="A7" s="68" t="s">
        <x:v>218</x:v>
      </x:c>
      <x:c r="B7" s="71" t="n">
        <x:f>COUNTIF('Invoice Validation'!$Q$2:$Q$49,"HIGH")</x:f>
        <x:v>27</x:v>
      </x:c>
    </x:row>
    <x:row r="8" ht="23.100000381469727" customHeight="1">
      <x:c r="A8" s="8" t="s">
        <x:v>219</x:v>
      </x:c>
      <x:c r="B8" s="63" t="n">
        <x:f>COUNTIF('Invoice Validation'!$P$2:$P$49,"Duplicate Invoice ID")</x:f>
        <x:v>3</x:v>
      </x:c>
    </x:row>
    <x:row r="9" ht="23.100000381469727" customHeight="1">
      <x:c r="A9" s="13" t="s">
        <x:v>220</x:v>
      </x:c>
      <x:c r="B9" s="64" t="n">
        <x:f>COUNTIF('Invoice Validation'!$P$2:$P$49,"Unmapped Vendor")</x:f>
        <x:v>1</x:v>
      </x:c>
    </x:row>
    <x:row r="10" ht="23.100000381469727" customHeight="1">
      <x:c r="A10" s="8" t="s">
        <x:v>221</x:v>
      </x:c>
      <x:c r="B10" s="63" t="n">
        <x:f>COUNTIF('Invoice Validation'!$P$2:$P$49,"Missing Amount")+COUNTIF('Invoice Validation'!$P$2:$P$49,"Invalid Amount")</x:f>
        <x:v>2</x:v>
      </x:c>
    </x:row>
    <x:row r="11" ht="23.100000381469727" customHeight="1">
      <x:c r="A11" s="13" t="s">
        <x:v>222</x:v>
      </x:c>
      <x:c r="B11" s="64" t="n">
        <x:f>COUNTIF('Invoice Validation'!$P$2:$P$49,"Missing PO Number")</x:f>
        <x:v>2</x:v>
      </x:c>
    </x:row>
    <x:row r="12" ht="23.100000381469727" customHeight="1">
      <x:c r="A12" s="8" t="s">
        <x:v>223</x:v>
      </x:c>
      <x:c r="B12" s="63" t="n">
        <x:f>COUNTIF('Invoice Validation'!$P$2:$P$49,"Paid - Missing Payment Date")</x:f>
        <x:v>1</x:v>
      </x:c>
    </x:row>
    <x:row r="13" ht="23.100000381469727" customHeight="1">
      <x:c r="A13" s="13" t="s">
        <x:v>224</x:v>
      </x:c>
      <x:c r="B13" s="64" t="n">
        <x:f>COUNTIF('Invoice Validation'!$P$2:$P$49,"Missing Invoice File")</x:f>
        <x:v>1</x:v>
      </x:c>
    </x:row>
    <x:row r="14" ht="23.100000381469727" customHeight="1">
      <x:c r="A14" s="8" t="s">
        <x:v>225</x:v>
      </x:c>
      <x:c r="B14" s="63" t="n">
        <x:f>COUNTIF('Invoice Validation'!$P$2:$P$49,"Overdue - Written Follow-Up")</x:f>
        <x:v>23</x:v>
      </x:c>
    </x:row>
    <x:row r="15" ht="23.100000381469727" customHeight="1">
      <x:c r="A15" s="18" t="s">
        <x:v>226</x:v>
      </x:c>
      <x:c r="B15" s="65" t="n">
        <x:f>COUNTIF('Invoice Validation'!$P$2:$P$49,"Pending Written Approval")</x:f>
        <x:v>4</x:v>
      </x:c>
    </x:row>
  </x:sheetData>
  <x:mergeCells>
    <x:mergeCell ref="A2:B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3" customWidth="1"/>
    <x:col min="2" max="2" width="11" customWidth="1"/>
    <x:col min="3" max="3" width="20" customWidth="1"/>
    <x:col min="4" max="4" width="12" customWidth="1"/>
    <x:col min="5" max="5" width="7.25" customWidth="1"/>
    <x:col min="6" max="6" width="23.375" customWidth="1"/>
    <x:col min="7" max="7" width="24" customWidth="1"/>
    <x:col min="8" max="8" width="25" customWidth="1"/>
  </x:cols>
  <x:sheetData>
    <x:row r="1" ht="44.099998474121094" customHeight="1">
      <x:c r="A1" s="140" t="s">
        <x:v>227</x:v>
      </x:c>
      <x:c r="B1" s="140"/>
      <x:c r="C1" s="140"/>
      <x:c r="D1" s="140"/>
      <x:c r="E1" s="140"/>
      <x:c r="F1" s="140"/>
      <x:c r="G1" s="140"/>
      <x:c r="H1" s="140"/>
      <x:c r="J1" s="198"/>
      <x:c r="K1" s="198"/>
    </x:row>
    <x:row r="2" ht="33.95000076293945" customHeight="1">
      <x:c r="A2" s="129" t="s">
        <x:v>228</x:v>
      </x:c>
      <x:c r="B2" s="129"/>
      <x:c r="C2" s="129"/>
      <x:c r="D2" s="129"/>
      <x:c r="E2" s="129"/>
      <x:c r="F2" s="129"/>
      <x:c r="G2" s="129"/>
      <x:c r="H2" s="129"/>
      <x:c r="J2" s="198" t="s">
        <x:v>229</x:v>
      </x:c>
      <x:c r="K2" s="198" t="s">
        <x:v>230</x:v>
      </x:c>
    </x:row>
    <x:row r="3">
      <x:c r="J3" s="198" t="str">
        <x:f t="shared" ref="J3:J10" si="0">A9</x:f>
        <x:v>Duplicate Invoice ID</x:v>
      </x:c>
      <x:c r="K3" s="198" t="n">
        <x:f t="shared" ref="K3:K10" si="1">D9</x:f>
        <x:v>3</x:v>
      </x:c>
    </x:row>
    <x:row r="4">
      <x:c r="A4" s="141" t="str">
        <x:f>"TOTAL RECORDS"&amp;CHAR(10)&amp;'QA Summary'!B4</x:f>
        <x:v>TOTAL RECORDS
48</x:v>
      </x:c>
      <x:c r="B4" s="142"/>
      <x:c r="C4" s="147" t="str">
        <x:f>"READY / COMPLETE"&amp;CHAR(10)&amp;'QA Summary'!B5</x:f>
        <x:v>READY / COMPLETE
11</x:v>
      </x:c>
      <x:c r="D4" s="148"/>
      <x:c r="E4" s="153" t="str">
        <x:f>"REQUIRES REVIEW"&amp;CHAR(10)&amp;'QA Summary'!B6</x:f>
        <x:v>REQUIRES REVIEW
37</x:v>
      </x:c>
      <x:c r="F4" s="154"/>
      <x:c r="G4" s="159" t="str">
        <x:f>"HIGH RISK"&amp;CHAR(10)&amp;'QA Summary'!B7</x:f>
        <x:v>HIGH RISK
27</x:v>
      </x:c>
      <x:c r="H4" s="160"/>
      <x:c r="J4" s="198" t="str">
        <x:f t="shared" si="0"/>
        <x:v>Unmapped Vendor</x:v>
      </x:c>
      <x:c r="K4" s="198">
        <x:f t="shared" si="1"/>
        <x:v>1</x:v>
      </x:c>
    </x:row>
    <x:row r="5">
      <x:c r="A5" s="143"/>
      <x:c r="B5" s="144"/>
      <x:c r="C5" s="149"/>
      <x:c r="D5" s="150"/>
      <x:c r="E5" s="155"/>
      <x:c r="F5" s="156"/>
      <x:c r="G5" s="161"/>
      <x:c r="H5" s="162"/>
      <x:c r="J5" s="198" t="str">
        <x:f t="shared" si="0"/>
        <x:v>Missing/Invalid Amount</x:v>
      </x:c>
      <x:c r="K5" s="198">
        <x:f t="shared" si="1"/>
        <x:v>2</x:v>
      </x:c>
    </x:row>
    <x:row r="6">
      <x:c r="A6" s="145"/>
      <x:c r="B6" s="146"/>
      <x:c r="C6" s="151"/>
      <x:c r="D6" s="152"/>
      <x:c r="E6" s="157"/>
      <x:c r="F6" s="158"/>
      <x:c r="G6" s="163"/>
      <x:c r="H6" s="164"/>
      <x:c r="J6" s="198" t="str">
        <x:f t="shared" si="0"/>
        <x:v>Missing PO Number</x:v>
      </x:c>
      <x:c r="K6" s="198">
        <x:f t="shared" si="1"/>
        <x:v>2</x:v>
      </x:c>
    </x:row>
    <x:row r="7">
      <x:c r="J7" s="198" t="str">
        <x:f t="shared" si="0"/>
        <x:v>Paid Missing Payment Date</x:v>
      </x:c>
      <x:c r="K7" s="198">
        <x:f t="shared" si="1"/>
        <x:v>1</x:v>
      </x:c>
    </x:row>
    <x:row r="8" ht="33.95000076293945" customHeight="1">
      <x:c r="A8" s="7" t="s">
        <x:v>231</x:v>
      </x:c>
      <x:c r="B8" s="7"/>
      <x:c r="C8" s="7"/>
      <x:c r="D8" s="7" t="s">
        <x:v>232</x:v>
      </x:c>
      <x:c r="F8" s="130" t="s">
        <x:v>233</x:v>
      </x:c>
      <x:c r="G8" s="130"/>
      <x:c r="H8" s="130"/>
      <x:c r="J8" s="198" t="str">
        <x:f t="shared" si="0"/>
        <x:v>Missing Invoice File</x:v>
      </x:c>
      <x:c r="K8" s="198">
        <x:f t="shared" si="1"/>
        <x:v>1</x:v>
      </x:c>
    </x:row>
    <x:row r="9" ht="23.100000381469727" customHeight="1">
      <x:c r="A9" s="13" t="s">
        <x:v>234</x:v>
      </x:c>
      <x:c r="B9" s="14"/>
      <x:c r="C9" s="14"/>
      <x:c r="D9" s="17" t="n">
        <x:f>'QA Summary'!B8</x:f>
        <x:v>3</x:v>
      </x:c>
      <x:c r="F9" s="73" t="s">
        <x:v>235</x:v>
      </x:c>
      <x:c r="G9" s="74" t="s">
        <x:v>236</x:v>
      </x:c>
      <x:c r="H9" s="75" t="s">
        <x:v>237</x:v>
      </x:c>
      <x:c r="J9" s="198" t="str">
        <x:f t="shared" si="0"/>
        <x:v>Overdue Unpaid</x:v>
      </x:c>
      <x:c r="K9" s="198">
        <x:f t="shared" si="1"/>
        <x:v>23</x:v>
      </x:c>
    </x:row>
    <x:row r="10" ht="23.100000381469727" customHeight="1">
      <x:c r="A10" s="8" t="s">
        <x:v>238</x:v>
      </x:c>
      <x:c r="B10" s="9"/>
      <x:c r="C10" s="9"/>
      <x:c r="D10" s="12" t="n">
        <x:f>'QA Summary'!B9</x:f>
        <x:v>1</x:v>
      </x:c>
      <x:c r="F10" s="73" t="s">
        <x:v>239</x:v>
      </x:c>
      <x:c r="G10" s="76" t="s">
        <x:v>240</x:v>
      </x:c>
      <x:c r="H10" s="77" t="s">
        <x:v>241</x:v>
      </x:c>
      <x:c r="J10" s="198" t="str">
        <x:f t="shared" si="0"/>
        <x:v>Pending Written Approval</x:v>
      </x:c>
      <x:c r="K10" s="198">
        <x:f t="shared" si="1"/>
        <x:v>4</x:v>
      </x:c>
    </x:row>
    <x:row r="11" ht="23.100000381469727" customHeight="1">
      <x:c r="A11" s="13" t="s">
        <x:v>242</x:v>
      </x:c>
      <x:c r="B11" s="14"/>
      <x:c r="C11" s="14"/>
      <x:c r="D11" s="17" t="n">
        <x:f>'QA Summary'!B10</x:f>
        <x:v>2</x:v>
      </x:c>
      <x:c r="F11" s="73" t="s">
        <x:v>243</x:v>
      </x:c>
      <x:c r="G11" s="74" t="s">
        <x:v>244</x:v>
      </x:c>
      <x:c r="H11" s="75" t="s">
        <x:v>245</x:v>
      </x:c>
    </x:row>
    <x:row r="12" ht="23.100000381469727" customHeight="1">
      <x:c r="A12" s="8" t="s">
        <x:v>246</x:v>
      </x:c>
      <x:c r="B12" s="9"/>
      <x:c r="C12" s="9"/>
      <x:c r="D12" s="12" t="n">
        <x:f>'QA Summary'!B11</x:f>
        <x:v>2</x:v>
      </x:c>
      <x:c r="F12" s="73" t="s">
        <x:v>247</x:v>
      </x:c>
      <x:c r="G12" s="76" t="s">
        <x:v>248</x:v>
      </x:c>
      <x:c r="H12" s="77" t="s">
        <x:v>249</x:v>
      </x:c>
    </x:row>
    <x:row r="13" ht="23.100000381469727" customHeight="1">
      <x:c r="A13" s="13" t="s">
        <x:v>250</x:v>
      </x:c>
      <x:c r="B13" s="14"/>
      <x:c r="C13" s="14"/>
      <x:c r="D13" s="17" t="n">
        <x:f>'QA Summary'!B12</x:f>
        <x:v>1</x:v>
      </x:c>
      <x:c r="F13" s="73" t="s">
        <x:v>251</x:v>
      </x:c>
      <x:c r="G13" s="74" t="s">
        <x:v>252</x:v>
      </x:c>
      <x:c r="H13" s="75" t="s">
        <x:v>253</x:v>
      </x:c>
    </x:row>
    <x:row r="14" ht="23.100000381469727" customHeight="1">
      <x:c r="A14" s="8" t="s">
        <x:v>254</x:v>
      </x:c>
      <x:c r="B14" s="9"/>
      <x:c r="C14" s="9"/>
      <x:c r="D14" s="12" t="n">
        <x:f>'QA Summary'!B13</x:f>
        <x:v>1</x:v>
      </x:c>
      <x:c r="F14" s="78" t="s">
        <x:v>255</x:v>
      </x:c>
      <x:c r="G14" s="79" t="s">
        <x:v>256</x:v>
      </x:c>
      <x:c r="H14" s="80" t="s">
        <x:v>257</x:v>
      </x:c>
    </x:row>
    <x:row r="15" ht="23.100000381469727" customHeight="1">
      <x:c r="A15" s="13" t="s">
        <x:v>258</x:v>
      </x:c>
      <x:c r="B15" s="14"/>
      <x:c r="C15" s="14"/>
      <x:c r="D15" s="17" t="n">
        <x:f>'QA Summary'!B14</x:f>
        <x:v>23</x:v>
      </x:c>
    </x:row>
    <x:row r="16" ht="23.100000381469727" customHeight="1">
      <x:c r="A16" s="8" t="s">
        <x:v>259</x:v>
      </x:c>
      <x:c r="B16" s="9"/>
      <x:c r="C16" s="9"/>
      <x:c r="D16" s="12" t="n">
        <x:f>'QA Summary'!B15</x:f>
        <x:v>4</x:v>
      </x:c>
      <x:c r="F16" s="131" t="s">
        <x:v>260</x:v>
      </x:c>
      <x:c r="G16" s="132"/>
      <x:c r="H16" s="133"/>
    </x:row>
    <x:row r="17" ht="23.100000381469727" customHeight="1">
      <x:c r="A17" s="18" t="s">
        <x:v>261</x:v>
      </x:c>
      <x:c r="B17" s="19"/>
      <x:c r="C17" s="19"/>
      <x:c r="D17" s="22" t="n">
        <x:f>'QA Summary'!B5</x:f>
        <x:v>11</x:v>
      </x:c>
      <x:c r="F17" s="134"/>
      <x:c r="G17" s="135"/>
      <x:c r="H17" s="136"/>
    </x:row>
    <x:row r="18">
      <x:c r="F18" s="134"/>
      <x:c r="G18" s="135"/>
      <x:c r="H18" s="136"/>
    </x:row>
    <x:row r="19">
      <x:c r="F19" s="137"/>
      <x:c r="G19" s="138"/>
      <x:c r="H19" s="139"/>
    </x:row>
  </x:sheetData>
  <x:mergeCells>
    <x:mergeCell ref="F8:H8"/>
    <x:mergeCell ref="F16:H19"/>
    <x:mergeCell ref="A1:H1"/>
    <x:mergeCell ref="A2:H2"/>
    <x:mergeCell ref="A4:B6"/>
    <x:mergeCell ref="C4:D6"/>
    <x:mergeCell ref="E4:F6"/>
    <x:mergeCell ref="G4:H6"/>
  </x:mergeCells>
  <x:pageMargins left="0.7" right="0.7" top="0.75" bottom="0.75" header="0.3" footer="0.3"/>
  <x:drawing xmlns:r="http://schemas.openxmlformats.org/officeDocument/2006/relationships" r:id="R08b8423253524a66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2" customWidth="1"/>
    <x:col min="2" max="2" width="38" customWidth="1"/>
    <x:col min="3" max="3" width="85" customWidth="1"/>
    <x:col min="4" max="4" width="24" customWidth="1"/>
  </x:cols>
  <x:sheetData>
    <x:row r="1" ht="39.95000076293945" customHeight="1">
      <x:c r="A1" s="165" t="s">
        <x:v>262</x:v>
      </x:c>
      <x:c r="B1" s="165"/>
      <x:c r="C1" s="165"/>
      <x:c r="D1" s="165"/>
    </x:row>
    <x:row r="3" ht="33.95000076293945" customHeight="1">
      <x:c r="A3" s="72" t="s">
        <x:v>263</x:v>
      </x:c>
      <x:c r="B3" s="72" t="s">
        <x:v>264</x:v>
      </x:c>
      <x:c r="C3" s="72" t="s">
        <x:v>265</x:v>
      </x:c>
      <x:c r="D3" s="72" t="s">
        <x:v>266</x:v>
      </x:c>
    </x:row>
    <x:row r="4" ht="62.099998474121094" customHeight="1">
      <x:c r="A4" s="83" t="s">
        <x:v>267</x:v>
      </x:c>
      <x:c r="B4" s="182" t="s">
        <x:v>268</x:v>
      </x:c>
      <x:c r="C4" s="182" t="s">
        <x:v>269</x:v>
      </x:c>
      <x:c r="D4" s="85" t="s">
        <x:v>270</x:v>
      </x:c>
    </x:row>
    <x:row r="5" ht="62.099998474121094" customHeight="1">
      <x:c r="A5" s="83" t="s">
        <x:v>271</x:v>
      </x:c>
      <x:c r="B5" s="183" t="s">
        <x:v>272</x:v>
      </x:c>
      <x:c r="C5" s="183" t="s">
        <x:v>273</x:v>
      </x:c>
      <x:c r="D5" s="85" t="s">
        <x:v>270</x:v>
      </x:c>
    </x:row>
    <x:row r="6" ht="62.099998474121094" customHeight="1">
      <x:c r="A6" s="83" t="s">
        <x:v>225</x:v>
      </x:c>
      <x:c r="B6" s="182" t="s">
        <x:v>274</x:v>
      </x:c>
      <x:c r="C6" s="182" t="s">
        <x:v>275</x:v>
      </x:c>
      <x:c r="D6" s="85" t="s">
        <x:v>276</x:v>
      </x:c>
    </x:row>
    <x:row r="7" ht="62.099998474121094" customHeight="1">
      <x:c r="A7" s="83" t="s">
        <x:v>277</x:v>
      </x:c>
      <x:c r="B7" s="183" t="s">
        <x:v>278</x:v>
      </x:c>
      <x:c r="C7" s="183" t="s">
        <x:v>279</x:v>
      </x:c>
      <x:c r="D7" s="85" t="s">
        <x:v>280</x:v>
      </x:c>
    </x:row>
    <x:row r="8" ht="62.099998474121094" customHeight="1">
      <x:c r="A8" s="84" t="s">
        <x:v>281</x:v>
      </x:c>
      <x:c r="B8" s="184" t="s">
        <x:v>282</x:v>
      </x:c>
      <x:c r="C8" s="184" t="s">
        <x:v>283</x:v>
      </x:c>
      <x:c r="D8" s="86" t="s">
        <x:v>284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5" customWidth="1"/>
    <x:col min="2" max="2" width="25" customWidth="1"/>
    <x:col min="3" max="3" width="33" customWidth="1"/>
    <x:col min="4" max="4" width="18" customWidth="1"/>
    <x:col min="5" max="5" width="12" customWidth="1"/>
    <x:col min="6" max="6" width="14" customWidth="1"/>
    <x:col min="7" max="7" width="31" customWidth="1"/>
    <x:col min="8" max="8" width="15" customWidth="1"/>
    <x:col min="9" max="9" width="22" customWidth="1"/>
    <x:col min="10" max="10" width="16" customWidth="1"/>
  </x:cols>
  <x:sheetData>
    <x:row r="1" ht="36" customHeight="1">
      <x:c r="A1" s="166" t="s">
        <x:v>285</x:v>
      </x:c>
      <x:c r="B1" s="167"/>
      <x:c r="C1" s="167"/>
      <x:c r="D1" s="167"/>
      <x:c r="E1" s="167"/>
      <x:c r="F1" s="167"/>
      <x:c r="G1" s="167"/>
      <x:c r="H1" s="167"/>
      <x:c r="I1" s="167"/>
      <x:c r="J1" s="167"/>
    </x:row>
    <x:row r="2" ht="26.100000381469727" customHeight="1">
      <x:c r="A2" s="168" t="s">
        <x:v>286</x:v>
      </x:c>
      <x:c r="B2" s="167"/>
      <x:c r="C2" s="167"/>
      <x:c r="D2" s="167"/>
      <x:c r="E2" s="167"/>
      <x:c r="F2" s="167"/>
      <x:c r="G2" s="167"/>
      <x:c r="H2" s="167"/>
      <x:c r="I2" s="167"/>
      <x:c r="J2" s="167"/>
    </x:row>
    <x:row r="4" ht="32.099998474121094" customHeight="1">
      <x:c r="A4" s="94" t="s">
        <x:v>287</x:v>
      </x:c>
      <x:c r="B4" s="95" t="s">
        <x:v>288</x:v>
      </x:c>
      <x:c r="C4" s="95" t="s">
        <x:v>289</x:v>
      </x:c>
      <x:c r="D4" s="95" t="s">
        <x:v>290</x:v>
      </x:c>
      <x:c r="E4" s="95" t="s">
        <x:v>291</x:v>
      </x:c>
      <x:c r="F4" s="95" t="s">
        <x:v>292</x:v>
      </x:c>
      <x:c r="G4" s="95" t="s">
        <x:v>293</x:v>
      </x:c>
      <x:c r="H4" s="95" t="s">
        <x:v>294</x:v>
      </x:c>
      <x:c r="I4" s="95" t="s">
        <x:v>295</x:v>
      </x:c>
      <x:c r="J4" s="96" t="s">
        <x:v>296</x:v>
      </x:c>
    </x:row>
    <x:row r="5" ht="33.95000076293945" customHeight="1">
      <x:c r="A5" s="102">
        <x:v>46244</x:v>
      </x:c>
      <x:c r="B5" s="100" t="s">
        <x:v>50</x:v>
      </x:c>
      <x:c r="C5" s="100" t="s">
        <x:v>297</x:v>
      </x:c>
      <x:c r="D5" s="100" t="s">
        <x:v>159</x:v>
      </x:c>
      <x:c r="E5" s="100" t="s">
        <x:v>298</x:v>
      </x:c>
      <x:c r="F5" s="102">
        <x:v>46246</x:v>
      </x:c>
      <x:c r="G5" s="100" t="s">
        <x:v>299</x:v>
      </x:c>
      <x:c r="H5" s="100" t="s">
        <x:v>300</x:v>
      </x:c>
      <x:c r="I5" s="100" t="s">
        <x:v>301</x:v>
      </x:c>
      <x:c r="J5" s="102">
        <x:v>46244</x:v>
      </x:c>
    </x:row>
    <x:row r="6" ht="33.95000076293945" customHeight="1">
      <x:c r="A6" s="103">
        <x:v>46244</x:v>
      </x:c>
      <x:c r="B6" s="98" t="s">
        <x:v>302</x:v>
      </x:c>
      <x:c r="C6" s="98" t="s">
        <x:v>303</x:v>
      </x:c>
      <x:c r="D6" s="98" t="s">
        <x:v>11</x:v>
      </x:c>
      <x:c r="E6" s="98" t="s">
        <x:v>304</x:v>
      </x:c>
      <x:c r="F6" s="103">
        <x:v>46245</x:v>
      </x:c>
      <x:c r="G6" s="98" t="s">
        <x:v>305</x:v>
      </x:c>
      <x:c r="H6" s="98" t="s">
        <x:v>306</x:v>
      </x:c>
      <x:c r="I6" s="98" t="s">
        <x:v>301</x:v>
      </x:c>
      <x:c r="J6" s="103">
        <x:v>46245</x:v>
      </x:c>
    </x:row>
    <x:row r="7" ht="33.95000076293945" customHeight="1">
      <x:c r="A7" s="104">
        <x:v>46245</x:v>
      </x:c>
      <x:c r="B7" s="101" t="s">
        <x:v>85</x:v>
      </x:c>
      <x:c r="C7" s="101" t="s">
        <x:v>307</x:v>
      </x:c>
      <x:c r="D7" s="101" t="s">
        <x:v>46</x:v>
      </x:c>
      <x:c r="E7" s="101" t="s">
        <x:v>304</x:v>
      </x:c>
      <x:c r="F7" s="104">
        <x:v>46246</x:v>
      </x:c>
      <x:c r="G7" s="101" t="s">
        <x:v>308</x:v>
      </x:c>
      <x:c r="H7" s="101" t="s">
        <x:v>300</x:v>
      </x:c>
      <x:c r="I7" s="101" t="s">
        <x:v>309</x:v>
      </x:c>
      <x:c r="J7" s="104"/>
    </x:row>
    <x:row r="8" ht="33.95000076293945" customHeight="1">
      <x:c r="A8" s="103">
        <x:v>46245</x:v>
      </x:c>
      <x:c r="B8" s="98" t="s">
        <x:v>23</x:v>
      </x:c>
      <x:c r="C8" s="98" t="s">
        <x:v>310</x:v>
      </x:c>
      <x:c r="D8" s="98" t="s">
        <x:v>164</x:v>
      </x:c>
      <x:c r="E8" s="98" t="s">
        <x:v>298</x:v>
      </x:c>
      <x:c r="F8" s="103">
        <x:v>46247</x:v>
      </x:c>
      <x:c r="G8" s="98" t="s">
        <x:v>311</x:v>
      </x:c>
      <x:c r="H8" s="98" t="s">
        <x:v>312</x:v>
      </x:c>
      <x:c r="I8" s="98" t="s">
        <x:v>301</x:v>
      </x:c>
      <x:c r="J8" s="103">
        <x:v>46245</x:v>
      </x:c>
    </x:row>
    <x:row r="9" ht="33.95000076293945" customHeight="1">
      <x:c r="A9" s="104">
        <x:v>46246</x:v>
      </x:c>
      <x:c r="B9" s="101" t="s">
        <x:v>302</x:v>
      </x:c>
      <x:c r="C9" s="101" t="s">
        <x:v>281</x:v>
      </x:c>
      <x:c r="D9" s="101" t="s">
        <x:v>33</x:v>
      </x:c>
      <x:c r="E9" s="101" t="s">
        <x:v>304</x:v>
      </x:c>
      <x:c r="F9" s="104">
        <x:v>46246</x:v>
      </x:c>
      <x:c r="G9" s="101" t="s">
        <x:v>313</x:v>
      </x:c>
      <x:c r="H9" s="101" t="s">
        <x:v>306</x:v>
      </x:c>
      <x:c r="I9" s="101" t="s">
        <x:v>314</x:v>
      </x:c>
      <x:c r="J9" s="104"/>
    </x:row>
    <x:row r="10" ht="33.95000076293945" customHeight="1">
      <x:c r="A10" s="103">
        <x:v>46246</x:v>
      </x:c>
      <x:c r="B10" s="98" t="s">
        <x:v>62</x:v>
      </x:c>
      <x:c r="C10" s="98" t="s">
        <x:v>315</x:v>
      </x:c>
      <x:c r="D10" s="98" t="s">
        <x:v>61</x:v>
      </x:c>
      <x:c r="E10" s="98" t="s">
        <x:v>298</x:v>
      </x:c>
      <x:c r="F10" s="103">
        <x:v>46248</x:v>
      </x:c>
      <x:c r="G10" s="98" t="s">
        <x:v>316</x:v>
      </x:c>
      <x:c r="H10" s="98" t="s">
        <x:v>300</x:v>
      </x:c>
      <x:c r="I10" s="98" t="s">
        <x:v>301</x:v>
      </x:c>
      <x:c r="J10" s="103">
        <x:v>46246</x:v>
      </x:c>
    </x:row>
    <x:row r="11" ht="33.95000076293945" customHeight="1">
      <x:c r="A11" s="104">
        <x:v>46247</x:v>
      </x:c>
      <x:c r="B11" s="101" t="s">
        <x:v>97</x:v>
      </x:c>
      <x:c r="C11" s="101" t="s">
        <x:v>317</x:v>
      </x:c>
      <x:c r="D11" s="101" t="s">
        <x:v>65</x:v>
      </x:c>
      <x:c r="E11" s="101" t="s">
        <x:v>318</x:v>
      </x:c>
      <x:c r="F11" s="104">
        <x:v>46249</x:v>
      </x:c>
      <x:c r="G11" s="101" t="s">
        <x:v>319</x:v>
      </x:c>
      <x:c r="H11" s="101" t="s">
        <x:v>300</x:v>
      </x:c>
      <x:c r="I11" s="101" t="s">
        <x:v>301</x:v>
      </x:c>
      <x:c r="J11" s="104">
        <x:v>46247</x:v>
      </x:c>
    </x:row>
    <x:row r="12" ht="33.95000076293945" customHeight="1">
      <x:c r="A12" s="103">
        <x:v>46247</x:v>
      </x:c>
      <x:c r="B12" s="98" t="s">
        <x:v>38</x:v>
      </x:c>
      <x:c r="C12" s="98" t="s">
        <x:v>320</x:v>
      </x:c>
      <x:c r="D12" s="98" t="s">
        <x:v>148</x:v>
      </x:c>
      <x:c r="E12" s="98" t="s">
        <x:v>304</x:v>
      </x:c>
      <x:c r="F12" s="103">
        <x:v>46248</x:v>
      </x:c>
      <x:c r="G12" s="98" t="s">
        <x:v>321</x:v>
      </x:c>
      <x:c r="H12" s="98" t="s">
        <x:v>300</x:v>
      </x:c>
      <x:c r="I12" s="98" t="s">
        <x:v>309</x:v>
      </x:c>
      <x:c r="J12" s="103"/>
    </x:row>
    <x:row r="13" ht="33.95000076293945" customHeight="1">
      <x:c r="A13" s="104">
        <x:v>46248</x:v>
      </x:c>
      <x:c r="B13" s="101" t="s">
        <x:v>23</x:v>
      </x:c>
      <x:c r="C13" s="101" t="s">
        <x:v>322</x:v>
      </x:c>
      <x:c r="D13" s="101" t="s">
        <x:v>88</x:v>
      </x:c>
      <x:c r="E13" s="101" t="s">
        <x:v>304</x:v>
      </x:c>
      <x:c r="F13" s="104">
        <x:v>46248</x:v>
      </x:c>
      <x:c r="G13" s="101" t="s">
        <x:v>323</x:v>
      </x:c>
      <x:c r="H13" s="101" t="s">
        <x:v>300</x:v>
      </x:c>
      <x:c r="I13" s="101" t="s">
        <x:v>309</x:v>
      </x:c>
      <x:c r="J13" s="104"/>
    </x:row>
    <x:row r="14" ht="33.95000076293945" customHeight="1">
      <x:c r="A14" s="103">
        <x:v>46248</x:v>
      </x:c>
      <x:c r="B14" s="98" t="s">
        <x:v>302</x:v>
      </x:c>
      <x:c r="C14" s="98" t="s">
        <x:v>324</x:v>
      </x:c>
      <x:c r="D14" s="98" t="s">
        <x:v>325</x:v>
      </x:c>
      <x:c r="E14" s="98" t="s">
        <x:v>304</x:v>
      </x:c>
      <x:c r="F14" s="103">
        <x:v>46249</x:v>
      </x:c>
      <x:c r="G14" s="98" t="s">
        <x:v>326</x:v>
      </x:c>
      <x:c r="H14" s="98" t="s">
        <x:v>306</x:v>
      </x:c>
      <x:c r="I14" s="98" t="s">
        <x:v>301</x:v>
      </x:c>
      <x:c r="J14" s="103">
        <x:v>46249</x:v>
      </x:c>
    </x:row>
    <x:row r="15" ht="33.95000076293945" customHeight="1">
      <x:c r="A15" s="104">
        <x:v>46249</x:v>
      </x:c>
      <x:c r="B15" s="101" t="s">
        <x:v>302</x:v>
      </x:c>
      <x:c r="C15" s="101" t="s">
        <x:v>327</x:v>
      </x:c>
      <x:c r="D15" s="101" t="s">
        <x:v>129</x:v>
      </x:c>
      <x:c r="E15" s="101" t="s">
        <x:v>298</x:v>
      </x:c>
      <x:c r="F15" s="104">
        <x:v>46252</x:v>
      </x:c>
      <x:c r="G15" s="101" t="s">
        <x:v>328</x:v>
      </x:c>
      <x:c r="H15" s="101" t="s">
        <x:v>300</x:v>
      </x:c>
      <x:c r="I15" s="101" t="s">
        <x:v>314</x:v>
      </x:c>
      <x:c r="J15" s="104"/>
    </x:row>
    <x:row r="16" ht="33.95000076293945" customHeight="1">
      <x:c r="A16" s="105">
        <x:v>46249</x:v>
      </x:c>
      <x:c r="B16" s="99" t="s">
        <x:v>329</x:v>
      </x:c>
      <x:c r="C16" s="99" t="s">
        <x:v>330</x:v>
      </x:c>
      <x:c r="D16" s="99" t="s">
        <x:v>37</x:v>
      </x:c>
      <x:c r="E16" s="99" t="s">
        <x:v>298</x:v>
      </x:c>
      <x:c r="F16" s="105">
        <x:v>46252</x:v>
      </x:c>
      <x:c r="G16" s="99" t="s">
        <x:v>331</x:v>
      </x:c>
      <x:c r="H16" s="99" t="s">
        <x:v>300</x:v>
      </x:c>
      <x:c r="I16" s="99" t="s">
        <x:v>332</x:v>
      </x:c>
      <x:c r="J16" s="105"/>
    </x:row>
  </x:sheetData>
  <x:mergeCells>
    <x:mergeCell ref="A1:J1"/>
    <x:mergeCell ref="A2:J2"/>
  </x:mergeCells>
  <x:conditionalFormatting sqref="E5:E16">
    <x:cfRule type="containsText" dxfId="11" priority="1" operator="containsText" text="High"/>
    <x:cfRule type="containsText" dxfId="10" priority="2" operator="containsText" text="Medium"/>
    <x:cfRule type="containsText" dxfId="9" priority="3" operator="containsText" text="Low"/>
  </x:conditionalFormatting>
  <x:conditionalFormatting sqref="I5:I16">
    <x:cfRule type="containsText" dxfId="8" priority="4" operator="containsText" text="Completed"/>
    <x:cfRule type="containsText" dxfId="7" priority="5" operator="containsText" text="Waiting"/>
    <x:cfRule type="containsText" dxfId="6" priority="6" operator="containsText" text="In Review"/>
  </x:conditionalFormatting>
  <x:dataValidations count="3">
    <x:dataValidation type="list" sqref="E5:E16">
      <x:formula1>"High,Medium,Low"</x:formula1>
    </x:dataValidation>
    <x:dataValidation type="list" sqref="H5:H16">
      <x:formula1>"Email,Chat,Shared Folder"</x:formula1>
    </x:dataValidation>
    <x:dataValidation type="list" sqref="I5:I16">
      <x:formula1>"Completed,Waiting for Vendor,In Review,Waiting for Approval"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4" customWidth="1"/>
    <x:col min="2" max="2" width="17" customWidth="1"/>
    <x:col min="3" max="3" width="24" customWidth="1"/>
    <x:col min="4" max="4" width="15" customWidth="1"/>
    <x:col min="5" max="7" width="16" customWidth="1"/>
    <x:col min="8" max="8" width="11" customWidth="1"/>
    <x:col min="9" max="9" width="13" customWidth="1"/>
    <x:col min="10" max="10" width="21" customWidth="1"/>
    <x:col min="11" max="11" width="32" customWidth="1"/>
    <x:col min="13" max="13" width="19" customWidth="1"/>
    <x:col min="14" max="14" width="17" customWidth="1"/>
  </x:cols>
  <x:sheetData>
    <x:row r="1" ht="36" customHeight="1">
      <x:c r="A1" s="166" t="s">
        <x:v>333</x:v>
      </x:c>
      <x:c r="B1" s="167"/>
      <x:c r="C1" s="167"/>
      <x:c r="D1" s="167"/>
      <x:c r="E1" s="167"/>
      <x:c r="F1" s="167"/>
      <x:c r="G1" s="167"/>
      <x:c r="H1" s="167"/>
      <x:c r="I1" s="167"/>
      <x:c r="J1" s="167"/>
      <x:c r="K1" s="167"/>
      <x:c r="M1" s="94" t="s">
        <x:v>206</x:v>
      </x:c>
      <x:c r="N1" s="96" t="s">
        <x:v>207</x:v>
      </x:c>
    </x:row>
    <x:row r="2" ht="26.100000381469727" customHeight="1">
      <x:c r="A2" s="168" t="s">
        <x:v>334</x:v>
      </x:c>
      <x:c r="B2" s="167"/>
      <x:c r="C2" s="167"/>
      <x:c r="D2" s="167"/>
      <x:c r="E2" s="167"/>
      <x:c r="F2" s="167"/>
      <x:c r="G2" s="167"/>
      <x:c r="H2" s="167"/>
      <x:c r="I2" s="167"/>
      <x:c r="J2" s="167"/>
      <x:c r="K2" s="167"/>
      <x:c r="M2" t="s">
        <x:v>208</x:v>
      </x:c>
      <x:c r="N2" s="106">
        <x:v>46250</x:v>
      </x:c>
    </x:row>
    <x:row r="4" ht="33.95000076293945" customHeight="1">
      <x:c r="A4" s="94" t="s">
        <x:v>335</x:v>
      </x:c>
      <x:c r="B4" s="95" t="s">
        <x:v>0</x:v>
      </x:c>
      <x:c r="C4" s="95" t="s">
        <x:v>336</x:v>
      </x:c>
      <x:c r="D4" s="95" t="s">
        <x:v>337</x:v>
      </x:c>
      <x:c r="E4" s="95" t="s">
        <x:v>338</x:v>
      </x:c>
      <x:c r="F4" s="95" t="s">
        <x:v>339</x:v>
      </x:c>
      <x:c r="G4" s="95" t="s">
        <x:v>340</x:v>
      </x:c>
      <x:c r="H4" s="95" t="s">
        <x:v>341</x:v>
      </x:c>
      <x:c r="I4" s="95" t="s">
        <x:v>294</x:v>
      </x:c>
      <x:c r="J4" s="95" t="s">
        <x:v>342</x:v>
      </x:c>
      <x:c r="K4" s="96" t="s">
        <x:v>343</x:v>
      </x:c>
    </x:row>
    <x:row r="5" ht="32.099998474121094" customHeight="1">
      <x:c r="A5" s="100" t="s">
        <x:v>344</x:v>
      </x:c>
      <x:c r="B5" s="100" t="s">
        <x:v>46</x:v>
      </x:c>
      <x:c r="C5" s="100" t="s">
        <x:v>267</x:v>
      </x:c>
      <x:c r="D5" s="100" t="s">
        <x:v>345</x:v>
      </x:c>
      <x:c r="E5" s="102">
        <x:v>46245</x:v>
      </x:c>
      <x:c r="F5" s="102">
        <x:v>46245</x:v>
      </x:c>
      <x:c r="G5" s="102">
        <x:v>46252</x:v>
      </x:c>
      <x:c r="H5" s="100" t="n">
        <x:f t="shared" ref="H5:H12" si="0">$N$2-E5</x:f>
        <x:v>5</x:v>
      </x:c>
      <x:c r="I5" s="100" t="s">
        <x:v>300</x:v>
      </x:c>
      <x:c r="J5" s="100" t="s">
        <x:v>309</x:v>
      </x:c>
      <x:c r="K5" s="100" t="s">
        <x:v>346</x:v>
      </x:c>
    </x:row>
    <x:row r="6" ht="32.099998474121094" customHeight="1">
      <x:c r="A6" s="98" t="s">
        <x:v>347</x:v>
      </x:c>
      <x:c r="B6" s="98" t="s">
        <x:v>148</x:v>
      </x:c>
      <x:c r="C6" s="98" t="s">
        <x:v>224</x:v>
      </x:c>
      <x:c r="D6" s="98" t="s">
        <x:v>345</x:v>
      </x:c>
      <x:c r="E6" s="103">
        <x:v>46247</x:v>
      </x:c>
      <x:c r="F6" s="103">
        <x:v>46247</x:v>
      </x:c>
      <x:c r="G6" s="103">
        <x:v>46252</x:v>
      </x:c>
      <x:c r="H6" s="98">
        <x:f t="shared" si="0"/>
        <x:v>3</x:v>
      </x:c>
      <x:c r="I6" s="98" t="s">
        <x:v>300</x:v>
      </x:c>
      <x:c r="J6" s="98" t="s">
        <x:v>309</x:v>
      </x:c>
      <x:c r="K6" s="98" t="s">
        <x:v>348</x:v>
      </x:c>
    </x:row>
    <x:row r="7" ht="32.099998474121094" customHeight="1">
      <x:c r="A7" s="101" t="s">
        <x:v>349</x:v>
      </x:c>
      <x:c r="B7" s="101" t="s">
        <x:v>88</x:v>
      </x:c>
      <x:c r="C7" s="101" t="s">
        <x:v>350</x:v>
      </x:c>
      <x:c r="D7" s="101" t="s">
        <x:v>345</x:v>
      </x:c>
      <x:c r="E7" s="104">
        <x:v>46248</x:v>
      </x:c>
      <x:c r="F7" s="104">
        <x:v>46248</x:v>
      </x:c>
      <x:c r="G7" s="104">
        <x:v>46252</x:v>
      </x:c>
      <x:c r="H7" s="101">
        <x:f t="shared" si="0"/>
        <x:v>2</x:v>
      </x:c>
      <x:c r="I7" s="101" t="s">
        <x:v>300</x:v>
      </x:c>
      <x:c r="J7" s="101" t="s">
        <x:v>309</x:v>
      </x:c>
      <x:c r="K7" s="101" t="s">
        <x:v>351</x:v>
      </x:c>
    </x:row>
    <x:row r="8" ht="32.099998474121094" customHeight="1">
      <x:c r="A8" s="98" t="s">
        <x:v>352</x:v>
      </x:c>
      <x:c r="B8" s="98" t="s">
        <x:v>33</x:v>
      </x:c>
      <x:c r="C8" s="98" t="s">
        <x:v>353</x:v>
      </x:c>
      <x:c r="D8" s="98" t="s">
        <x:v>354</x:v>
      </x:c>
      <x:c r="E8" s="103">
        <x:v>46246</x:v>
      </x:c>
      <x:c r="F8" s="103">
        <x:v>46249</x:v>
      </x:c>
      <x:c r="G8" s="103">
        <x:v>46253</x:v>
      </x:c>
      <x:c r="H8" s="98">
        <x:f t="shared" si="0"/>
        <x:v>4</x:v>
      </x:c>
      <x:c r="I8" s="98" t="s">
        <x:v>306</x:v>
      </x:c>
      <x:c r="J8" s="98" t="s">
        <x:v>314</x:v>
      </x:c>
      <x:c r="K8" s="98" t="s">
        <x:v>355</x:v>
      </x:c>
    </x:row>
    <x:row r="9" ht="32.099998474121094" customHeight="1">
      <x:c r="A9" s="101" t="s">
        <x:v>356</x:v>
      </x:c>
      <x:c r="B9" s="101" t="s">
        <x:v>37</x:v>
      </x:c>
      <x:c r="C9" s="101" t="s">
        <x:v>357</x:v>
      </x:c>
      <x:c r="D9" s="101" t="s">
        <x:v>358</x:v>
      </x:c>
      <x:c r="E9" s="104">
        <x:v>46249</x:v>
      </x:c>
      <x:c r="F9" s="104">
        <x:v>46249</x:v>
      </x:c>
      <x:c r="G9" s="104">
        <x:v>46252</x:v>
      </x:c>
      <x:c r="H9" s="101">
        <x:f t="shared" si="0"/>
        <x:v>1</x:v>
      </x:c>
      <x:c r="I9" s="101" t="s">
        <x:v>300</x:v>
      </x:c>
      <x:c r="J9" s="101" t="s">
        <x:v>332</x:v>
      </x:c>
      <x:c r="K9" s="101" t="s">
        <x:v>359</x:v>
      </x:c>
    </x:row>
    <x:row r="10" ht="32.099998474121094" customHeight="1">
      <x:c r="A10" s="98" t="s">
        <x:v>360</x:v>
      </x:c>
      <x:c r="B10" s="98" t="s">
        <x:v>11</x:v>
      </x:c>
      <x:c r="C10" s="98" t="s">
        <x:v>225</x:v>
      </x:c>
      <x:c r="D10" s="98" t="s">
        <x:v>354</x:v>
      </x:c>
      <x:c r="E10" s="103">
        <x:v>46245</x:v>
      </x:c>
      <x:c r="F10" s="103">
        <x:v>46249</x:v>
      </x:c>
      <x:c r="G10" s="103">
        <x:v>46254</x:v>
      </x:c>
      <x:c r="H10" s="98">
        <x:f t="shared" si="0"/>
        <x:v>5</x:v>
      </x:c>
      <x:c r="I10" s="98" t="s">
        <x:v>300</x:v>
      </x:c>
      <x:c r="J10" s="98" t="s">
        <x:v>361</x:v>
      </x:c>
      <x:c r="K10" s="98" t="s">
        <x:v>362</x:v>
      </x:c>
    </x:row>
    <x:row r="11" ht="32.099998474121094" customHeight="1">
      <x:c r="A11" s="101" t="s">
        <x:v>363</x:v>
      </x:c>
      <x:c r="B11" s="101" t="s">
        <x:v>18</x:v>
      </x:c>
      <x:c r="C11" s="101" t="s">
        <x:v>225</x:v>
      </x:c>
      <x:c r="D11" s="101" t="s">
        <x:v>354</x:v>
      </x:c>
      <x:c r="E11" s="104">
        <x:v>46245</x:v>
      </x:c>
      <x:c r="F11" s="104">
        <x:v>46249</x:v>
      </x:c>
      <x:c r="G11" s="104">
        <x:v>46254</x:v>
      </x:c>
      <x:c r="H11" s="101">
        <x:f t="shared" si="0"/>
        <x:v>5</x:v>
      </x:c>
      <x:c r="I11" s="101" t="s">
        <x:v>300</x:v>
      </x:c>
      <x:c r="J11" s="101" t="s">
        <x:v>364</x:v>
      </x:c>
      <x:c r="K11" s="101" t="s">
        <x:v>365</x:v>
      </x:c>
    </x:row>
    <x:row r="12" ht="32.099998474121094" customHeight="1">
      <x:c r="A12" s="99" t="s">
        <x:v>366</x:v>
      </x:c>
      <x:c r="B12" s="99" t="s">
        <x:v>129</x:v>
      </x:c>
      <x:c r="C12" s="99" t="s">
        <x:v>367</x:v>
      </x:c>
      <x:c r="D12" s="99" t="s">
        <x:v>354</x:v>
      </x:c>
      <x:c r="E12" s="105">
        <x:v>46249</x:v>
      </x:c>
      <x:c r="F12" s="105">
        <x:v>46249</x:v>
      </x:c>
      <x:c r="G12" s="105">
        <x:v>46253</x:v>
      </x:c>
      <x:c r="H12" s="99">
        <x:f t="shared" si="0"/>
        <x:v>1</x:v>
      </x:c>
      <x:c r="I12" s="99" t="s">
        <x:v>300</x:v>
      </x:c>
      <x:c r="J12" s="99" t="s">
        <x:v>314</x:v>
      </x:c>
      <x:c r="K12" s="99" t="s">
        <x:v>328</x:v>
      </x:c>
    </x:row>
  </x:sheetData>
  <x:mergeCells>
    <x:mergeCell ref="A1:K1"/>
    <x:mergeCell ref="A2:K2"/>
  </x:mergeCells>
  <x:conditionalFormatting sqref="J5:J12">
    <x:cfRule type="containsText" dxfId="5" priority="1" operator="containsText" text="Waiting"/>
    <x:cfRule type="containsText" dxfId="4" priority="2" operator="containsText" text="Acknowledged"/>
    <x:cfRule type="containsText" dxfId="3" priority="3" operator="containsText" text="No Response"/>
    <x:cfRule type="containsText" dxfId="2" priority="4" operator="containsText" text="In Review"/>
  </x:conditionalFormatting>
  <x:dataValidations count="3">
    <x:dataValidation type="list" sqref="D5:D12">
      <x:formula1>"VA,Finance,Approver"</x:formula1>
    </x:dataValidation>
    <x:dataValidation type="list" sqref="I5:I12">
      <x:formula1>"Email,Chat"</x:formula1>
    </x:dataValidation>
    <x:dataValidation type="list" sqref="J5:J12">
      <x:formula1>"Waiting for Vendor,Waiting for Approval,In Review,Acknowledged,No Response"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2" customWidth="1"/>
    <x:col min="2" max="2" width="34" customWidth="1"/>
    <x:col min="3" max="3" width="29" customWidth="1"/>
    <x:col min="4" max="4" width="38" customWidth="1"/>
    <x:col min="5" max="5" width="14" customWidth="1"/>
    <x:col min="6" max="6" width="34" customWidth="1"/>
  </x:cols>
  <x:sheetData>
    <x:row r="1" ht="36" customHeight="1">
      <x:c r="A1" s="166" t="s">
        <x:v>368</x:v>
      </x:c>
      <x:c r="B1" s="167"/>
      <x:c r="C1" s="167"/>
      <x:c r="D1" s="167"/>
      <x:c r="E1" s="167"/>
      <x:c r="F1" s="167"/>
    </x:row>
    <x:row r="2" ht="26.100000381469727" customHeight="1">
      <x:c r="A2" s="168" t="s">
        <x:v>369</x:v>
      </x:c>
      <x:c r="B2" s="167"/>
      <x:c r="C2" s="167"/>
      <x:c r="D2" s="167"/>
      <x:c r="E2" s="167"/>
      <x:c r="F2" s="167"/>
    </x:row>
    <x:row r="4" ht="32.099998474121094" customHeight="1">
      <x:c r="A4" s="94" t="s">
        <x:v>370</x:v>
      </x:c>
      <x:c r="B4" s="95" t="s">
        <x:v>371</x:v>
      </x:c>
      <x:c r="C4" s="95" t="s">
        <x:v>372</x:v>
      </x:c>
      <x:c r="D4" s="95" t="s">
        <x:v>373</x:v>
      </x:c>
      <x:c r="E4" s="95" t="s">
        <x:v>337</x:v>
      </x:c>
      <x:c r="F4" s="96" t="s">
        <x:v>374</x:v>
      </x:c>
    </x:row>
    <x:row r="5" ht="42" customHeight="1">
      <x:c r="A5" s="108" t="s">
        <x:v>375</x:v>
      </x:c>
      <x:c r="B5" s="111" t="s">
        <x:v>376</x:v>
      </x:c>
      <x:c r="C5" s="100" t="s">
        <x:v>377</x:v>
      </x:c>
      <x:c r="D5" s="100" t="s">
        <x:v>378</x:v>
      </x:c>
      <x:c r="E5" s="100" t="s">
        <x:v>345</x:v>
      </x:c>
      <x:c r="F5" s="100" t="s">
        <x:v>379</x:v>
      </x:c>
    </x:row>
    <x:row r="6" ht="42" customHeight="1">
      <x:c r="A6" s="109" t="s">
        <x:v>380</x:v>
      </x:c>
      <x:c r="B6" s="112" t="s">
        <x:v>381</x:v>
      </x:c>
      <x:c r="C6" s="98" t="s">
        <x:v>382</x:v>
      </x:c>
      <x:c r="D6" s="98" t="s">
        <x:v>383</x:v>
      </x:c>
      <x:c r="E6" s="98" t="s">
        <x:v>345</x:v>
      </x:c>
      <x:c r="F6" s="98" t="s">
        <x:v>384</x:v>
      </x:c>
    </x:row>
    <x:row r="7" ht="42" customHeight="1">
      <x:c r="A7" s="109" t="s">
        <x:v>385</x:v>
      </x:c>
      <x:c r="B7" s="112" t="s">
        <x:v>386</x:v>
      </x:c>
      <x:c r="C7" s="101" t="s">
        <x:v>387</x:v>
      </x:c>
      <x:c r="D7" s="101" t="s">
        <x:v>388</x:v>
      </x:c>
      <x:c r="E7" s="101" t="s">
        <x:v>345</x:v>
      </x:c>
      <x:c r="F7" s="101" t="s">
        <x:v>389</x:v>
      </x:c>
    </x:row>
    <x:row r="8" ht="42" customHeight="1">
      <x:c r="A8" s="109" t="s">
        <x:v>385</x:v>
      </x:c>
      <x:c r="B8" s="112" t="s">
        <x:v>390</x:v>
      </x:c>
      <x:c r="C8" s="98" t="s">
        <x:v>391</x:v>
      </x:c>
      <x:c r="D8" s="98" t="s">
        <x:v>392</x:v>
      </x:c>
      <x:c r="E8" s="98" t="s">
        <x:v>345</x:v>
      </x:c>
      <x:c r="F8" s="98" t="s">
        <x:v>393</x:v>
      </x:c>
    </x:row>
    <x:row r="9" ht="42" customHeight="1">
      <x:c r="A9" s="109" t="s">
        <x:v>385</x:v>
      </x:c>
      <x:c r="B9" s="112" t="s">
        <x:v>394</x:v>
      </x:c>
      <x:c r="C9" s="101" t="s">
        <x:v>395</x:v>
      </x:c>
      <x:c r="D9" s="101" t="s">
        <x:v>396</x:v>
      </x:c>
      <x:c r="E9" s="101" t="s">
        <x:v>345</x:v>
      </x:c>
      <x:c r="F9" s="101" t="s">
        <x:v>397</x:v>
      </x:c>
    </x:row>
    <x:row r="10" ht="42" customHeight="1">
      <x:c r="A10" s="109" t="s">
        <x:v>385</x:v>
      </x:c>
      <x:c r="B10" s="112" t="s">
        <x:v>398</x:v>
      </x:c>
      <x:c r="C10" s="98" t="s">
        <x:v>399</x:v>
      </x:c>
      <x:c r="D10" s="98" t="s">
        <x:v>400</x:v>
      </x:c>
      <x:c r="E10" s="98" t="s">
        <x:v>354</x:v>
      </x:c>
      <x:c r="F10" s="98" t="s">
        <x:v>401</x:v>
      </x:c>
    </x:row>
    <x:row r="11" ht="42" customHeight="1">
      <x:c r="A11" s="109" t="s">
        <x:v>385</x:v>
      </x:c>
      <x:c r="B11" s="112" t="s">
        <x:v>402</x:v>
      </x:c>
      <x:c r="C11" s="101" t="s">
        <x:v>403</x:v>
      </x:c>
      <x:c r="D11" s="101" t="s">
        <x:v>404</x:v>
      </x:c>
      <x:c r="E11" s="101" t="s">
        <x:v>345</x:v>
      </x:c>
      <x:c r="F11" s="101" t="s">
        <x:v>405</x:v>
      </x:c>
    </x:row>
    <x:row r="12" ht="42" customHeight="1">
      <x:c r="A12" s="109" t="s">
        <x:v>406</x:v>
      </x:c>
      <x:c r="B12" s="112" t="s">
        <x:v>407</x:v>
      </x:c>
      <x:c r="C12" s="98" t="s">
        <x:v>408</x:v>
      </x:c>
      <x:c r="D12" s="98" t="s">
        <x:v>409</x:v>
      </x:c>
      <x:c r="E12" s="98" t="s">
        <x:v>345</x:v>
      </x:c>
      <x:c r="F12" s="98" t="s">
        <x:v>410</x:v>
      </x:c>
    </x:row>
    <x:row r="13" ht="42" customHeight="1">
      <x:c r="A13" s="110" t="s">
        <x:v>411</x:v>
      </x:c>
      <x:c r="B13" s="113" t="s">
        <x:v>412</x:v>
      </x:c>
      <x:c r="C13" s="107" t="s">
        <x:v>413</x:v>
      </x:c>
      <x:c r="D13" s="107" t="s">
        <x:v>414</x:v>
      </x:c>
      <x:c r="E13" s="107" t="s">
        <x:v>345</x:v>
      </x:c>
      <x:c r="F13" s="107" t="s">
        <x:v>415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0" customWidth="1"/>
    <x:col min="2" max="2" width="34" customWidth="1"/>
    <x:col min="3" max="3" width="13" customWidth="1"/>
    <x:col min="4" max="4" width="18" customWidth="1"/>
    <x:col min="5" max="5" width="29" customWidth="1"/>
    <x:col min="6" max="6" width="16" customWidth="1"/>
    <x:col min="7" max="7" width="29" customWidth="1"/>
    <x:col min="8" max="8" width="15" customWidth="1"/>
  </x:cols>
  <x:sheetData>
    <x:row r="1" ht="36" customHeight="1">
      <x:c r="A1" s="166" t="s">
        <x:v>416</x:v>
      </x:c>
      <x:c r="B1" s="167"/>
      <x:c r="C1" s="167"/>
      <x:c r="D1" s="167"/>
      <x:c r="E1" s="167"/>
      <x:c r="F1" s="167"/>
      <x:c r="G1" s="167"/>
      <x:c r="H1" s="167"/>
    </x:row>
    <x:row r="2" ht="26.100000381469727" customHeight="1">
      <x:c r="A2" s="168" t="s">
        <x:v>417</x:v>
      </x:c>
      <x:c r="B2" s="167"/>
      <x:c r="C2" s="167"/>
      <x:c r="D2" s="167"/>
      <x:c r="E2" s="167"/>
      <x:c r="F2" s="167"/>
      <x:c r="G2" s="167"/>
      <x:c r="H2" s="167"/>
    </x:row>
    <x:row r="4" ht="32.099998474121094" customHeight="1">
      <x:c r="A4" s="94" t="s">
        <x:v>418</x:v>
      </x:c>
      <x:c r="B4" s="95" t="s">
        <x:v>419</x:v>
      </x:c>
      <x:c r="C4" s="95" t="s">
        <x:v>420</x:v>
      </x:c>
      <x:c r="D4" s="95" t="s">
        <x:v>421</x:v>
      </x:c>
      <x:c r="E4" s="95" t="s">
        <x:v>422</x:v>
      </x:c>
      <x:c r="F4" s="95" t="s">
        <x:v>385</x:v>
      </x:c>
      <x:c r="G4" s="95" t="s">
        <x:v>423</x:v>
      </x:c>
      <x:c r="H4" s="96" t="s">
        <x:v>424</x:v>
      </x:c>
    </x:row>
    <x:row r="5" ht="32.099998474121094" customHeight="1">
      <x:c r="A5" s="114">
        <x:v>1</x:v>
      </x:c>
      <x:c r="B5" s="100" t="s">
        <x:v>425</x:v>
      </x:c>
      <x:c r="C5" s="100" t="s">
        <x:v>426</x:v>
      </x:c>
      <x:c r="D5" s="100" t="s">
        <x:v>300</x:v>
      </x:c>
      <x:c r="E5" s="100" t="s">
        <x:v>427</x:v>
      </x:c>
      <x:c r="F5" s="100" t="s">
        <x:v>428</x:v>
      </x:c>
      <x:c r="G5" s="100" t="s">
        <x:v>429</x:v>
      </x:c>
      <x:c r="H5" s="117" t="s">
        <x:v>430</x:v>
      </x:c>
    </x:row>
    <x:row r="6" ht="32.099998474121094" customHeight="1">
      <x:c r="A6" s="115">
        <x:v>2</x:v>
      </x:c>
      <x:c r="B6" s="98" t="s">
        <x:v>431</x:v>
      </x:c>
      <x:c r="C6" s="98" t="s">
        <x:v>426</x:v>
      </x:c>
      <x:c r="D6" s="98" t="s">
        <x:v>312</x:v>
      </x:c>
      <x:c r="E6" s="98" t="s">
        <x:v>432</x:v>
      </x:c>
      <x:c r="F6" s="98" t="s">
        <x:v>428</x:v>
      </x:c>
      <x:c r="G6" s="98" t="s">
        <x:v>433</x:v>
      </x:c>
      <x:c r="H6" s="118" t="s">
        <x:v>430</x:v>
      </x:c>
    </x:row>
    <x:row r="7" ht="32.099998474121094" customHeight="1">
      <x:c r="A7" s="115">
        <x:v>3</x:v>
      </x:c>
      <x:c r="B7" s="101" t="s">
        <x:v>434</x:v>
      </x:c>
      <x:c r="C7" s="101" t="s">
        <x:v>426</x:v>
      </x:c>
      <x:c r="D7" s="101" t="s">
        <x:v>435</x:v>
      </x:c>
      <x:c r="E7" s="101" t="s">
        <x:v>436</x:v>
      </x:c>
      <x:c r="F7" s="101" t="s">
        <x:v>428</x:v>
      </x:c>
      <x:c r="G7" s="101" t="s">
        <x:v>437</x:v>
      </x:c>
      <x:c r="H7" s="118" t="s">
        <x:v>430</x:v>
      </x:c>
    </x:row>
    <x:row r="8" ht="32.099998474121094" customHeight="1">
      <x:c r="A8" s="115">
        <x:v>4</x:v>
      </x:c>
      <x:c r="B8" s="98" t="s">
        <x:v>438</x:v>
      </x:c>
      <x:c r="C8" s="98" t="s">
        <x:v>426</x:v>
      </x:c>
      <x:c r="D8" s="98" t="s">
        <x:v>435</x:v>
      </x:c>
      <x:c r="E8" s="98" t="s">
        <x:v>439</x:v>
      </x:c>
      <x:c r="F8" s="98" t="s">
        <x:v>428</x:v>
      </x:c>
      <x:c r="G8" s="98" t="s">
        <x:v>440</x:v>
      </x:c>
      <x:c r="H8" s="118" t="s">
        <x:v>430</x:v>
      </x:c>
    </x:row>
    <x:row r="9" ht="32.099998474121094" customHeight="1">
      <x:c r="A9" s="115">
        <x:v>5</x:v>
      </x:c>
      <x:c r="B9" s="101" t="s">
        <x:v>441</x:v>
      </x:c>
      <x:c r="C9" s="101" t="s">
        <x:v>426</x:v>
      </x:c>
      <x:c r="D9" s="101" t="s">
        <x:v>312</x:v>
      </x:c>
      <x:c r="E9" s="101" t="s">
        <x:v>442</x:v>
      </x:c>
      <x:c r="F9" s="101" t="s">
        <x:v>428</x:v>
      </x:c>
      <x:c r="G9" s="101" t="s">
        <x:v>437</x:v>
      </x:c>
      <x:c r="H9" s="118" t="s">
        <x:v>430</x:v>
      </x:c>
    </x:row>
    <x:row r="10" ht="32.099998474121094" customHeight="1">
      <x:c r="A10" s="115">
        <x:v>6</x:v>
      </x:c>
      <x:c r="B10" s="98" t="s">
        <x:v>443</x:v>
      </x:c>
      <x:c r="C10" s="98" t="s">
        <x:v>426</x:v>
      </x:c>
      <x:c r="D10" s="98" t="s">
        <x:v>300</x:v>
      </x:c>
      <x:c r="E10" s="98" t="s">
        <x:v>444</x:v>
      </x:c>
      <x:c r="F10" s="98" t="s">
        <x:v>445</x:v>
      </x:c>
      <x:c r="G10" s="98" t="s">
        <x:v>446</x:v>
      </x:c>
      <x:c r="H10" s="118" t="s">
        <x:v>430</x:v>
      </x:c>
    </x:row>
    <x:row r="11" ht="32.099998474121094" customHeight="1">
      <x:c r="A11" s="115">
        <x:v>7</x:v>
      </x:c>
      <x:c r="B11" s="101" t="s">
        <x:v>447</x:v>
      </x:c>
      <x:c r="C11" s="101" t="s">
        <x:v>426</x:v>
      </x:c>
      <x:c r="D11" s="101" t="s">
        <x:v>435</x:v>
      </x:c>
      <x:c r="E11" s="101" t="s">
        <x:v>448</x:v>
      </x:c>
      <x:c r="F11" s="101" t="s">
        <x:v>428</x:v>
      </x:c>
      <x:c r="G11" s="101" t="s">
        <x:v>449</x:v>
      </x:c>
      <x:c r="H11" s="118" t="s">
        <x:v>430</x:v>
      </x:c>
    </x:row>
    <x:row r="12" ht="32.099998474121094" customHeight="1">
      <x:c r="A12" s="115">
        <x:v>8</x:v>
      </x:c>
      <x:c r="B12" s="98" t="s">
        <x:v>450</x:v>
      </x:c>
      <x:c r="C12" s="98" t="s">
        <x:v>451</x:v>
      </x:c>
      <x:c r="D12" s="98" t="s">
        <x:v>452</x:v>
      </x:c>
      <x:c r="E12" s="98" t="s">
        <x:v>453</x:v>
      </x:c>
      <x:c r="F12" s="98" t="s">
        <x:v>428</x:v>
      </x:c>
      <x:c r="G12" s="98" t="s">
        <x:v>300</x:v>
      </x:c>
      <x:c r="H12" s="118" t="s">
        <x:v>430</x:v>
      </x:c>
    </x:row>
    <x:row r="13" ht="32.099998474121094" customHeight="1">
      <x:c r="A13" s="115">
        <x:v>9</x:v>
      </x:c>
      <x:c r="B13" s="101" t="s">
        <x:v>454</x:v>
      </x:c>
      <x:c r="C13" s="101" t="s">
        <x:v>451</x:v>
      </x:c>
      <x:c r="D13" s="101" t="s">
        <x:v>312</x:v>
      </x:c>
      <x:c r="E13" s="101" t="s">
        <x:v>455</x:v>
      </x:c>
      <x:c r="F13" s="101" t="s">
        <x:v>456</x:v>
      </x:c>
      <x:c r="G13" s="101" t="s">
        <x:v>457</x:v>
      </x:c>
      <x:c r="H13" s="118" t="s">
        <x:v>430</x:v>
      </x:c>
    </x:row>
    <x:row r="14" ht="32.099998474121094" customHeight="1">
      <x:c r="A14" s="116">
        <x:v>10</x:v>
      </x:c>
      <x:c r="B14" s="99" t="s">
        <x:v>458</x:v>
      </x:c>
      <x:c r="C14" s="99" t="s">
        <x:v>451</x:v>
      </x:c>
      <x:c r="D14" s="99" t="s">
        <x:v>435</x:v>
      </x:c>
      <x:c r="E14" s="99" t="s">
        <x:v>459</x:v>
      </x:c>
      <x:c r="F14" s="99" t="s">
        <x:v>445</x:v>
      </x:c>
      <x:c r="G14" s="99" t="s">
        <x:v>460</x:v>
      </x:c>
      <x:c r="H14" s="119" t="s">
        <x:v>430</x:v>
      </x:c>
    </x:row>
  </x:sheetData>
  <x:mergeCells>
    <x:mergeCell ref="A1:H1"/>
    <x:mergeCell ref="A2:H2"/>
  </x:mergeCells>
  <x:conditionalFormatting sqref="F5:F14">
    <x:cfRule type="containsText" dxfId="1" priority="1" operator="containsText" text="Complete"/>
    <x:cfRule type="containsText" dxfId="0" priority="2" operator="containsText" text="In Progress"/>
  </x:conditionalFormatting>
  <x:dataValidations count="1">
    <x:dataValidation type="list" sqref="F5:F14">
      <x:formula1>"Complete,In Progress,Not Started"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8" customWidth="1"/>
    <x:col min="2" max="2" width="16" customWidth="1"/>
    <x:col min="4" max="8" width="18" customWidth="1"/>
  </x:cols>
  <x:sheetData>
    <x:row r="1" ht="36" customHeight="1">
      <x:c r="A1" s="166" t="s">
        <x:v>461</x:v>
      </x:c>
      <x:c r="B1" s="167"/>
      <x:c r="C1" s="167"/>
      <x:c r="D1" s="167"/>
      <x:c r="E1" s="167"/>
      <x:c r="F1" s="167"/>
      <x:c r="G1" s="167"/>
      <x:c r="H1" s="167"/>
    </x:row>
    <x:row r="2" ht="26.100000381469727" customHeight="1">
      <x:c r="A2" s="168" t="s">
        <x:v>462</x:v>
      </x:c>
      <x:c r="B2" s="167"/>
      <x:c r="C2" s="167"/>
      <x:c r="D2" s="167"/>
      <x:c r="E2" s="167"/>
      <x:c r="F2" s="167"/>
      <x:c r="G2" s="167"/>
      <x:c r="H2" s="167"/>
    </x:row>
    <x:row r="4" ht="33.95000076293945" customHeight="1">
      <x:c r="A4" s="94" t="s">
        <x:v>463</x:v>
      </x:c>
      <x:c r="B4" s="96" t="s">
        <x:v>464</x:v>
      </x:c>
      <x:c r="D4" s="169" t="s">
        <x:v>465</x:v>
      </x:c>
      <x:c r="E4" s="170"/>
      <x:c r="F4" s="170"/>
      <x:c r="G4" s="170"/>
      <x:c r="H4" s="171"/>
    </x:row>
    <x:row r="5" ht="32.099998474121094" customHeight="1">
      <x:c r="A5" s="97" t="s">
        <x:v>215</x:v>
      </x:c>
      <x:c r="B5" s="120" t="n">
        <x:f>'QA Summary'!B4</x:f>
        <x:v>48</x:v>
      </x:c>
      <x:c r="D5" s="172" t="str">
        <x:f>"Hello Finance Team,"&amp;CHAR(10)&amp;CHAR(10)&amp;"The weekly invoice review covers "&amp;B5&amp;" records. "&amp;B6&amp;" are ready, "&amp;B7&amp;" require review, and "&amp;B8&amp;" are high risk. Please prioritize the "&amp;B9&amp;" overdue unpaid items and "&amp;B10&amp;" pending written approvals."&amp;CHAR(10)&amp;CHAR(10)&amp;"No payment decision was made by the VA. Supporting details and next written actions are recorded in the Invoice Validation and Follow-Up Tracker sheets. Please reply by email or chat with status changes or approvals."&amp;CHAR(10)&amp;CHAR(10)&amp;"Thank you."</x:f>
        <x:v>Hello Finance Team,
The weekly invoice review covers 48 records. 11 are ready, 37 require review, and 27 are high risk. Please prioritize the 23 overdue unpaid items and 4 pending written approvals.
No payment decision was made by the VA. Supporting details and next written actions are recorded in the Invoice Validation and Follow-Up Tracker sheets. Please reply by email or chat with status changes or approvals.
Thank you.</x:v>
      </x:c>
      <x:c r="E5" s="173"/>
      <x:c r="F5" s="173"/>
      <x:c r="G5" s="173"/>
      <x:c r="H5" s="174"/>
    </x:row>
    <x:row r="6" ht="32.099998474121094" customHeight="1">
      <x:c r="A6" s="123" t="s">
        <x:v>261</x:v>
      </x:c>
      <x:c r="B6" s="124" t="n">
        <x:f>'QA Summary'!B5</x:f>
        <x:v>11</x:v>
      </x:c>
      <x:c r="D6" s="175"/>
      <x:c r="E6" s="176"/>
      <x:c r="F6" s="176"/>
      <x:c r="G6" s="176"/>
      <x:c r="H6" s="177"/>
    </x:row>
    <x:row r="7" ht="32.099998474121094" customHeight="1">
      <x:c r="A7" s="125" t="s">
        <x:v>466</x:v>
      </x:c>
      <x:c r="B7" s="126" t="n">
        <x:f>'QA Summary'!B6</x:f>
        <x:v>37</x:v>
      </x:c>
      <x:c r="D7" s="175"/>
      <x:c r="E7" s="176"/>
      <x:c r="F7" s="176"/>
      <x:c r="G7" s="176"/>
      <x:c r="H7" s="177"/>
    </x:row>
    <x:row r="8" ht="32.099998474121094" customHeight="1">
      <x:c r="A8" s="127" t="s">
        <x:v>467</x:v>
      </x:c>
      <x:c r="B8" s="128" t="n">
        <x:f>'QA Summary'!B7</x:f>
        <x:v>27</x:v>
      </x:c>
      <x:c r="D8" s="175"/>
      <x:c r="E8" s="176"/>
      <x:c r="F8" s="176"/>
      <x:c r="G8" s="176"/>
      <x:c r="H8" s="177"/>
    </x:row>
    <x:row r="9" ht="32.099998474121094" customHeight="1">
      <x:c r="A9" s="98" t="s">
        <x:v>258</x:v>
      </x:c>
      <x:c r="B9" s="121" t="n">
        <x:f>'QA Summary'!B14</x:f>
        <x:v>23</x:v>
      </x:c>
      <x:c r="D9" s="175"/>
      <x:c r="E9" s="176"/>
      <x:c r="F9" s="176"/>
      <x:c r="G9" s="176"/>
      <x:c r="H9" s="177"/>
    </x:row>
    <x:row r="10" ht="32.099998474121094" customHeight="1">
      <x:c r="A10" s="99" t="s">
        <x:v>259</x:v>
      </x:c>
      <x:c r="B10" s="122" t="n">
        <x:f>'QA Summary'!B15</x:f>
        <x:v>4</x:v>
      </x:c>
      <x:c r="D10" s="175"/>
      <x:c r="E10" s="176"/>
      <x:c r="F10" s="176"/>
      <x:c r="G10" s="176"/>
      <x:c r="H10" s="177"/>
    </x:row>
    <x:row r="11" ht="32.099998474121094" customHeight="1">
      <x:c r="D11" s="178"/>
      <x:c r="E11" s="179"/>
      <x:c r="F11" s="179"/>
      <x:c r="G11" s="179"/>
      <x:c r="H11" s="180"/>
    </x:row>
    <x:row r="13" ht="33.95000076293945" customHeight="1">
      <x:c r="A13" s="181" t="s">
        <x:v>468</x:v>
      </x:c>
      <x:c r="B13" s="167"/>
      <x:c r="C13" s="167"/>
      <x:c r="D13" s="167"/>
      <x:c r="E13" s="167"/>
      <x:c r="F13" s="167"/>
      <x:c r="G13" s="167"/>
      <x:c r="H13" s="167"/>
    </x:row>
  </x:sheetData>
  <x:mergeCells>
    <x:mergeCell ref="A1:H1"/>
    <x:mergeCell ref="A2:H2"/>
    <x:mergeCell ref="D4:H4"/>
    <x:mergeCell ref="D5:H11"/>
    <x:mergeCell ref="A13:H13"/>
  </x:mergeCells>
  <x:pageMargins left="0.7" right="0.7" top="0.75" bottom="0.75" header="0.3" footer="0.3"/>
</x:worksheet>
</file>