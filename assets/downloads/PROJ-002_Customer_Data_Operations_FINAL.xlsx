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67aaa6d4d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54293a6b5fe6495a"/>
    <x:sheet xmlns:r="http://schemas.openxmlformats.org/officeDocument/2006/relationships" name="Mappings" sheetId="2" r:id="R39a8dd6bcd6f4056"/>
    <x:sheet xmlns:r="http://schemas.openxmlformats.org/officeDocument/2006/relationships" name="Cleaned Data" sheetId="3" r:id="Rb05166e6a768439d"/>
    <x:sheet xmlns:r="http://schemas.openxmlformats.org/officeDocument/2006/relationships" name="QA Summary" sheetId="4" r:id="R40ef2cc4dc844d68"/>
    <x:sheet xmlns:r="http://schemas.openxmlformats.org/officeDocument/2006/relationships" name="Dashboard" sheetId="5" r:id="Rac8ac78420634eae"/>
    <x:sheet xmlns:r="http://schemas.openxmlformats.org/officeDocument/2006/relationships" name="CRM Review Queue" sheetId="6" r:id="R000d815af13844f0"/>
    <x:sheet xmlns:r="http://schemas.openxmlformats.org/officeDocument/2006/relationships" name="Data Entry SOP" sheetId="7" r:id="R7ee72c7a68884f04"/>
    <x:sheet xmlns:r="http://schemas.openxmlformats.org/officeDocument/2006/relationships" name="Project Notes" sheetId="8" r:id="R34e867eb1a3a4005"/>
    <x:sheet xmlns:r="http://schemas.openxmlformats.org/officeDocument/2006/relationships" name="Detailed Review Queue" sheetId="9" r:id="R166c96bb5ac94a3b"/>
  </x:sheets>
</x:workbook>
</file>

<file path=xl/sharedStrings.xml><?xml version="1.0" encoding="utf-8"?>
<x:sst xmlns:x="http://schemas.openxmlformats.org/spreadsheetml/2006/main">
  <x:si>
    <x:t xml:space="preserve">PROJ-002 | Raw Data</x:t>
  </x:si>
  <x:si>
    <x:t xml:space="preserve">Original intake data • realistic quality issues retained for demonstration</x:t>
  </x:si>
  <x:si>
    <x:t xml:space="preserve">Customer ID</x:t>
  </x:si>
  <x:si>
    <x:t xml:space="preserve">Customer Name</x:t>
  </x:si>
  <x:si>
    <x:t xml:space="preserve">Email</x:t>
  </x:si>
  <x:si>
    <x:t xml:space="preserve">Phone</x:t>
  </x:si>
  <x:si>
    <x:t xml:space="preserve">Country</x:t>
  </x:si>
  <x:si>
    <x:t xml:space="preserve">Signup Date</x:t>
  </x:si>
  <x:si>
    <x:t xml:space="preserve">Segment</x:t>
  </x:si>
  <x:si>
    <x:t xml:space="preserve">Status</x:t>
  </x:si>
  <x:si>
    <x:t xml:space="preserve">Last Contact</x:t>
  </x:si>
  <x:si>
    <x:t xml:space="preserve">Order Count</x:t>
  </x:si>
  <x:si>
    <x:t xml:space="preserve">Lifetime Value (USD)</x:t>
  </x:si>
  <x:si>
    <x:t xml:space="preserve">CUST-0001</x:t>
  </x:si>
  <x:si>
    <x:t xml:space="preserve">Daniel Bennett</x:t>
  </x:si>
  <x:si>
    <x:t xml:space="preserve">daniel.bennett@example.com</x:t>
  </x:si>
  <x:si>
    <x:t xml:space="preserve">+1 202 555 1001</x:t>
  </x:si>
  <x:si>
    <x:t xml:space="preserve">Indonesia</x:t>
  </x:si>
  <x:si>
    <x:t xml:space="preserve">Retail</x:t>
  </x:si>
  <x:si>
    <x:t xml:space="preserve">Active</x:t>
  </x:si>
  <x:si>
    <x:t xml:space="preserve">CUST-0002</x:t>
  </x:si>
  <x:si>
    <x:t xml:space="preserve">Liam Carter</x:t>
  </x:si>
  <x:si>
    <x:t xml:space="preserve">liam.carter@example.com</x:t>
  </x:si>
  <x:si>
    <x:t xml:space="preserve">+1 202 555 1002</x:t>
  </x:si>
  <x:si>
    <x:t xml:space="preserve">United States</x:t>
  </x:si>
  <x:si>
    <x:t xml:space="preserve">Prospect</x:t>
  </x:si>
  <x:si>
    <x:t xml:space="preserve">CUST-0003</x:t>
  </x:si>
  <x:si>
    <x:t xml:space="preserve">  LEO BAILEY </x:t>
  </x:si>
  <x:si>
    <x:t xml:space="preserve">leo.bailey@example.com</x:t>
  </x:si>
  <x:si>
    <x:t xml:space="preserve">+1 202 555 1003</x:t>
  </x:si>
  <x:si>
    <x:t xml:space="preserve">Canada</x:t>
  </x:si>
  <x:si>
    <x:t xml:space="preserve">Business</x:t>
  </x:si>
  <x:si>
    <x:t xml:space="preserve">CUST-0004</x:t>
  </x:si>
  <x:si>
    <x:t xml:space="preserve">Maya Turner</x:t>
  </x:si>
  <x:si>
    <x:t xml:space="preserve">maya.turner@example.com</x:t>
  </x:si>
  <x:si>
    <x:t xml:space="preserve">+1 202 555 1004</x:t>
  </x:si>
  <x:si>
    <x:t xml:space="preserve">United Kingdom</x:t>
  </x:si>
  <x:si>
    <x:t xml:space="preserve">CUST-0005</x:t>
  </x:si>
  <x:si>
    <x:t xml:space="preserve">Marcus Murphy</x:t>
  </x:si>
  <x:si>
    <x:t xml:space="preserve">marcus.murphy@example.com</x:t>
  </x:si>
  <x:si>
    <x:t xml:space="preserve">+1 202 555 1005</x:t>
  </x:si>
  <x:si>
    <x:t xml:space="preserve">Singapore</x:t>
  </x:si>
  <x:si>
    <x:t xml:space="preserve">CUST-0006</x:t>
  </x:si>
  <x:si>
    <x:t xml:space="preserve">Sofia Carter</x:t>
  </x:si>
  <x:si>
    <x:t xml:space="preserve">+1 202 555 1006</x:t>
  </x:si>
  <x:si>
    <x:t xml:space="preserve">CUST-0007</x:t>
  </x:si>
  <x:si>
    <x:t xml:space="preserve">Chloe Ward</x:t>
  </x:si>
  <x:si>
    <x:t xml:space="preserve">chloe.ward@example.com</x:t>
  </x:si>
  <x:si>
    <x:t xml:space="preserve">+1 202 555 1007</x:t>
  </x:si>
  <x:si>
    <x:t xml:space="preserve">CUST-0008</x:t>
  </x:si>
  <x:si>
    <x:t xml:space="preserve">Ethan Gray</x:t>
  </x:si>
  <x:si>
    <x:t xml:space="preserve">ethan.gray@example.com</x:t>
  </x:si>
  <x:si>
    <x:t xml:space="preserve">+1 202 555 1008</x:t>
  </x:si>
  <x:si>
    <x:t xml:space="preserve">united states</x:t>
  </x:si>
  <x:si>
    <x:t xml:space="preserve">Inactive</x:t>
  </x:si>
  <x:si>
    <x:t xml:space="preserve">CUST-0009</x:t>
  </x:si>
  <x:si>
    <x:t xml:space="preserve">Olivia Carter</x:t>
  </x:si>
  <x:si>
    <x:t xml:space="preserve">olivia.carter@example.com</x:t>
  </x:si>
  <x:si>
    <x:t xml:space="preserve">+1 202 555 1009</x:t>
  </x:si>
  <x:si>
    <x:t xml:space="preserve">CUST-0010</x:t>
  </x:si>
  <x:si>
    <x:t xml:space="preserve">Zoe Mitchell</x:t>
  </x:si>
  <x:si>
    <x:t xml:space="preserve">zoe.mitchell@example.com</x:t>
  </x:si>
  <x:si>
    <x:t xml:space="preserve">202-ABC-9911</x:t>
  </x:si>
  <x:si>
    <x:t xml:space="preserve">CUST-0011</x:t>
  </x:si>
  <x:si>
    <x:t xml:space="preserve">Lucas Gray</x:t>
  </x:si>
  <x:si>
    <x:t xml:space="preserve">lucas.gray@example.com</x:t>
  </x:si>
  <x:si>
    <x:t xml:space="preserve">+1 202 555 1011</x:t>
  </x:si>
  <x:si>
    <x:t xml:space="preserve">VIP</x:t>
  </x:si>
  <x:si>
    <x:t xml:space="preserve">CUST-0012</x:t>
  </x:si>
  <x:si>
    <x:t xml:space="preserve">Maya Rivera</x:t>
  </x:si>
  <x:si>
    <x:t xml:space="preserve">maya.rivera@example.com</x:t>
  </x:si>
  <x:si>
    <x:t xml:space="preserve">+1 202 555 1012</x:t>
  </x:si>
  <x:si>
    <x:t xml:space="preserve">Australia</x:t>
  </x:si>
  <x:si>
    <x:t xml:space="preserve"> vip </x:t>
  </x:si>
  <x:si>
    <x:t xml:space="preserve">CUST-0013</x:t>
  </x:si>
  <x:si>
    <x:t xml:space="preserve">Liam King</x:t>
  </x:si>
  <x:si>
    <x:t xml:space="preserve">liam.king@example.com</x:t>
  </x:si>
  <x:si>
    <x:t xml:space="preserve">+1 202 555 1013</x:t>
  </x:si>
  <x:si>
    <x:t xml:space="preserve">CUST-0014</x:t>
  </x:si>
  <x:si>
    <x:t xml:space="preserve">Alicia Reed</x:t>
  </x:si>
  <x:si>
    <x:t xml:space="preserve">alicia.reed@example.com</x:t>
  </x:si>
  <x:si>
    <x:t xml:space="preserve">+1 202 555 1014</x:t>
  </x:si>
  <x:si>
    <x:t xml:space="preserve">CUST-0015</x:t>
  </x:si>
  <x:si>
    <x:t xml:space="preserve">Ethan Murphy</x:t>
  </x:si>
  <x:si>
    <x:t xml:space="preserve">ethan.murphy@example.com</x:t>
  </x:si>
  <x:si>
    <x:t xml:space="preserve">+1 202 555 1015</x:t>
  </x:si>
  <x:si>
    <x:t xml:space="preserve">03/14/2025</x:t>
  </x:si>
  <x:si>
    <x:t xml:space="preserve">CUST-0016</x:t>
  </x:si>
  <x:si>
    <x:t xml:space="preserve">Ryan Rivera</x:t>
  </x:si>
  <x:si>
    <x:t xml:space="preserve">ryan.rivera@example.com</x:t>
  </x:si>
  <x:si>
    <x:t xml:space="preserve">+1 202 555 1016</x:t>
  </x:si>
  <x:si>
    <x:t xml:space="preserve">ACTIVE</x:t>
  </x:si>
  <x:si>
    <x:t xml:space="preserve">CUST-0017</x:t>
  </x:si>
  <x:si>
    <x:t xml:space="preserve">Mason Mitchell</x:t>
  </x:si>
  <x:si>
    <x:t xml:space="preserve">mason.mitchell@example.com</x:t>
  </x:si>
  <x:si>
    <x:t xml:space="preserve">+1 202 555 1017</x:t>
  </x:si>
  <x:si>
    <x:t xml:space="preserve">CUST-0018</x:t>
  </x:si>
  <x:si>
    <x:t xml:space="preserve">Zoe Morgan</x:t>
  </x:si>
  <x:si>
    <x:t xml:space="preserve">zoe.morgan@example.com</x:t>
  </x:si>
  <x:si>
    <x:t xml:space="preserve">+1 202 555 1018</x:t>
  </x:si>
  <x:si>
    <x:t xml:space="preserve">CUST-0019</x:t>
  </x:si>
  <x:si>
    <x:t xml:space="preserve">Leo Hayes</x:t>
  </x:si>
  <x:si>
    <x:t xml:space="preserve">leo.hayes@example.com</x:t>
  </x:si>
  <x:si>
    <x:t xml:space="preserve">CUST-0020</x:t>
  </x:si>
  <x:si>
    <x:t xml:space="preserve">Nora Foster</x:t>
  </x:si>
  <x:si>
    <x:t xml:space="preserve">nora.foster@example.com</x:t>
  </x:si>
  <x:si>
    <x:t xml:space="preserve">+1 202 555 1020</x:t>
  </x:si>
  <x:si>
    <x:t xml:space="preserve">CUST-0021</x:t>
  </x:si>
  <x:si>
    <x:t xml:space="preserve">Lucas Morgan</x:t>
  </x:si>
  <x:si>
    <x:t xml:space="preserve">lucas.morgan@example.com</x:t>
  </x:si>
  <x:si>
    <x:t xml:space="preserve">+1 202 555 1021</x:t>
  </x:si>
  <x:si>
    <x:t xml:space="preserve">business</x:t>
  </x:si>
  <x:si>
    <x:t xml:space="preserve">CUST-0022</x:t>
  </x:si>
  <x:si>
    <x:t xml:space="preserve">Marcus Brooks</x:t>
  </x:si>
  <x:si>
    <x:t xml:space="preserve">marcus.brooks@example.com</x:t>
  </x:si>
  <x:si>
    <x:t xml:space="preserve">+1 202 555 1022</x:t>
  </x:si>
  <x:si>
    <x:t xml:space="preserve">CUST-0023</x:t>
  </x:si>
  <x:si>
    <x:t xml:space="preserve">Henry Turner</x:t>
  </x:si>
  <x:si>
    <x:t xml:space="preserve">henry.turner@example.com</x:t>
  </x:si>
  <x:si>
    <x:t xml:space="preserve">+1 202 555 1023</x:t>
  </x:si>
  <x:si>
    <x:t xml:space="preserve">CUST-0024</x:t>
  </x:si>
  <x:si>
    <x:t xml:space="preserve">Liam Turner</x:t>
  </x:si>
  <x:si>
    <x:t xml:space="preserve">liam.turner@example.com</x:t>
  </x:si>
  <x:si>
    <x:t xml:space="preserve">+1 202 555 1024</x:t>
  </x:si>
  <x:si>
    <x:t xml:space="preserve">CUST-0025</x:t>
  </x:si>
  <x:si>
    <x:t xml:space="preserve">Marcus Reed</x:t>
  </x:si>
  <x:si>
    <x:t xml:space="preserve">marcus.reed@example.com</x:t>
  </x:si>
  <x:si>
    <x:t xml:space="preserve">+1 202 555 1025</x:t>
  </x:si>
  <x:si>
    <x:t xml:space="preserve">CUST-0026</x:t>
  </x:si>
  <x:si>
    <x:t xml:space="preserve">Chloe Parker</x:t>
  </x:si>
  <x:si>
    <x:t xml:space="preserve">chloe.parker@example.com</x:t>
  </x:si>
  <x:si>
    <x:t xml:space="preserve">+1 202 555 1026</x:t>
  </x:si>
  <x:si>
    <x:t xml:space="preserve">INDONESIA</x:t>
  </x:si>
  <x:si>
    <x:t xml:space="preserve">CUST-0027</x:t>
  </x:si>
  <x:si>
    <x:t xml:space="preserve">Leo Reed</x:t>
  </x:si>
  <x:si>
    <x:t xml:space="preserve">leo.reed@example.com</x:t>
  </x:si>
  <x:si>
    <x:t xml:space="preserve">+1 202 555 1027</x:t>
  </x:si>
  <x:si>
    <x:t xml:space="preserve">CUST-0028</x:t>
  </x:si>
  <x:si>
    <x:t xml:space="preserve">+1 202 555 1028</x:t>
  </x:si>
  <x:si>
    <x:t xml:space="preserve">CUST-0029</x:t>
  </x:si>
  <x:si>
    <x:t xml:space="preserve">Chloe Foster</x:t>
  </x:si>
  <x:si>
    <x:t xml:space="preserve">chloe.foster@example.com</x:t>
  </x:si>
  <x:si>
    <x:t xml:space="preserve">+1 202 555 1029</x:t>
  </x:si>
  <x:si>
    <x:t xml:space="preserve">CUST-0030</x:t>
  </x:si>
  <x:si>
    <x:t xml:space="preserve">Nora Carter</x:t>
  </x:si>
  <x:si>
    <x:t xml:space="preserve">nora.carter@example.com</x:t>
  </x:si>
  <x:si>
    <x:t xml:space="preserve">+1 202 555 1030</x:t>
  </x:si>
  <x:si>
    <x:t xml:space="preserve">CUST-0031</x:t>
  </x:si>
  <x:si>
    <x:t xml:space="preserve">Henry Rivera</x:t>
  </x:si>
  <x:si>
    <x:t xml:space="preserve">henry.rivera@example.com</x:t>
  </x:si>
  <x:si>
    <x:t xml:space="preserve">+1 202 555 1031</x:t>
  </x:si>
  <x:si>
    <x:t xml:space="preserve">CUST-0032</x:t>
  </x:si>
  <x:si>
    <x:t xml:space="preserve">Lucas Collins</x:t>
  </x:si>
  <x:si>
    <x:t xml:space="preserve">lucas.collins@example.com</x:t>
  </x:si>
  <x:si>
    <x:t xml:space="preserve">+1 202 555 1032</x:t>
  </x:si>
  <x:si>
    <x:t xml:space="preserve">2025-15-40</x:t>
  </x:si>
  <x:si>
    <x:t xml:space="preserve">CUST-0033</x:t>
  </x:si>
  <x:si>
    <x:t xml:space="preserve">Zoe Young</x:t>
  </x:si>
  <x:si>
    <x:t xml:space="preserve">zoe.young@example.com</x:t>
  </x:si>
  <x:si>
    <x:t xml:space="preserve">+1 202 555 1033</x:t>
  </x:si>
  <x:si>
    <x:t xml:space="preserve">CUST-0034</x:t>
  </x:si>
  <x:si>
    <x:t xml:space="preserve">Maya Foster</x:t>
  </x:si>
  <x:si>
    <x:t xml:space="preserve">maya.foster@example.com</x:t>
  </x:si>
  <x:si>
    <x:t xml:space="preserve">+1 202 555 1034</x:t>
  </x:si>
  <x:si>
    <x:t xml:space="preserve">CUST-0035</x:t>
  </x:si>
  <x:si>
    <x:t xml:space="preserve">Sofia Gray</x:t>
  </x:si>
  <x:si>
    <x:t xml:space="preserve">sofia.gray@example.com</x:t>
  </x:si>
  <x:si>
    <x:t xml:space="preserve">+1 202 555 1035</x:t>
  </x:si>
  <x:si>
    <x:t xml:space="preserve">CUST-0036</x:t>
  </x:si>
  <x:si>
    <x:t xml:space="preserve">+1 202 555 1036</x:t>
  </x:si>
  <x:si>
    <x:t xml:space="preserve">CUST-0037</x:t>
  </x:si>
  <x:si>
    <x:t xml:space="preserve">Leo Foster</x:t>
  </x:si>
  <x:si>
    <x:t xml:space="preserve">leo.foster@example.com</x:t>
  </x:si>
  <x:si>
    <x:t xml:space="preserve">+1 202 555 1037</x:t>
  </x:si>
  <x:si>
    <x:t xml:space="preserve">CUST-0038</x:t>
  </x:si>
  <x:si>
    <x:t xml:space="preserve">Ryan King</x:t>
  </x:si>
  <x:si>
    <x:t xml:space="preserve">ryan.king@example.com</x:t>
  </x:si>
  <x:si>
    <x:t xml:space="preserve">+1 202 555 1038</x:t>
  </x:si>
  <x:si>
    <x:t xml:space="preserve">CUST-0039</x:t>
  </x:si>
  <x:si>
    <x:t xml:space="preserve">Amelia Carter</x:t>
  </x:si>
  <x:si>
    <x:t xml:space="preserve">amelia.carter@example.com</x:t>
  </x:si>
  <x:si>
    <x:t xml:space="preserve">+1 202 555 1039</x:t>
  </x:si>
  <x:si>
    <x:t xml:space="preserve">New Customer</x:t>
  </x:si>
  <x:si>
    <x:t xml:space="preserve">CUST-0040</x:t>
  </x:si>
  <x:si>
    <x:t xml:space="preserve">Amelia Hayes</x:t>
  </x:si>
  <x:si>
    <x:t xml:space="preserve">amelia.hayes@example.com</x:t>
  </x:si>
  <x:si>
    <x:t xml:space="preserve">+1 202 555 1040</x:t>
  </x:si>
  <x:si>
    <x:t xml:space="preserve">CUST-0041</x:t>
  </x:si>
  <x:si>
    <x:t xml:space="preserve">Maya Gray</x:t>
  </x:si>
  <x:si>
    <x:t xml:space="preserve">maya.gray@example.com</x:t>
  </x:si>
  <x:si>
    <x:t xml:space="preserve">+1 202 555 1041</x:t>
  </x:si>
  <x:si>
    <x:t xml:space="preserve">inactive</x:t>
  </x:si>
  <x:si>
    <x:t xml:space="preserve">CUST-0042</x:t>
  </x:si>
  <x:si>
    <x:t xml:space="preserve">Noah Carter</x:t>
  </x:si>
  <x:si>
    <x:t xml:space="preserve">noah.carter@example.com</x:t>
  </x:si>
  <x:si>
    <x:t xml:space="preserve">+1 202 555 1042</x:t>
  </x:si>
  <x:si>
    <x:t xml:space="preserve">CUST-0043</x:t>
  </x:si>
  <x:si>
    <x:t xml:space="preserve">+1 202 555 1043</x:t>
  </x:si>
  <x:si>
    <x:t xml:space="preserve">CUST-0044</x:t>
  </x:si>
  <x:si>
    <x:t xml:space="preserve">Olivia Bailey</x:t>
  </x:si>
  <x:si>
    <x:t xml:space="preserve">olivia.bailey@example.com</x:t>
  </x:si>
  <x:si>
    <x:t xml:space="preserve">+1 202 555 1044</x:t>
  </x:si>
  <x:si>
    <x:t xml:space="preserve">CUST-0045</x:t>
  </x:si>
  <x:si>
    <x:t xml:space="preserve">Marcus Bell</x:t>
  </x:si>
  <x:si>
    <x:t xml:space="preserve">marcus.bell@example.com</x:t>
  </x:si>
  <x:si>
    <x:t xml:space="preserve">+1 202 555 1045</x:t>
  </x:si>
  <x:si>
    <x:t xml:space="preserve">CUST-0046</x:t>
  </x:si>
  <x:si>
    <x:t xml:space="preserve">Nora Collins</x:t>
  </x:si>
  <x:si>
    <x:t xml:space="preserve">nora.collins@example.com</x:t>
  </x:si>
  <x:si>
    <x:t xml:space="preserve">+1 202 555 1046</x:t>
  </x:si>
  <x:si>
    <x:t xml:space="preserve">CUST-0047</x:t>
  </x:si>
  <x:si>
    <x:t xml:space="preserve">Leo Mitchell</x:t>
  </x:si>
  <x:si>
    <x:t xml:space="preserve">leo.mitchell@example.com</x:t>
  </x:si>
  <x:si>
    <x:t xml:space="preserve">+1 202 555 1047</x:t>
  </x:si>
  <x:si>
    <x:t xml:space="preserve">CUST-0048</x:t>
  </x:si>
  <x:si>
    <x:t xml:space="preserve">Liam Ward</x:t>
  </x:si>
  <x:si>
    <x:t xml:space="preserve">liam.ward@example.com</x:t>
  </x:si>
  <x:si>
    <x:t xml:space="preserve">+1 202 555 1048</x:t>
  </x:si>
  <x:si>
    <x:t xml:space="preserve">CUST-0049</x:t>
  </x:si>
  <x:si>
    <x:t xml:space="preserve">Nora Cooper</x:t>
  </x:si>
  <x:si>
    <x:t xml:space="preserve">nora.cooper@example.com</x:t>
  </x:si>
  <x:si>
    <x:t xml:space="preserve">+1 202 555 1049</x:t>
  </x:si>
  <x:si>
    <x:t xml:space="preserve">Prospect </x:t>
  </x:si>
  <x:si>
    <x:t xml:space="preserve">CUST-0050</x:t>
  </x:si>
  <x:si>
    <x:t xml:space="preserve">Sofia Mitchell</x:t>
  </x:si>
  <x:si>
    <x:t xml:space="preserve">sofia.mitchell@example.com</x:t>
  </x:si>
  <x:si>
    <x:t xml:space="preserve">+1 202 555 1050</x:t>
  </x:si>
  <x:si>
    <x:t xml:space="preserve">CUST-0051</x:t>
  </x:si>
  <x:si>
    <x:t xml:space="preserve">Liam Mitchell</x:t>
  </x:si>
  <x:si>
    <x:t xml:space="preserve">liam.mitchell@example.com</x:t>
  </x:si>
  <x:si>
    <x:t xml:space="preserve">+1 202 555 1051</x:t>
  </x:si>
  <x:si>
    <x:t xml:space="preserve">CUST-0052</x:t>
  </x:si>
  <x:si>
    <x:t xml:space="preserve">Emma Hayes</x:t>
  </x:si>
  <x:si>
    <x:t xml:space="preserve">emma.hayes@example.com</x:t>
  </x:si>
  <x:si>
    <x:t xml:space="preserve">+1 202 555 1052</x:t>
  </x:si>
  <x:si>
    <x:t xml:space="preserve">misc</x:t>
  </x:si>
  <x:si>
    <x:t xml:space="preserve">Liam King </x:t>
  </x:si>
  <x:si>
    <x:t xml:space="preserve">CUST-0054</x:t>
  </x:si>
  <x:si>
    <x:t xml:space="preserve">Ethan Morgan</x:t>
  </x:si>
  <x:si>
    <x:t xml:space="preserve">ethan.morgan@example.com</x:t>
  </x:si>
  <x:si>
    <x:t xml:space="preserve">+1 202 555 1054</x:t>
  </x:si>
  <x:si>
    <x:t xml:space="preserve">CUST-0055</x:t>
  </x:si>
  <x:si>
    <x:t xml:space="preserve">Lucas Foster</x:t>
  </x:si>
  <x:si>
    <x:t xml:space="preserve">lucas.foster@example.com</x:t>
  </x:si>
  <x:si>
    <x:t xml:space="preserve">+1 202 555 1055</x:t>
  </x:si>
  <x:si>
    <x:t xml:space="preserve">CUST-0056</x:t>
  </x:si>
  <x:si>
    <x:t xml:space="preserve">Sofia Murphy</x:t>
  </x:si>
  <x:si>
    <x:t xml:space="preserve">sofia.murphy@example.com</x:t>
  </x:si>
  <x:si>
    <x:t xml:space="preserve">+1 202 555 1056</x:t>
  </x:si>
  <x:si>
    <x:t xml:space="preserve">HENRY TURNER</x:t>
  </x:si>
  <x:si>
    <x:t xml:space="preserve">CUST-0058</x:t>
  </x:si>
  <x:si>
    <x:t xml:space="preserve">Lucas Reed</x:t>
  </x:si>
  <x:si>
    <x:t xml:space="preserve">lucas.reed@example.com</x:t>
  </x:si>
  <x:si>
    <x:t xml:space="preserve">+1 202 555 1058</x:t>
  </x:si>
  <x:si>
    <x:t xml:space="preserve">CUST-0059</x:t>
  </x:si>
  <x:si>
    <x:t xml:space="preserve">Chloe King</x:t>
  </x:si>
  <x:si>
    <x:t xml:space="preserve">chloe.king@example.com</x:t>
  </x:si>
  <x:si>
    <x:t xml:space="preserve">+1 202 555 1059</x:t>
  </x:si>
  <x:si>
    <x:t xml:space="preserve">CUST-0060</x:t>
  </x:si>
  <x:si>
    <x:t xml:space="preserve">Lucas Cooper</x:t>
  </x:si>
  <x:si>
    <x:t xml:space="preserve">lucas.cooper@example.com</x:t>
  </x:si>
  <x:si>
    <x:t xml:space="preserve">+1 202 555 1060</x:t>
  </x:si>
  <x:si>
    <x:t xml:space="preserve">PROJ-002 | CONTROLLED VALUE MAPPINGS</x:t>
  </x:si>
  <x:si>
    <x:t xml:space="preserve">Approved CRM values • formula lookup source • unknown values route to review</x:t>
  </x:si>
  <x:si>
    <x:t xml:space="preserve">SEGMENT KEY</x:t>
  </x:si>
  <x:si>
    <x:t xml:space="preserve">STANDARD SEGMENT</x:t>
  </x:si>
  <x:si>
    <x:t xml:space="preserve">STATUS KEY</x:t>
  </x:si>
  <x:si>
    <x:t xml:space="preserve">STANDARD STATUS</x:t>
  </x:si>
  <x:si>
    <x:t xml:space="preserve">COUNTRY KEY</x:t>
  </x:si>
  <x:si>
    <x:t xml:space="preserve">STANDARD COUNTRY</x:t>
  </x:si>
  <x:si>
    <x:t xml:space="preserve">RETAIL</x:t>
  </x:si>
  <x:si>
    <x:t xml:space="preserve">BUSINESS</x:t>
  </x:si>
  <x:si>
    <x:t xml:space="preserve">INACTIVE</x:t>
  </x:si>
  <x:si>
    <x:t xml:space="preserve">UNITED STATES</x:t>
  </x:si>
  <x:si>
    <x:t xml:space="preserve">PROSPECT</x:t>
  </x:si>
  <x:si>
    <x:t xml:space="preserve">CANADA</x:t>
  </x:si>
  <x:si>
    <x:t xml:space="preserve">UNITED KINGDOM</x:t>
  </x:si>
  <x:si>
    <x:t xml:space="preserve">SINGAPORE</x:t>
  </x:si>
  <x:si>
    <x:t xml:space="preserve">AUSTRALIA</x:t>
  </x:si>
  <x:si>
    <x:t xml:space="preserve">CONTROL RULE</x:t>
  </x:si>
  <x:si>
    <x:t xml:space="preserve">APPLICATION</x:t>
  </x:si>
  <x:si>
    <x:t xml:space="preserve">RESULT IF VALID</x:t>
  </x:si>
  <x:si>
    <x:t xml:space="preserve">RESULT IF INVALID</x:t>
  </x:si>
  <x:si>
    <x:t xml:space="preserve">Trim + uppercase key</x:t>
  </x:si>
  <x:si>
    <x:t xml:space="preserve">Segment / Status / Country</x:t>
  </x:si>
  <x:si>
    <x:t xml:space="preserve">Approved standardized value</x:t>
  </x:si>
  <x:si>
    <x:t xml:space="preserve">Needs Review</x:t>
  </x:si>
  <x:si>
    <x:t xml:space="preserve">Never guess unmapped values</x:t>
  </x:si>
  <x:si>
    <x:t xml:space="preserve">All controlled fields</x:t>
  </x:si>
  <x:si>
    <x:t xml:space="preserve">Auditable mapping</x:t>
  </x:si>
  <x:si>
    <x:t xml:space="preserve">Written source confirmation required</x:t>
  </x:si>
  <x:si>
    <x:t xml:space="preserve">PROJ-002 | FORMULA-DRIVEN CUSTOMER DATA</x:t>
  </x:si>
  <x:si>
    <x:t xml:space="preserve">Raw values linked • controlled mappings • row-level validation • written action</x:t>
  </x:si>
  <x:si>
    <x:t xml:space="preserve">Raw Row</x:t>
  </x:si>
  <x:si>
    <x:t xml:space="preserve">Duplicate Count</x:t>
  </x:si>
  <x:si>
    <x:t xml:space="preserve">Email Check</x:t>
  </x:si>
  <x:si>
    <x:t xml:space="preserve">Phone Check</x:t>
  </x:si>
  <x:si>
    <x:t xml:space="preserve">Date Check</x:t>
  </x:si>
  <x:si>
    <x:t xml:space="preserve">Segment Check</x:t>
  </x:si>
  <x:si>
    <x:t xml:space="preserve">Order Check</x:t>
  </x:si>
  <x:si>
    <x:t xml:space="preserve">LTV Check</x:t>
  </x:si>
  <x:si>
    <x:t xml:space="preserve">Duplicate Check</x:t>
  </x:si>
  <x:si>
    <x:t xml:space="preserve">First Duplicate Group</x:t>
  </x:si>
  <x:si>
    <x:t xml:space="preserve">Issue Count</x:t>
  </x:si>
  <x:si>
    <x:t xml:space="preserve">Primary Issue</x:t>
  </x:si>
  <x:si>
    <x:t xml:space="preserve">Review Status</x:t>
  </x:si>
  <x:si>
    <x:t xml:space="preserve">Recommended Written Action</x:t>
  </x:si>
  <x:si>
    <x:t xml:space="preserve">PROJ-002 | QA SUMMARY</x:t>
  </x:si>
  <x:si>
    <x:t xml:space="preserve">Formula-driven control totals • row counts and duplicate groups clearly separated</x:t>
  </x:si>
  <x:si>
    <x:t xml:space="preserve">CONTROL</x:t>
  </x:si>
  <x:si>
    <x:t xml:space="preserve">RESULT</x:t>
  </x:si>
  <x:si>
    <x:t xml:space="preserve">Total records</x:t>
  </x:si>
  <x:si>
    <x:t xml:space="preserve">Ready rows</x:t>
  </x:si>
  <x:si>
    <x:t xml:space="preserve">Rows requiring review</x:t>
  </x:si>
  <x:si>
    <x:t xml:space="preserve">Quality exceptions</x:t>
  </x:si>
  <x:si>
    <x:t xml:space="preserve">Duplicate ID groups</x:t>
  </x:si>
  <x:si>
    <x:t xml:space="preserve">Duplicate rows</x:t>
  </x:si>
  <x:si>
    <x:t xml:space="preserve">Missing Email</x:t>
  </x:si>
  <x:si>
    <x:t xml:space="preserve">Missing Phone</x:t>
  </x:si>
  <x:si>
    <x:t xml:space="preserve">Invalid Phone</x:t>
  </x:si>
  <x:si>
    <x:t xml:space="preserve">Invalid Date</x:t>
  </x:si>
  <x:si>
    <x:t xml:space="preserve">Invalid Segment</x:t>
  </x:si>
  <x:si>
    <x:t xml:space="preserve">Invalid Order Count</x:t>
  </x:si>
  <x:si>
    <x:t xml:space="preserve">Invalid Lifetime Value</x:t>
  </x:si>
  <x:si>
    <x:t xml:space="preserve">PROJ-002 | CUSTOMER DATA OPERATIONS DASHBOARD</x:t>
  </x:si>
  <x:si>
    <x:t xml:space="preserve">CRM data quality • formula-driven validation • written review queue</x:t>
  </x:si>
  <x:si>
    <x:t xml:space="preserve">BUSINESS QUESTION</x:t>
  </x:si>
  <x:si>
    <x:t xml:space="preserve">Is the customer dataset standardized, auditable, and ready for reliable remote administrative reporting?</x:t>
  </x:si>
  <x:si>
    <x:t xml:space="preserve">ISSUE TYPE</x:t>
  </x:si>
  <x:si>
    <x:t xml:space="preserve">COUNT</x:t>
  </x:si>
  <x:si>
    <x:t xml:space="preserve">ADMINISTRATIVE WORKFLOW</x:t>
  </x:si>
  <x:si>
    <x:t xml:space="preserve">1</x:t>
  </x:si>
  <x:si>
    <x:t xml:space="preserve">Receive CRM export</x:t>
  </x:si>
  <x:si>
    <x:t xml:space="preserve">Email / shared folder</x:t>
  </x:si>
  <x:si>
    <x:t xml:space="preserve">2</x:t>
  </x:si>
  <x:si>
    <x:t xml:space="preserve">Standardize controlled fields</x:t>
  </x:si>
  <x:si>
    <x:t xml:space="preserve">Mapping tables</x:t>
  </x:si>
  <x:si>
    <x:t xml:space="preserve">3</x:t>
  </x:si>
  <x:si>
    <x:t xml:space="preserve">Run validation checks</x:t>
  </x:si>
  <x:si>
    <x:t xml:space="preserve">Formula-driven</x:t>
  </x:si>
  <x:si>
    <x:t xml:space="preserve">4</x:t>
  </x:si>
  <x:si>
    <x:t xml:space="preserve">Assign written action</x:t>
  </x:si>
  <x:si>
    <x:t xml:space="preserve">CRM Review Queue</x:t>
  </x:si>
  <x:si>
    <x:t xml:space="preserve">5</x:t>
  </x:si>
  <x:si>
    <x:t xml:space="preserve">Confirm corrections</x:t>
  </x:si>
  <x:si>
    <x:t xml:space="preserve">Email / chat</x:t>
  </x:si>
  <x:si>
    <x:t xml:space="preserve">6</x:t>
  </x:si>
  <x:si>
    <x:t xml:space="preserve">Report and archive</x:t>
  </x:si>
  <x:si>
    <x:t xml:space="preserve">Dashboard / folder</x:t>
  </x:si>
  <x:si>
    <x:t xml:space="preserve">Duplicate Rows</x:t>
  </x:si>
  <x:si>
    <x:t xml:space="preserve">Portfolio note: fictional company and simulated customer data. No real client, confidential data, or unmeasured business-impact claim is represented.</x:t>
  </x:si>
  <x:si>
    <x:t xml:space="preserve">PROJ-002 | CRM REVIEW QUEUE</x:t>
  </x:si>
  <x:si>
    <x:t xml:space="preserve">Formula-linked issue counts • owner • priority • written next action</x:t>
  </x:si>
  <x:si>
    <x:t xml:space="preserve">Issue Type</x:t>
  </x:si>
  <x:si>
    <x:t xml:space="preserve">Open Count</x:t>
  </x:si>
  <x:si>
    <x:t xml:space="preserve">Priority</x:t>
  </x:si>
  <x:si>
    <x:t xml:space="preserve">Owner</x:t>
  </x:si>
  <x:si>
    <x:t xml:space="preserve">Written Next Action</x:t>
  </x:si>
  <x:si>
    <x:t xml:space="preserve">Task Status</x:t>
  </x:si>
  <x:si>
    <x:t xml:space="preserve">Completion Evidence</x:t>
  </x:si>
  <x:si>
    <x:t xml:space="preserve">Duplicate Customer ID</x:t>
  </x:si>
  <x:si>
    <x:t xml:space="preserve">High</x:t>
  </x:si>
  <x:si>
    <x:t xml:space="preserve">CRM Admin</x:t>
  </x:si>
  <x:si>
    <x:t xml:space="preserve">Compare all duplicate rows and confirm the valid source record</x:t>
  </x:si>
  <x:si>
    <x:t xml:space="preserve">In Review</x:t>
  </x:si>
  <x:si>
    <x:t xml:space="preserve">Written source confirmation</x:t>
  </x:si>
  <x:si>
    <x:t xml:space="preserve">Account Owner</x:t>
  </x:si>
  <x:si>
    <x:t xml:space="preserve">Verify the value against the source record</x:t>
  </x:si>
  <x:si>
    <x:t xml:space="preserve">Waiting for Source</x:t>
  </x:si>
  <x:si>
    <x:t xml:space="preserve">Corrected value and reply</x:t>
  </x:si>
  <x:si>
    <x:t xml:space="preserve">Verify the value; do not assume zero</x:t>
  </x:si>
  <x:si>
    <x:t xml:space="preserve">Medium</x:t>
  </x:si>
  <x:si>
    <x:t xml:space="preserve">Request the approved segment in writing</x:t>
  </x:si>
  <x:si>
    <x:t xml:space="preserve">Written segment confirmation</x:t>
  </x:si>
  <x:si>
    <x:t xml:space="preserve">Request a valid date or supporting record</x:t>
  </x:si>
  <x:si>
    <x:t xml:space="preserve">Corrected date</x:t>
  </x:si>
  <x:si>
    <x:t xml:space="preserve">Request the missing email address</x:t>
  </x:si>
  <x:si>
    <x:t xml:space="preserve">Not Started</x:t>
  </x:si>
  <x:si>
    <x:t xml:space="preserve">Written contact update</x:t>
  </x:si>
  <x:si>
    <x:t xml:space="preserve">Low</x:t>
  </x:si>
  <x:si>
    <x:t xml:space="preserve">Request the missing phone number</x:t>
  </x:si>
  <x:si>
    <x:t xml:space="preserve">Request a corrected phone number</x:t>
  </x:si>
  <x:si>
    <x:t xml:space="preserve">PROJ-002 | CRM DATA ENTRY SOP</x:t>
  </x:si>
  <x:si>
    <x:t xml:space="preserve">Preventive controls for accurate remote customer-data administration</x:t>
  </x:si>
  <x:si>
    <x:t xml:space="preserve">Step</x:t>
  </x:si>
  <x:si>
    <x:t xml:space="preserve">Control</x:t>
  </x:si>
  <x:si>
    <x:t xml:space="preserve">Field / Area</x:t>
  </x:si>
  <x:si>
    <x:t xml:space="preserve">Required Standard</x:t>
  </x:si>
  <x:si>
    <x:t xml:space="preserve">Evidence</x:t>
  </x:si>
  <x:si>
    <x:t xml:space="preserve">Escalation</x:t>
  </x:si>
  <x:si>
    <x:t xml:space="preserve">Check identifier before entry</x:t>
  </x:si>
  <x:si>
    <x:t xml:space="preserve">Search existing IDs before adding a row</x:t>
  </x:si>
  <x:si>
    <x:t xml:space="preserve">No duplicate warning</x:t>
  </x:si>
  <x:si>
    <x:t xml:space="preserve">Written review if ID exists</x:t>
  </x:si>
  <x:si>
    <x:t xml:space="preserve">Use controlled selections</x:t>
  </x:si>
  <x:si>
    <x:t xml:space="preserve">Choose only approved values</x:t>
  </x:si>
  <x:si>
    <x:t xml:space="preserve">Dropdown or mapping result</x:t>
  </x:si>
  <x:si>
    <x:t xml:space="preserve">Request written confirmation if unmapped</x:t>
  </x:si>
  <x:si>
    <x:t xml:space="preserve">Standardize names</x:t>
  </x:si>
  <x:si>
    <x:t xml:space="preserve">Trim spaces and use consistent capitalization</x:t>
  </x:si>
  <x:si>
    <x:t xml:space="preserve">Cleaned formula result</x:t>
  </x:si>
  <x:si>
    <x:t xml:space="preserve">Do not guess missing names</x:t>
  </x:si>
  <x:si>
    <x:t xml:space="preserve">Validate contact details</x:t>
  </x:si>
  <x:si>
    <x:t xml:space="preserve">Email / Phone</x:t>
  </x:si>
  <x:si>
    <x:t xml:space="preserve">Required and structurally usable</x:t>
  </x:si>
  <x:si>
    <x:t xml:space="preserve">Validation result</x:t>
  </x:si>
  <x:si>
    <x:t xml:space="preserve">Request correction in writing</x:t>
  </x:si>
  <x:si>
    <x:t xml:space="preserve">Validate dates</x:t>
  </x:si>
  <x:si>
    <x:t xml:space="preserve">Signup / Last Contact</x:t>
  </x:si>
  <x:si>
    <x:t xml:space="preserve">Valid date or documented blank</x:t>
  </x:si>
  <x:si>
    <x:t xml:space="preserve">Date check</x:t>
  </x:si>
  <x:si>
    <x:t xml:space="preserve">Request source record</x:t>
  </x:si>
  <x:si>
    <x:t xml:space="preserve">Validate numeric fields</x:t>
  </x:si>
  <x:si>
    <x:t xml:space="preserve">Order Count / LTV</x:t>
  </x:si>
  <x:si>
    <x:t xml:space="preserve">Numeric and non-negative</x:t>
  </x:si>
  <x:si>
    <x:t xml:space="preserve">Numeric check</x:t>
  </x:si>
  <x:si>
    <x:t xml:space="preserve">Never replace an unknown with zero</x:t>
  </x:si>
  <x:si>
    <x:t xml:space="preserve">Review exceptions</x:t>
  </x:si>
  <x:si>
    <x:t xml:space="preserve">Review Queue</x:t>
  </x:si>
  <x:si>
    <x:t xml:space="preserve">Owner, priority, next action, status</x:t>
  </x:si>
  <x:si>
    <x:t xml:space="preserve">Updated queue row</x:t>
  </x:si>
  <x:si>
    <x:t xml:space="preserve">Escalate unresolved high priority</x:t>
  </x:si>
  <x:si>
    <x:t xml:space="preserve">Perform QA reconciliation</x:t>
  </x:si>
  <x:si>
    <x:t xml:space="preserve">QA Summary / Dashboard</x:t>
  </x:si>
  <x:si>
    <x:t xml:space="preserve">Totals reconcile to 60 source records</x:t>
  </x:si>
  <x:si>
    <x:t xml:space="preserve">QA control totals</x:t>
  </x:si>
  <x:si>
    <x:t xml:space="preserve">Stop reporting if totals fail</x:t>
  </x:si>
  <x:si>
    <x:t xml:space="preserve">Archive approved output</x:t>
  </x:si>
  <x:si>
    <x:t xml:space="preserve">Project folder</x:t>
  </x:si>
  <x:si>
    <x:t xml:space="preserve">One official final file; old versions archived</x:t>
  </x:si>
  <x:si>
    <x:t xml:space="preserve">File name and archive log</x:t>
  </x:si>
  <x:si>
    <x:t xml:space="preserve">No copy/final-final files</x:t>
  </x:si>
  <x:si>
    <x:t xml:space="preserve">PROJ-002 | PROJECT NOTES</x:t>
  </x:si>
  <x:si>
    <x:t xml:space="preserve">Portfolio scope • source boundaries • recruiter-facing context</x:t>
  </x:si>
  <x:si>
    <x:t xml:space="preserve">Item</x:t>
  </x:si>
  <x:si>
    <x:t xml:space="preserve">Detail</x:t>
  </x:si>
  <x:si>
    <x:t xml:space="preserve">Project classification</x:t>
  </x:si>
  <x:si>
    <x:t xml:space="preserve">Independent portfolio project; fictional company and simulated data</x:t>
  </x:si>
  <x:si>
    <x:t xml:space="preserve">Business purpose</x:t>
  </x:si>
  <x:si>
    <x:t xml:space="preserve">Prepare customer records for reliable remote administrative reporting</x:t>
  </x:si>
  <x:si>
    <x:t xml:space="preserve">Source records</x:t>
  </x:si>
  <x:si>
    <x:t xml:space="preserve">60 rows retained; no source row deleted</x:t>
  </x:si>
  <x:si>
    <x:t xml:space="preserve">Formula-driven work</x:t>
  </x:si>
  <x:si>
    <x:t xml:space="preserve">Mappings, cleaned fields, validation, QA totals, dashboard, and queue counts</x:t>
  </x:si>
  <x:si>
    <x:t xml:space="preserve">Communication model</x:t>
  </x:si>
  <x:si>
    <x:t xml:space="preserve">Written correction requests and documented handoff; no cold calling required</x:t>
  </x:si>
  <x:si>
    <x:t xml:space="preserve">Primary strengths</x:t>
  </x:si>
  <x:si>
    <x:t xml:space="preserve">CRM data entry, standardization, quality control, exception tracking, document discipline</x:t>
  </x:si>
  <x:si>
    <x:t xml:space="preserve">Out of scope</x:t>
  </x:si>
  <x:si>
    <x:t xml:space="preserve">Live CRM changes, marketing outreach, financial decisions, real customer data</x:t>
  </x:si>
  <x:si>
    <x:t xml:space="preserve">Impact boundary</x:t>
  </x:si>
  <x:si>
    <x:t xml:space="preserve">No claims about revenue, retention, time savings, or cost savings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</x:si>
</x:sst>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165" formatCode="\$#,##0.00"/>
    <x:numFmt numFmtId="166" formatCode="&quot;$&quot;#,##0.00"/>
    <x:numFmt numFmtId="200" formatCode="yyyy-mm-dd"/>
  </x:numFmts>
  <x:fonts count="13">
    <x:font>
      <x:sz val="11"/>
      <x:color theme="1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0"/>
      <x:color rgb="FFFFFFFF"/>
      <x:name val="Calibri"/>
    </x:font>
    <x:font>
      <x:b/>
      <x:sz val="18"/>
      <x:color rgb="FFFFFFFF"/>
      <x:name val="Calibri"/>
    </x:font>
    <x:font>
      <x:b/>
      <x:i/>
      <x:sz val="10"/>
      <x:color rgb="FF111111"/>
      <x:name val="Calibri"/>
    </x:font>
    <x:font>
      <x:b/>
      <x:i/>
      <x:sz val="11"/>
      <x:color rgb="FF111111"/>
      <x:name val="Calibri"/>
    </x:font>
    <x:font>
      <x:b/>
      <x:sz val="14"/>
      <x:color theme="1"/>
      <x:name val="Calibri"/>
    </x:font>
    <x:font>
      <x:b/>
      <x:sz val="16"/>
      <x:color theme="1"/>
      <x:name val="Calibri"/>
    </x:font>
    <x:font>
      <x:b/>
      <x:sz val="12"/>
      <x:color theme="1"/>
      <x:name val="Calibri"/>
    </x:font>
    <x:font>
      <x:b/>
      <x:sz val="11"/>
      <x:color rgb="FF111111"/>
      <x:name val="Calibri"/>
    </x:font>
    <x:font>
      <x:b/>
      <x:sz val="11"/>
      <x:color rgb="FFC6FF00"/>
      <x:name val="Calibri"/>
    </x:font>
    <x:font>
      <x:b/>
      <x:sz val="15"/>
      <x:color rgb="FFFFFFFF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111111"/>
      </x:patternFill>
    </x:fill>
    <x:fill>
      <x:patternFill patternType="solid">
        <x:fgColor rgb="FFC6FF00"/>
      </x:patternFill>
    </x:fill>
    <x:fill>
      <x:patternFill patternType="solid">
        <x:fgColor rgb="FFE9FFBD"/>
      </x:patternFill>
    </x:fill>
    <x:fill>
      <x:patternFill patternType="solid">
        <x:fgColor rgb="FFF1F2F2"/>
      </x:patternFill>
    </x:fill>
    <x:fill>
      <x:patternFill patternType="solid">
        <x:fgColor rgb="FFD9EAD3"/>
      </x:patternFill>
    </x:fill>
    <x:fill>
      <x:patternFill patternType="solid">
        <x:fgColor rgb="FFFFE2AD"/>
      </x:patternFill>
    </x:fill>
    <x:fill>
      <x:patternFill patternType="solid">
        <x:fgColor rgb="FFD9E8F5"/>
      </x:patternFill>
    </x:fill>
    <x:fill>
      <x:patternFill patternType="solid">
        <x:fgColor rgb="FFF7C2C2"/>
      </x:patternFill>
    </x:fill>
    <x:fill>
      <x:patternFill patternType="solid">
        <x:fgColor theme="0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17365D"/>
      </x:patternFill>
    </x:fill>
  </x:fills>
  <x:borders count="42">
    <x:border/>
    <x:border>
      <x:bottom style="medium">
        <x:color rgb="FF315A8A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rgb="FFCDD4D1"/>
      </x:bottom>
    </x:border>
    <x:border>
      <x:top style="thin">
        <x:color rgb="FFCDD4D1"/>
      </x:top>
      <x:bottom style="thin">
        <x:color rgb="FFCDD4D1"/>
      </x:bottom>
    </x:border>
    <x:border>
      <x:top style="thin">
        <x:color rgb="FFCDD4D1"/>
      </x:top>
      <x:bottom style="thin">
        <x:color rgb="FFD9DEE5"/>
      </x:bottom>
    </x:border>
    <x:border>
      <x:right style="thin">
        <x:color rgb="FF666666"/>
      </x:right>
    </x:border>
    <x:border>
      <x:left style="thin">
        <x:color rgb="FF666666"/>
      </x:left>
    </x:border>
    <x:border>
      <x:top style="thin">
        <x:color rgb="FFCDD4D1"/>
      </x:top>
    </x:border>
    <x:border>
      <x:left style="thin">
        <x:color rgb="FF666666"/>
      </x:left>
      <x:right style="thin">
        <x:color rgb="FF666666"/>
      </x:right>
    </x:border>
    <x:border>
      <x:left style="medium">
        <x:color rgb="FF111111"/>
      </x:left>
      <x:top style="medium">
        <x:color rgb="FF111111"/>
      </x:top>
    </x:border>
    <x:border>
      <x:top style="medium">
        <x:color rgb="FF111111"/>
      </x:top>
    </x:border>
    <x:border>
      <x:right style="medium">
        <x:color rgb="FF111111"/>
      </x:right>
      <x:top style="medium">
        <x:color rgb="FF111111"/>
      </x:top>
    </x:border>
    <x:border>
      <x:left style="medium">
        <x:color rgb="FF111111"/>
      </x:left>
    </x:border>
    <x:border>
      <x:right style="medium">
        <x:color rgb="FF111111"/>
      </x:right>
    </x:border>
    <x:border>
      <x:left style="medium">
        <x:color rgb="FF111111"/>
      </x:left>
      <x:bottom style="medium">
        <x:color rgb="FF111111"/>
      </x:bottom>
    </x:border>
    <x:border>
      <x:bottom style="medium">
        <x:color rgb="FF111111"/>
      </x:bottom>
    </x:border>
    <x:border>
      <x:right style="medium">
        <x:color rgb="FF111111"/>
      </x:right>
      <x:bottom style="medium">
        <x:color rgb="FF111111"/>
      </x:bottom>
    </x:border>
    <x:border>
      <x:left style="thin">
        <x:color indexed="64"/>
      </x:left>
      <x:right style="thin">
        <x:color rgb="FF666666"/>
      </x:right>
      <x:top style="thin">
        <x:color indexed="64"/>
      </x:top>
    </x:border>
    <x:border>
      <x:left style="thin">
        <x:color rgb="FF666666"/>
      </x:left>
      <x:right style="thin">
        <x:color rgb="FF666666"/>
      </x:right>
      <x:top style="thin">
        <x:color indexed="64"/>
      </x:top>
    </x:border>
    <x:border>
      <x:left style="thin">
        <x:color rgb="FF666666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rgb="FFCDD4D1"/>
      </x:top>
    </x:border>
    <x:border>
      <x:right style="thin">
        <x:color indexed="64"/>
      </x:right>
      <x:top style="thin">
        <x:color rgb="FFCDD4D1"/>
      </x:top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bottom style="thin">
        <x:color rgb="FFCDD4D1"/>
      </x:bottom>
    </x:border>
    <x:border>
      <x:right style="thin">
        <x:color indexed="64"/>
      </x:right>
      <x:bottom style="thin">
        <x:color rgb="FFCDD4D1"/>
      </x:bottom>
    </x:border>
    <x:border>
      <x:left style="thin">
        <x:color indexed="64"/>
      </x:left>
      <x:top style="thin">
        <x:color rgb="FFCDD4D1"/>
      </x:top>
      <x:bottom style="thin">
        <x:color rgb="FFCDD4D1"/>
      </x:bottom>
    </x:border>
    <x:border>
      <x:right style="thin">
        <x:color indexed="64"/>
      </x:right>
      <x:top style="thin">
        <x:color rgb="FFCDD4D1"/>
      </x:top>
      <x:bottom style="thin">
        <x:color rgb="FFCDD4D1"/>
      </x:bottom>
    </x:border>
    <x:border>
      <x:left style="thin">
        <x:color indexed="64"/>
      </x:left>
      <x:top style="thin">
        <x:color rgb="FFCDD4D1"/>
      </x:top>
      <x:bottom style="thin">
        <x:color indexed="64"/>
      </x:bottom>
    </x:border>
    <x:border>
      <x:top style="thin">
        <x:color rgb="FFCDD4D1"/>
      </x:top>
      <x:bottom style="thin">
        <x:color indexed="64"/>
      </x:bottom>
    </x:border>
    <x:border>
      <x:right style="thin">
        <x:color indexed="64"/>
      </x:right>
      <x:top style="thin">
        <x:color rgb="FFCDD4D1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rgb="FFCDD4D1"/>
      </x:bottom>
    </x:border>
    <x:border>
      <x:left style="thin">
        <x:color indexed="64"/>
      </x:left>
      <x:right style="thin">
        <x:color indexed="64"/>
      </x:right>
      <x:top style="thin">
        <x:color rgb="FFCDD4D1"/>
      </x:top>
      <x:bottom style="thin">
        <x:color rgb="FFCDD4D1"/>
      </x:bottom>
    </x:border>
    <x:border>
      <x:left style="thin">
        <x:color indexed="64"/>
      </x:left>
      <x:right style="thin">
        <x:color indexed="64"/>
      </x:right>
      <x:top style="thin">
        <x:color rgb="FFCDD4D1"/>
      </x:top>
      <x:bottom style="thin">
        <x:color indexed="64"/>
      </x:bottom>
    </x:border>
    <x:border>
      <x:left style="thin">
        <x:color rgb="FF445566"/>
      </x:left>
      <x:right style="thin">
        <x:color rgb="FF445566"/>
      </x:right>
      <x:top style="thin">
        <x:color rgb="FF445566"/>
      </x:top>
      <x:bottom style="thin">
        <x:color rgb="FF445566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0" borderId="0" xfId="0" applyAlignment="1">
      <x:alignment horizontal="center"/>
    </x:xf>
    <x:xf numFmtId="0" fontId="0" fillId="0" borderId="2" xfId="0" applyBorder="1" applyAlignment="1">
      <x:alignment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0" fillId="2" borderId="8" xfId="0" applyFill="1" applyBorder="1" applyAlignment="1">
      <x:alignment vertical="center"/>
    </x:xf>
    <x:xf numFmtId="164" fontId="0" fillId="2" borderId="8" xfId="0" applyNumberFormat="1" applyFill="1" applyBorder="1" applyAlignment="1">
      <x:alignment vertical="center"/>
    </x:xf>
    <x:xf numFmtId="165" fontId="0" fillId="2" borderId="8" xfId="0" applyNumberFormat="1" applyFill="1" applyBorder="1" applyAlignment="1">
      <x:alignment vertical="center"/>
    </x:xf>
    <x:xf numFmtId="0" fontId="0" fillId="2" borderId="9" xfId="0" applyFill="1" applyBorder="1" applyAlignment="1">
      <x:alignment vertical="center"/>
    </x:xf>
    <x:xf numFmtId="164" fontId="0" fillId="2" borderId="9" xfId="0" applyNumberFormat="1" applyFill="1" applyBorder="1" applyAlignment="1">
      <x:alignment vertical="center"/>
    </x:xf>
    <x:xf numFmtId="165" fontId="0" fillId="2" borderId="9" xfId="0" applyNumberFormat="1" applyFill="1" applyBorder="1" applyAlignment="1">
      <x:alignment vertical="center"/>
    </x:xf>
    <x:xf numFmtId="0" fontId="0" fillId="2" borderId="10" xfId="0" applyFill="1" applyBorder="1" applyAlignment="1">
      <x:alignment vertical="center"/>
    </x:xf>
    <x:xf numFmtId="164" fontId="0" fillId="2" borderId="10" xfId="0" applyNumberFormat="1" applyFill="1" applyBorder="1" applyAlignment="1">
      <x:alignment vertical="center"/>
    </x:xf>
    <x:xf numFmtId="165" fontId="0" fillId="2" borderId="10" xfId="0" applyNumberFormat="1" applyFill="1" applyBorder="1" applyAlignment="1">
      <x:alignment vertical="center"/>
    </x:xf>
    <x:xf numFmtId="0" fontId="0" fillId="0" borderId="8" xfId="0" applyBorder="1" applyAlignment="1">
      <x:alignment vertical="center" wrapText="1"/>
    </x:xf>
    <x:xf numFmtId="0" fontId="0" fillId="0" borderId="9" xfId="0" applyBorder="1" applyAlignment="1">
      <x:alignment vertical="center" wrapText="1"/>
    </x:xf>
    <x:xf numFmtId="0" fontId="0" fillId="0" borderId="13" xfId="0" applyBorder="1" applyAlignment="1">
      <x:alignment vertical="center" wrapText="1"/>
    </x:xf>
    <x:xf numFmtId="0" fontId="0" fillId="6" borderId="8" xfId="0" applyFill="1" applyBorder="1" applyAlignment="1">
      <x:alignment vertical="center" wrapText="1"/>
    </x:xf>
    <x:xf numFmtId="0" fontId="0" fillId="6" borderId="9" xfId="0" applyFill="1" applyBorder="1" applyAlignment="1">
      <x:alignment vertical="center" wrapText="1"/>
    </x:xf>
    <x:xf numFmtId="164" fontId="0" fillId="6" borderId="8" xfId="0" applyNumberFormat="1" applyFill="1" applyBorder="1" applyAlignment="1">
      <x:alignment vertical="center" wrapText="1"/>
    </x:xf>
    <x:xf numFmtId="164" fontId="0" fillId="0" borderId="9" xfId="0" applyNumberFormat="1" applyBorder="1" applyAlignment="1">
      <x:alignment vertical="center" wrapText="1"/>
    </x:xf>
    <x:xf numFmtId="164" fontId="0" fillId="6" borderId="9" xfId="0" applyNumberFormat="1" applyFill="1" applyBorder="1" applyAlignment="1">
      <x:alignment vertical="center" wrapText="1"/>
    </x:xf>
    <x:xf numFmtId="164" fontId="0" fillId="0" borderId="13" xfId="0" applyNumberFormat="1" applyBorder="1" applyAlignment="1">
      <x:alignment vertical="center" wrapText="1"/>
    </x:xf>
    <x:xf numFmtId="166" fontId="0" fillId="6" borderId="8" xfId="0" applyNumberFormat="1" applyFill="1" applyBorder="1" applyAlignment="1">
      <x:alignment vertical="center" wrapText="1"/>
    </x:xf>
    <x:xf numFmtId="166" fontId="0" fillId="0" borderId="9" xfId="0" applyNumberFormat="1" applyBorder="1" applyAlignment="1">
      <x:alignment vertical="center" wrapText="1"/>
    </x:xf>
    <x:xf numFmtId="166" fontId="0" fillId="6" borderId="9" xfId="0" applyNumberFormat="1" applyFill="1" applyBorder="1" applyAlignment="1">
      <x:alignment vertical="center" wrapText="1"/>
    </x:xf>
    <x:xf numFmtId="166" fontId="0" fillId="0" borderId="13" xfId="0" applyNumberFormat="1" applyBorder="1" applyAlignment="1">
      <x:alignment vertical="center" wrapText="1"/>
    </x:xf>
    <x:xf numFmtId="0" fontId="5" fillId="4" borderId="0" xfId="0" applyFont="1" applyFill="1" applyAlignment="1">
      <x:alignment vertical="center"/>
    </x:xf>
    <x:xf numFmtId="0" fontId="6" fillId="4" borderId="0" xfId="0" applyFont="1" applyFill="1"/>
    <x:xf numFmtId="0" fontId="4" fillId="3" borderId="0" xfId="0" applyFont="1" applyFill="1" applyAlignment="1">
      <x:alignment horizontal="center" vertical="center"/>
    </x:xf>
    <x:xf numFmtId="0" fontId="4" fillId="3" borderId="0" xfId="0" applyFont="1" applyFill="1"/>
    <x:xf numFmtId="0" fontId="4" fillId="3" borderId="0" xfId="0" applyFont="1" applyFill="1" applyAlignment="1">
      <x:alignment vertical="center"/>
    </x:xf>
    <x:xf numFmtId="0" fontId="0" fillId="5" borderId="0" xfId="0" applyFill="1"/>
    <x:xf numFmtId="0" fontId="0" fillId="0" borderId="0" xfId="0"/>
    <x:xf numFmtId="0" fontId="6" fillId="4" borderId="0" xfId="0" applyFont="1" applyFill="1" applyAlignment="1">
      <x:alignment vertical="center"/>
    </x:xf>
    <x:xf numFmtId="0" fontId="2" fillId="3" borderId="15" xfId="0" applyFont="1" applyFill="1" applyBorder="1" applyAlignment="1">
      <x:alignment horizontal="center" vertical="center" wrapText="1"/>
    </x:xf>
    <x:xf numFmtId="0" fontId="2" fillId="3" borderId="16" xfId="0" applyFont="1" applyFill="1" applyBorder="1" applyAlignment="1">
      <x:alignment horizontal="center" vertical="center" wrapText="1"/>
    </x:xf>
    <x:xf numFmtId="0" fontId="2" fillId="3" borderId="18" xfId="0" applyFont="1" applyFill="1" applyBorder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2" fillId="3" borderId="20" xfId="0" applyFont="1" applyFill="1" applyBorder="1" applyAlignment="1">
      <x:alignment horizontal="center" vertical="center" wrapText="1"/>
    </x:xf>
    <x:xf numFmtId="0" fontId="2" fillId="3" borderId="21" xfId="0" applyFont="1" applyFill="1" applyBorder="1" applyAlignment="1">
      <x:alignment horizontal="center" vertical="center" wrapText="1"/>
    </x:xf>
    <x:xf numFmtId="0" fontId="8" fillId="7" borderId="16" xfId="0" applyFont="1" applyFill="1" applyBorder="1" applyAlignment="1">
      <x:alignment horizontal="center" vertical="center" wrapText="1"/>
    </x:xf>
    <x:xf numFmtId="0" fontId="8" fillId="7" borderId="0" xfId="0" applyFont="1" applyFill="1" applyAlignment="1">
      <x:alignment horizontal="center" vertical="center" wrapText="1"/>
    </x:xf>
    <x:xf numFmtId="0" fontId="8" fillId="7" borderId="21" xfId="0" applyFont="1" applyFill="1" applyBorder="1" applyAlignment="1">
      <x:alignment horizontal="center" vertical="center" wrapText="1"/>
    </x:xf>
    <x:xf numFmtId="0" fontId="8" fillId="8" borderId="16" xfId="0" applyFont="1" applyFill="1" applyBorder="1" applyAlignment="1">
      <x:alignment horizontal="center" vertical="center" wrapText="1"/>
    </x:xf>
    <x:xf numFmtId="0" fontId="8" fillId="8" borderId="0" xfId="0" applyFont="1" applyFill="1" applyAlignment="1">
      <x:alignment horizontal="center" vertical="center" wrapText="1"/>
    </x:xf>
    <x:xf numFmtId="0" fontId="8" fillId="8" borderId="21" xfId="0" applyFont="1" applyFill="1" applyBorder="1" applyAlignment="1">
      <x:alignment horizontal="center" vertical="center" wrapText="1"/>
    </x:xf>
    <x:xf numFmtId="0" fontId="8" fillId="10" borderId="16" xfId="0" applyFont="1" applyFill="1" applyBorder="1" applyAlignment="1">
      <x:alignment horizontal="center" vertical="center" wrapText="1"/>
    </x:xf>
    <x:xf numFmtId="0" fontId="8" fillId="10" borderId="17" xfId="0" applyFont="1" applyFill="1" applyBorder="1" applyAlignment="1">
      <x:alignment horizontal="center" vertical="center" wrapText="1"/>
    </x:xf>
    <x:xf numFmtId="0" fontId="8" fillId="10" borderId="0" xfId="0" applyFont="1" applyFill="1" applyAlignment="1">
      <x:alignment horizontal="center" vertical="center" wrapText="1"/>
    </x:xf>
    <x:xf numFmtId="0" fontId="8" fillId="10" borderId="19" xfId="0" applyFont="1" applyFill="1" applyBorder="1" applyAlignment="1">
      <x:alignment horizontal="center" vertical="center" wrapText="1"/>
    </x:xf>
    <x:xf numFmtId="0" fontId="8" fillId="10" borderId="21" xfId="0" applyFont="1" applyFill="1" applyBorder="1" applyAlignment="1">
      <x:alignment horizontal="center" vertical="center" wrapText="1"/>
    </x:xf>
    <x:xf numFmtId="0" fontId="8" fillId="10" borderId="22" xfId="0" applyFont="1" applyFill="1" applyBorder="1" applyAlignment="1">
      <x:alignment horizontal="center" vertical="center" wrapText="1"/>
    </x:xf>
    <x:xf numFmtId="0" fontId="9" fillId="6" borderId="13" xfId="0" applyFont="1" applyFill="1" applyBorder="1" applyAlignment="1">
      <x:alignment vertical="center" wrapText="1"/>
    </x:xf>
    <x:xf numFmtId="0" fontId="11" fillId="3" borderId="0" xfId="0" applyFont="1" applyFill="1" applyAlignment="1">
      <x:alignment vertical="center" wrapText="1"/>
    </x:xf>
    <x:xf numFmtId="0" fontId="6" fillId="4" borderId="0" xfId="0" applyFont="1" applyFill="1" applyAlignment="1">
      <x:alignment horizontal="center" vertical="center"/>
    </x:xf>
    <x:xf numFmtId="0" fontId="1" fillId="3" borderId="11" xfId="0" applyFont="1" applyFill="1" applyBorder="1" applyAlignment="1">
      <x:alignment horizontal="center" vertical="center" wrapText="1"/>
    </x:xf>
    <x:xf numFmtId="0" fontId="1" fillId="3" borderId="14" xfId="0" applyFont="1" applyFill="1" applyBorder="1" applyAlignment="1">
      <x:alignment horizontal="center" vertical="center" wrapText="1"/>
    </x:xf>
    <x:xf numFmtId="0" fontId="1" fillId="3" borderId="12" xfId="0" applyFont="1" applyFill="1" applyBorder="1" applyAlignment="1">
      <x:alignment horizontal="center" vertical="center" wrapText="1"/>
    </x:xf>
    <x:xf numFmtId="0" fontId="6" fillId="4" borderId="0" xfId="0" applyFont="1" applyFill="1" applyAlignment="1">
      <x:alignment horizontal="left" vertical="center"/>
    </x:xf>
    <x:xf numFmtId="0" fontId="0" fillId="0" borderId="0" xfId="0" applyAlignment="1">
      <x:alignment horizontal="left"/>
    </x:xf>
    <x:xf numFmtId="0" fontId="0" fillId="0" borderId="0" xfId="0" applyAlignment="1">
      <x:alignment horizontal="left"/>
    </x:xf>
    <x:xf numFmtId="0" fontId="4" fillId="3" borderId="0" xfId="0" applyFont="1" applyFill="1" applyAlignment="1">
      <x:alignment horizontal="left" vertical="center"/>
    </x:xf>
    <x:xf numFmtId="0" fontId="0" fillId="6" borderId="8" xfId="0" applyFill="1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6" borderId="9" xfId="0" applyFill="1" applyBorder="1" applyAlignment="1">
      <x:alignment horizontal="center" vertical="center" wrapText="1"/>
    </x:xf>
    <x:xf numFmtId="0" fontId="0" fillId="0" borderId="13" xfId="0" applyBorder="1" applyAlignment="1">
      <x:alignment horizontal="center" vertical="center" wrapText="1"/>
    </x:xf>
    <x:xf numFmtId="0" fontId="1" fillId="3" borderId="2" xfId="0" applyFont="1" applyFill="1" applyBorder="1" applyAlignment="1">
      <x:alignment vertical="center" wrapText="1"/>
    </x:xf>
    <x:xf numFmtId="0" fontId="1" fillId="3" borderId="2" xfId="0" applyFont="1" applyFill="1" applyBorder="1" applyAlignment="1">
      <x:alignment horizontal="center" vertical="center" wrapText="1"/>
    </x:xf>
    <x:xf numFmtId="0" fontId="0" fillId="6" borderId="2" xfId="0" applyFill="1" applyBorder="1" applyAlignment="1">
      <x:alignment vertical="center" wrapText="1"/>
    </x:xf>
    <x:xf numFmtId="0" fontId="7" fillId="6" borderId="2" xfId="0" applyFont="1" applyFill="1" applyBorder="1" applyAlignment="1">
      <x:alignment horizontal="center" vertical="center" wrapText="1"/>
    </x:xf>
    <x:xf numFmtId="0" fontId="0" fillId="7" borderId="2" xfId="0" applyFill="1" applyBorder="1" applyAlignment="1">
      <x:alignment vertical="center" wrapText="1"/>
    </x:xf>
    <x:xf numFmtId="0" fontId="7" fillId="7" borderId="2" xfId="0" applyFont="1" applyFill="1" applyBorder="1" applyAlignment="1">
      <x:alignment horizontal="center" vertical="center" wrapText="1"/>
    </x:xf>
    <x:xf numFmtId="0" fontId="0" fillId="8" borderId="2" xfId="0" applyFill="1" applyBorder="1" applyAlignment="1">
      <x:alignment vertical="center" wrapText="1"/>
    </x:xf>
    <x:xf numFmtId="0" fontId="7" fillId="8" borderId="2" xfId="0" applyFont="1" applyFill="1" applyBorder="1" applyAlignment="1">
      <x:alignment horizontal="center" vertical="center" wrapText="1"/>
    </x:xf>
    <x:xf numFmtId="0" fontId="0" fillId="9" borderId="2" xfId="0" applyFill="1" applyBorder="1" applyAlignment="1">
      <x:alignment vertical="center" wrapText="1"/>
    </x:xf>
    <x:xf numFmtId="0" fontId="7" fillId="9" borderId="2" xfId="0" applyFont="1" applyFill="1" applyBorder="1" applyAlignment="1">
      <x:alignment horizontal="center" vertical="center" wrapText="1"/>
    </x:xf>
    <x:xf numFmtId="0" fontId="0" fillId="10" borderId="2" xfId="0" applyFill="1" applyBorder="1" applyAlignment="1">
      <x:alignment vertical="center" wrapText="1"/>
    </x:xf>
    <x:xf numFmtId="0" fontId="7" fillId="10" borderId="2" xfId="0" applyFont="1" applyFill="1" applyBorder="1" applyAlignment="1">
      <x:alignment horizontal="center" vertical="center" wrapText="1"/>
    </x:xf>
    <x:xf numFmtId="0" fontId="7" fillId="0" borderId="2" xfId="0" applyFont="1" applyBorder="1" applyAlignment="1">
      <x:alignment horizontal="center" vertical="center" wrapText="1"/>
    </x:xf>
    <x:xf numFmtId="0" fontId="1" fillId="3" borderId="23" xfId="0" applyFont="1" applyFill="1" applyBorder="1" applyAlignment="1">
      <x:alignment vertical="center" wrapText="1"/>
    </x:xf>
    <x:xf numFmtId="0" fontId="1" fillId="3" borderId="24" xfId="0" applyFont="1" applyFill="1" applyBorder="1" applyAlignment="1">
      <x:alignment vertical="center" wrapText="1"/>
    </x:xf>
    <x:xf numFmtId="0" fontId="1" fillId="3" borderId="25" xfId="0" applyFont="1" applyFill="1" applyBorder="1" applyAlignment="1">
      <x:alignment vertical="center" wrapText="1"/>
    </x:xf>
    <x:xf numFmtId="0" fontId="9" fillId="6" borderId="26" xfId="0" applyFont="1" applyFill="1" applyBorder="1" applyAlignment="1">
      <x:alignment vertical="center" wrapText="1"/>
    </x:xf>
    <x:xf numFmtId="0" fontId="9" fillId="6" borderId="27" xfId="0" applyFont="1" applyFill="1" applyBorder="1" applyAlignment="1">
      <x:alignment vertical="center" wrapText="1"/>
    </x:xf>
    <x:xf numFmtId="0" fontId="9" fillId="6" borderId="3" xfId="0" applyFont="1" applyFill="1" applyBorder="1" applyAlignment="1">
      <x:alignment vertical="center" wrapText="1"/>
    </x:xf>
    <x:xf numFmtId="0" fontId="9" fillId="6" borderId="4" xfId="0" applyFont="1" applyFill="1" applyBorder="1" applyAlignment="1">
      <x:alignment vertical="center" wrapText="1"/>
    </x:xf>
    <x:xf numFmtId="0" fontId="9" fillId="6" borderId="5" xfId="0" applyFont="1" applyFill="1" applyBorder="1" applyAlignment="1">
      <x:alignment vertical="center" wrapText="1"/>
    </x:xf>
    <x:xf numFmtId="0" fontId="11" fillId="3" borderId="29" xfId="0" applyFont="1" applyFill="1" applyBorder="1" applyAlignment="1">
      <x:alignment horizontal="center" vertical="center" wrapText="1"/>
    </x:xf>
    <x:xf numFmtId="0" fontId="0" fillId="0" borderId="30" xfId="0" applyBorder="1" applyAlignment="1">
      <x:alignment vertical="center" wrapText="1"/>
    </x:xf>
    <x:xf numFmtId="0" fontId="11" fillId="3" borderId="31" xfId="0" applyFont="1" applyFill="1" applyBorder="1" applyAlignment="1">
      <x:alignment horizontal="center" vertical="center" wrapText="1"/>
    </x:xf>
    <x:xf numFmtId="0" fontId="0" fillId="0" borderId="32" xfId="0" applyBorder="1" applyAlignment="1">
      <x:alignment vertical="center" wrapText="1"/>
    </x:xf>
    <x:xf numFmtId="0" fontId="11" fillId="3" borderId="33" xfId="0" applyFont="1" applyFill="1" applyBorder="1" applyAlignment="1">
      <x:alignment horizontal="center" vertical="center" wrapText="1"/>
    </x:xf>
    <x:xf numFmtId="0" fontId="0" fillId="0" borderId="34" xfId="0" applyBorder="1" applyAlignment="1">
      <x:alignment vertical="center" wrapText="1"/>
    </x:xf>
    <x:xf numFmtId="0" fontId="0" fillId="0" borderId="35" xfId="0" applyBorder="1" applyAlignment="1">
      <x:alignment vertical="center" wrapText="1"/>
    </x:xf>
    <x:xf numFmtId="0" fontId="10" fillId="4" borderId="36" xfId="0" applyFont="1" applyFill="1" applyBorder="1" applyAlignment="1">
      <x:alignment horizontal="center"/>
    </x:xf>
    <x:xf numFmtId="0" fontId="10" fillId="4" borderId="6" xfId="0" applyFont="1" applyFill="1" applyBorder="1" applyAlignment="1">
      <x:alignment horizontal="center"/>
    </x:xf>
    <x:xf numFmtId="0" fontId="10" fillId="4" borderId="7" xfId="0" applyFont="1" applyFill="1" applyBorder="1" applyAlignment="1">
      <x:alignment horizontal="center"/>
    </x:xf>
    <x:xf numFmtId="0" fontId="0" fillId="6" borderId="29" xfId="0" applyFill="1" applyBorder="1" applyAlignment="1">
      <x:alignment vertical="center" wrapText="1"/>
    </x:xf>
    <x:xf numFmtId="0" fontId="0" fillId="0" borderId="31" xfId="0" applyBorder="1" applyAlignment="1">
      <x:alignment vertical="center" wrapText="1"/>
    </x:xf>
    <x:xf numFmtId="0" fontId="0" fillId="6" borderId="31" xfId="0" applyFill="1" applyBorder="1" applyAlignment="1">
      <x:alignment vertical="center" wrapText="1"/>
    </x:xf>
    <x:xf numFmtId="0" fontId="0" fillId="0" borderId="33" xfId="0" applyBorder="1" applyAlignment="1">
      <x:alignment vertical="center" wrapText="1"/>
    </x:xf>
    <x:xf numFmtId="0" fontId="10" fillId="11" borderId="0" xfId="0" applyFont="1" applyFill="1" applyAlignment="1">
      <x:alignment horizontal="center"/>
    </x:xf>
    <x:xf numFmtId="0" fontId="1" fillId="3" borderId="28" xfId="0" applyFont="1" applyFill="1" applyBorder="1" applyAlignment="1">
      <x:alignment horizontal="center" vertical="center" wrapText="1"/>
    </x:xf>
    <x:xf numFmtId="0" fontId="1" fillId="3" borderId="37" xfId="0" applyFont="1" applyFill="1" applyBorder="1" applyAlignment="1">
      <x:alignment horizontal="center" vertical="center" wrapText="1"/>
    </x:xf>
    <x:xf numFmtId="0" fontId="0" fillId="6" borderId="38" xfId="0" applyFill="1" applyBorder="1" applyAlignment="1">
      <x:alignment vertical="center" wrapText="1"/>
    </x:xf>
    <x:xf numFmtId="0" fontId="0" fillId="0" borderId="39" xfId="0" applyBorder="1" applyAlignment="1">
      <x:alignment vertical="center" wrapText="1"/>
    </x:xf>
    <x:xf numFmtId="0" fontId="0" fillId="6" borderId="39" xfId="0" applyFill="1" applyBorder="1" applyAlignment="1">
      <x:alignment vertical="center" wrapText="1"/>
    </x:xf>
    <x:xf numFmtId="0" fontId="0" fillId="0" borderId="40" xfId="0" applyBorder="1" applyAlignment="1">
      <x:alignment vertical="center" wrapText="1"/>
    </x:xf>
    <x:xf numFmtId="0" fontId="0" fillId="6" borderId="2" xfId="0" applyFill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11" fillId="3" borderId="2" xfId="0" applyFont="1" applyFill="1" applyBorder="1" applyAlignment="1">
      <x:alignment horizontal="center" vertical="center" wrapText="1"/>
    </x:xf>
    <x:xf numFmtId="0" fontId="1" fillId="3" borderId="2" xfId="0" applyFont="1" applyFill="1" applyBorder="1" applyAlignment="1">
      <x:alignment horizontal="left" vertical="center" wrapText="1"/>
    </x:xf>
    <x:xf numFmtId="0" fontId="0" fillId="6" borderId="2" xfId="0" applyFill="1" applyBorder="1" applyAlignment="1">
      <x:alignment horizontal="left" vertical="center" wrapText="1"/>
    </x:xf>
    <x:xf numFmtId="0" fontId="0" fillId="0" borderId="2" xfId="0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41" xfId="0" applyNumberFormat="1" applyFont="1" applyFill="1" applyBorder="1"/>
    <x:xf numFmtId="0" fontId="1" fillId="16" borderId="41" xfId="0" applyNumberFormat="1" applyFont="1" applyFill="1" applyBorder="1" applyAlignment="1">
      <x:alignment wrapText="1"/>
    </x:xf>
    <x:xf numFmtId="0" fontId="1" fillId="16" borderId="41" xfId="0" applyNumberFormat="1" applyFont="1" applyFill="1" applyBorder="1" applyAlignment="1">
      <x:alignment horizontal="center" wrapText="1"/>
    </x:xf>
    <x:xf numFmtId="200" fontId="12" fillId="14" borderId="0" xfId="0" applyNumberFormat="1" applyFont="1" applyFill="1" applyBorder="1"/>
    <x:xf numFmtId="0" fontId="0" fillId="17" borderId="0" xfId="0" applyNumberFormat="1" applyFont="1" applyFill="1" applyBorder="1"/>
    <x:xf numFmtId="0" fontId="0" fillId="17" xfId="0" applyNumberFormat="1" applyFont="1" applyFill="1" applyBorder="0"/>
    <x:xf numFmtId="0" fontId="0" fillId="17" xfId="0" applyNumberFormat="1" applyFont="1" applyFill="1" applyBorder="0" applyAlignment="1">
      <x:alignment vertical="center"/>
    </x:xf>
    <x:xf numFmtId="0" fontId="0" fillId="18" borderId="0" xfId="0" applyNumberFormat="1" applyFont="1" applyFill="1" applyBorder="1"/>
    <x:xf numFmtId="0" fontId="0" fillId="18" xfId="0" applyNumberFormat="1" applyFont="1" applyFill="1" applyBorder="0"/>
    <x:xf numFmtId="0" fontId="0" fillId="18" xfId="0" applyNumberFormat="1" applyFont="1" applyFill="1" applyBorder="0" applyAlignment="1">
      <x:alignment vertical="center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41" xfId="0" applyNumberFormat="1" applyFont="1" applyFill="1" applyBorder="1"/>
    <x:xf numFmtId="0" fontId="1" fillId="21" borderId="41" xfId="0" applyNumberFormat="1" applyFont="1" applyFill="1" applyBorder="1" applyAlignment="1">
      <x:alignment wrapText="1"/>
    </x:xf>
    <x:xf numFmtId="0" fontId="1" fillId="21" borderId="41" xfId="0" applyNumberFormat="1" applyFont="1" applyFill="1" applyBorder="1" applyAlignment="1">
      <x:alignment horizontal="center" wrapText="1"/>
    </x:xf>
    <x:xf numFmtId="200" fontId="0" fillId="17" xfId="0" applyNumberFormat="1" applyFont="1" applyFill="1" applyBorder="0" applyAlignment="1">
      <x:alignment vertical="center"/>
    </x:xf>
    <x:xf numFmtId="200" fontId="0" fillId="18" xfId="0" applyNumberFormat="1" applyFont="1" applyFill="1" applyBorder="0" applyAlignment="1">
      <x:alignment vertical="center"/>
    </x:xf>
    <x:xf numFmtId="0" fontId="0" fillId="17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</x:cellXfs>
  <x:cellStyles count="1">
    <x:cellStyle name="Normal" xfId="0"/>
  </x:cellStyles>
  <x:dxfs count="14">
    <x:dxf>
      <x:font>
        <x:color rgb="FF1D4E78"/>
      </x:font>
      <x:fill>
        <x:patternFill>
          <x:bgColor rgb="FFD9E8F5"/>
        </x:patternFill>
      </x:fill>
    </x:dxf>
    <x:dxf>
      <x:font>
        <x:color rgb="FF8A4B00"/>
      </x:font>
      <x:fill>
        <x:patternFill>
          <x:bgColor rgb="FFFFE2AD"/>
        </x:patternFill>
      </x:fill>
    </x:dxf>
    <x:dxf>
      <x:font>
        <x:color rgb="FF8A4B00"/>
      </x:font>
      <x:fill>
        <x:patternFill>
          <x:bgColor rgb="FFFFE2AD"/>
        </x:patternFill>
      </x:fill>
    </x:dxf>
    <x:dxf>
      <x:font>
        <x:color rgb="FFB3261E"/>
      </x:font>
      <x:fill>
        <x:patternFill>
          <x:bgColor rgb="FFF7C2C2"/>
        </x:patternFill>
      </x:fill>
    </x:dxf>
    <x:dxf>
      <x:font>
        <x:color rgb="FFB3261E"/>
      </x:font>
      <x:fill>
        <x:patternFill>
          <x:bgColor rgb="FFF7C2C2"/>
        </x:patternFill>
      </x:fill>
    </x:dxf>
    <x:dxf>
      <x:font>
        <x:b/>
        <x:color rgb="FF8A4B00"/>
      </x:font>
      <x:fill>
        <x:patternFill>
          <x:bgColor rgb="FFFFE2AD"/>
        </x:patternFill>
      </x:fill>
    </x:dxf>
    <x:dxf>
      <x:font>
        <x:b/>
        <x:color rgb="FF25613B"/>
      </x:font>
      <x:fill>
        <x:patternFill>
          <x:bgColor rgb="FFD9EAD3"/>
        </x:patternFill>
      </x:fill>
    </x:dxf>
    <x:dxf>
      <x:fill>
        <x:patternFill>
          <x:bgColor rgb="FFFBEAEA"/>
        </x:patternFill>
      </x:fill>
    </x:dxf>
    <x:dxf>
      <x:fill>
        <x:patternFill>
          <x:bgColor rgb="FFFBEAEA"/>
        </x:patternFill>
      </x:fill>
    </x:dxf>
    <x:dxf>
      <x:fill>
        <x:patternFill>
          <x:bgColor rgb="FFFBEAEA"/>
        </x:patternFill>
      </x:fill>
    </x:dxf>
    <x:dxf>
      <x:fill>
        <x:patternFill>
          <x:bgColor rgb="FFFBEAEA"/>
        </x:patternFill>
      </x:fill>
    </x:dxf>
    <x:dxf>
      <x:fill>
        <x:patternFill>
          <x:bgColor rgb="FFFBEAEA"/>
        </x:patternFill>
      </x:fill>
    </x:dxf>
    <x:dxf>
      <x:fill>
        <x:patternFill>
          <x:bgColor rgb="FFFBEAEA"/>
        </x:patternFill>
      </x:fill>
    </x:dxf>
    <x:dxf>
      <x:fill>
        <x:patternFill>
          <x:bgColor rgb="FFFB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032d986e44f4b" /><Relationship Type="http://schemas.openxmlformats.org/officeDocument/2006/relationships/theme" Target="/xl/theme/theme1.xml" Id="R36dec0caa0404d49" /><Relationship Type="http://schemas.openxmlformats.org/officeDocument/2006/relationships/sharedStrings" Target="/xl/sharedStrings.xml" Id="R6ae510dd695e4f0b" /><Relationship Type="http://schemas.openxmlformats.org/officeDocument/2006/relationships/worksheet" Target="/xl/worksheets/sheet1.xml" Id="R54293a6b5fe6495a" /><Relationship Type="http://schemas.openxmlformats.org/officeDocument/2006/relationships/worksheet" Target="/xl/worksheets/sheet2.xml" Id="R39a8dd6bcd6f4056" /><Relationship Type="http://schemas.openxmlformats.org/officeDocument/2006/relationships/worksheet" Target="/xl/worksheets/sheet3.xml" Id="Rb05166e6a768439d" /><Relationship Type="http://schemas.openxmlformats.org/officeDocument/2006/relationships/worksheet" Target="/xl/worksheets/sheet4.xml" Id="R40ef2cc4dc844d68" /><Relationship Type="http://schemas.openxmlformats.org/officeDocument/2006/relationships/worksheet" Target="/xl/worksheets/sheet5.xml" Id="Rac8ac78420634eae" /><Relationship Type="http://schemas.openxmlformats.org/officeDocument/2006/relationships/worksheet" Target="/xl/worksheets/sheet6.xml" Id="R000d815af13844f0" /><Relationship Type="http://schemas.openxmlformats.org/officeDocument/2006/relationships/worksheet" Target="/xl/worksheets/sheet7.xml" Id="R7ee72c7a68884f04" /><Relationship Type="http://schemas.openxmlformats.org/officeDocument/2006/relationships/worksheet" Target="/xl/worksheets/sheet8.xml" Id="R34e867eb1a3a4005" /><Relationship Type="http://schemas.openxmlformats.org/officeDocument/2006/relationships/worksheet" Target="/xl/worksheets/sheet9.xml" Id="R166c96bb5ac94a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2c602d69114e30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Data Exceptions by Type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Dashboard!$A$13:$A$20</c:f>
              <c:strCache>
                <c:ptCount val="8"/>
                <c:pt idx="0">
                  <c:v>Missing Email</c:v>
                </c:pt>
                <c:pt idx="1">
                  <c:v>Missing Phone</c:v>
                </c:pt>
                <c:pt idx="2">
                  <c:v>Invalid Phone</c:v>
                </c:pt>
                <c:pt idx="3">
                  <c:v>Invalid Date</c:v>
                </c:pt>
                <c:pt idx="4">
                  <c:v>Invalid Segment</c:v>
                </c:pt>
                <c:pt idx="5">
                  <c:v>Invalid Order Count</c:v>
                </c:pt>
                <c:pt idx="6">
                  <c:v>Invalid Lifetime Value</c:v>
                </c:pt>
                <c:pt idx="7">
                  <c:v>Duplicate Rows</c:v>
                </c:pt>
              </c:strCache>
            </c:strRef>
          </c:cat>
          <c:val>
            <c:numRef>
              <c:f>Dashboard!$B$13:$B$20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2c602d69114e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b536335fbce4180" /></Relationships>
</file>

<file path=xl/worksheets/sheet1.xml><?xml version="1.0" encoding="utf-8"?>
<x:worksheet xmlns:x="http://schemas.openxmlformats.org/spreadsheetml/2006/main">
  <x:sheetPr>
    <x:tabColor rgb="FF315A8A"/>
  </x:sheetPr>
  <x:sheetViews>
    <x:sheetView showGridLines="0" workbookViewId="0"/>
  </x:sheetViews>
  <x:sheetFormatPr defaultRowHeight="15"/>
  <x:cols>
    <x:col min="1" max="1" width="15" customWidth="1"/>
    <x:col min="2" max="2" width="24" customWidth="1"/>
    <x:col min="3" max="3" width="31" customWidth="1"/>
    <x:col min="4" max="4" width="20" customWidth="1"/>
    <x:col min="5" max="5" width="18" customWidth="1"/>
    <x:col min="6" max="6" width="14" customWidth="1"/>
    <x:col min="7" max="9" width="15" customWidth="1"/>
    <x:col min="10" max="10" width="13" customWidth="1"/>
    <x:col min="11" max="11" width="19" customWidth="1"/>
  </x:cols>
  <x:sheetData>
    <x:row r="1" ht="30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</x:row>
    <x:row r="2" ht="21.950000762939453" customHeight="1">
      <x:c r="A2" s="26" t="s">
        <x:v>1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 ht="30" customHeight="1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  <x:c r="F3" s="3" t="s">
        <x:v>7</x:v>
      </x:c>
      <x:c r="G3" s="3" t="s">
        <x:v>8</x:v>
      </x:c>
      <x:c r="H3" s="3" t="s">
        <x:v>9</x:v>
      </x:c>
      <x:c r="I3" s="3" t="s">
        <x:v>10</x:v>
      </x:c>
      <x:c r="J3" s="3" t="s">
        <x:v>11</x:v>
      </x:c>
      <x:c r="K3" s="3" t="s">
        <x:v>12</x:v>
      </x:c>
    </x:row>
    <x:row r="4" ht="20.100000381469727" customHeight="1">
      <x:c r="A4" s="4" t="s">
        <x:v>13</x:v>
      </x:c>
      <x:c r="B4" s="4" t="s">
        <x:v>14</x:v>
      </x:c>
      <x:c r="C4" s="4" t="s">
        <x:v>15</x:v>
      </x:c>
      <x:c r="D4" s="4" t="s">
        <x:v>16</x:v>
      </x:c>
      <x:c r="E4" s="4" t="s">
        <x:v>17</x:v>
      </x:c>
      <x:c r="F4" s="5">
        <x:v>45785</x:v>
      </x:c>
      <x:c r="G4" s="4" t="s">
        <x:v>18</x:v>
      </x:c>
      <x:c r="H4" s="4" t="s">
        <x:v>19</x:v>
      </x:c>
      <x:c r="I4" s="5">
        <x:v>45816</x:v>
      </x:c>
      <x:c r="J4" s="4">
        <x:v>17</x:v>
      </x:c>
      <x:c r="K4" s="6">
        <x:v>263</x:v>
      </x:c>
    </x:row>
    <x:row r="5" ht="20.100000381469727" customHeight="1">
      <x:c r="A5" s="7" t="s">
        <x:v>20</x:v>
      </x:c>
      <x:c r="B5" s="7" t="s">
        <x:v>21</x:v>
      </x:c>
      <x:c r="C5" s="7" t="s">
        <x:v>22</x:v>
      </x:c>
      <x:c r="D5" s="7" t="s">
        <x:v>23</x:v>
      </x:c>
      <x:c r="E5" s="7" t="s">
        <x:v>24</x:v>
      </x:c>
      <x:c r="F5" s="8">
        <x:v>45695</x:v>
      </x:c>
      <x:c r="G5" s="7" t="s">
        <x:v>18</x:v>
      </x:c>
      <x:c r="H5" s="7" t="s">
        <x:v>25</x:v>
      </x:c>
      <x:c r="I5" s="8">
        <x:v>45854</x:v>
      </x:c>
      <x:c r="J5" s="7">
        <x:v>0</x:v>
      </x:c>
      <x:c r="K5" s="9">
        <x:v>1425.05</x:v>
      </x:c>
    </x:row>
    <x:row r="6" ht="20.100000381469727" customHeight="1">
      <x:c r="A6" s="7" t="s">
        <x:v>26</x:v>
      </x:c>
      <x:c r="B6" s="7" t="s">
        <x:v>27</x:v>
      </x:c>
      <x:c r="C6" s="7" t="s">
        <x:v>28</x:v>
      </x:c>
      <x:c r="D6" s="7" t="s">
        <x:v>29</x:v>
      </x:c>
      <x:c r="E6" s="7" t="s">
        <x:v>30</x:v>
      </x:c>
      <x:c r="F6" s="8">
        <x:v>45888</x:v>
      </x:c>
      <x:c r="G6" s="7" t="s">
        <x:v>31</x:v>
      </x:c>
      <x:c r="H6" s="7" t="s">
        <x:v>19</x:v>
      </x:c>
      <x:c r="I6" s="8">
        <x:v>45933</x:v>
      </x:c>
      <x:c r="J6" s="7">
        <x:v>13</x:v>
      </x:c>
      <x:c r="K6" s="9">
        <x:v>883.61</x:v>
      </x:c>
    </x:row>
    <x:row r="7" ht="20.100000381469727" customHeight="1">
      <x:c r="A7" s="7" t="s">
        <x:v>32</x:v>
      </x:c>
      <x:c r="B7" s="7" t="s">
        <x:v>33</x:v>
      </x:c>
      <x:c r="C7" s="7" t="s">
        <x:v>34</x:v>
      </x:c>
      <x:c r="D7" s="7" t="s">
        <x:v>35</x:v>
      </x:c>
      <x:c r="E7" s="7" t="s">
        <x:v>36</x:v>
      </x:c>
      <x:c r="F7" s="8">
        <x:v>45691</x:v>
      </x:c>
      <x:c r="G7" s="7" t="s">
        <x:v>31</x:v>
      </x:c>
      <x:c r="H7" s="7" t="s">
        <x:v>19</x:v>
      </x:c>
      <x:c r="I7" s="8">
        <x:v>45787</x:v>
      </x:c>
      <x:c r="J7" s="7">
        <x:v>11</x:v>
      </x:c>
      <x:c r="K7" s="9">
        <x:v>1529.13</x:v>
      </x:c>
    </x:row>
    <x:row r="8" ht="20.100000381469727" customHeight="1">
      <x:c r="A8" s="7" t="s">
        <x:v>37</x:v>
      </x:c>
      <x:c r="B8" s="7" t="s">
        <x:v>38</x:v>
      </x:c>
      <x:c r="C8" s="7" t="s">
        <x:v>39</x:v>
      </x:c>
      <x:c r="D8" s="7" t="s">
        <x:v>40</x:v>
      </x:c>
      <x:c r="E8" s="7" t="s">
        <x:v>41</x:v>
      </x:c>
      <x:c r="F8" s="8">
        <x:v>45701</x:v>
      </x:c>
      <x:c r="G8" s="7" t="s">
        <x:v>18</x:v>
      </x:c>
      <x:c r="H8" s="7" t="s">
        <x:v>25</x:v>
      </x:c>
      <x:c r="I8" s="8">
        <x:v>45781</x:v>
      </x:c>
      <x:c r="J8" s="7">
        <x:v>11</x:v>
      </x:c>
      <x:c r="K8" s="9">
        <x:v>1464.51</x:v>
      </x:c>
    </x:row>
    <x:row r="9" ht="20.100000381469727" customHeight="1">
      <x:c r="A9" s="7" t="s">
        <x:v>42</x:v>
      </x:c>
      <x:c r="B9" s="7" t="s">
        <x:v>43</x:v>
      </x:c>
      <x:c r="C9" s="7"/>
      <x:c r="D9" s="7" t="s">
        <x:v>44</x:v>
      </x:c>
      <x:c r="E9" s="7" t="s">
        <x:v>17</x:v>
      </x:c>
      <x:c r="F9" s="8">
        <x:v>45772</x:v>
      </x:c>
      <x:c r="G9" s="7" t="s">
        <x:v>31</x:v>
      </x:c>
      <x:c r="H9" s="7" t="s">
        <x:v>19</x:v>
      </x:c>
      <x:c r="I9" s="8">
        <x:v>45836</x:v>
      </x:c>
      <x:c r="J9" s="7">
        <x:v>3</x:v>
      </x:c>
      <x:c r="K9" s="9">
        <x:v>981.31</x:v>
      </x:c>
    </x:row>
    <x:row r="10" ht="20.100000381469727" customHeight="1">
      <x:c r="A10" s="7" t="s">
        <x:v>45</x:v>
      </x:c>
      <x:c r="B10" s="7" t="s">
        <x:v>46</x:v>
      </x:c>
      <x:c r="C10" s="7" t="s">
        <x:v>47</x:v>
      </x:c>
      <x:c r="D10" s="7" t="s">
        <x:v>48</x:v>
      </x:c>
      <x:c r="E10" s="7" t="s">
        <x:v>30</x:v>
      </x:c>
      <x:c r="F10" s="8">
        <x:v>45820</x:v>
      </x:c>
      <x:c r="G10" s="7" t="s">
        <x:v>18</x:v>
      </x:c>
      <x:c r="H10" s="7" t="s">
        <x:v>25</x:v>
      </x:c>
      <x:c r="I10" s="8">
        <x:v>45893</x:v>
      </x:c>
      <x:c r="J10" s="7">
        <x:v>2</x:v>
      </x:c>
      <x:c r="K10" s="9">
        <x:v>1542.37</x:v>
      </x:c>
    </x:row>
    <x:row r="11" ht="20.100000381469727" customHeight="1">
      <x:c r="A11" s="7" t="s">
        <x:v>49</x:v>
      </x:c>
      <x:c r="B11" s="7" t="s">
        <x:v>50</x:v>
      </x:c>
      <x:c r="C11" s="7" t="s">
        <x:v>51</x:v>
      </x:c>
      <x:c r="D11" s="7" t="s">
        <x:v>52</x:v>
      </x:c>
      <x:c r="E11" s="7" t="s">
        <x:v>53</x:v>
      </x:c>
      <x:c r="F11" s="8">
        <x:v>45753</x:v>
      </x:c>
      <x:c r="G11" s="7" t="s">
        <x:v>31</x:v>
      </x:c>
      <x:c r="H11" s="7" t="s">
        <x:v>54</x:v>
      </x:c>
      <x:c r="I11" s="8">
        <x:v>45827</x:v>
      </x:c>
      <x:c r="J11" s="7">
        <x:v>17</x:v>
      </x:c>
      <x:c r="K11" s="9">
        <x:v>588.05999999999995</x:v>
      </x:c>
    </x:row>
    <x:row r="12" ht="20.100000381469727" customHeight="1">
      <x:c r="A12" s="7" t="s">
        <x:v>55</x:v>
      </x:c>
      <x:c r="B12" s="7" t="s">
        <x:v>56</x:v>
      </x:c>
      <x:c r="C12" s="7" t="s">
        <x:v>57</x:v>
      </x:c>
      <x:c r="D12" s="7" t="s">
        <x:v>58</x:v>
      </x:c>
      <x:c r="E12" s="7" t="s">
        <x:v>30</x:v>
      </x:c>
      <x:c r="F12" s="8">
        <x:v>45683</x:v>
      </x:c>
      <x:c r="G12" s="7" t="s">
        <x:v>31</x:v>
      </x:c>
      <x:c r="H12" s="7" t="s">
        <x:v>54</x:v>
      </x:c>
      <x:c r="I12" s="8">
        <x:v>45756</x:v>
      </x:c>
      <x:c r="J12" s="7">
        <x:v>2</x:v>
      </x:c>
      <x:c r="K12" s="9">
        <x:v>566.91</x:v>
      </x:c>
    </x:row>
    <x:row r="13" ht="20.100000381469727" customHeight="1">
      <x:c r="A13" s="7" t="s">
        <x:v>59</x:v>
      </x:c>
      <x:c r="B13" s="7" t="s">
        <x:v>60</x:v>
      </x:c>
      <x:c r="C13" s="7" t="s">
        <x:v>61</x:v>
      </x:c>
      <x:c r="D13" s="7" t="s">
        <x:v>62</x:v>
      </x:c>
      <x:c r="E13" s="7" t="s">
        <x:v>30</x:v>
      </x:c>
      <x:c r="F13" s="8">
        <x:v>45977</x:v>
      </x:c>
      <x:c r="G13" s="7" t="s">
        <x:v>31</x:v>
      </x:c>
      <x:c r="H13" s="7" t="s">
        <x:v>25</x:v>
      </x:c>
      <x:c r="I13" s="8">
        <x:v>46099</x:v>
      </x:c>
      <x:c r="J13" s="7">
        <x:v>4</x:v>
      </x:c>
      <x:c r="K13" s="9">
        <x:v>698.96</x:v>
      </x:c>
    </x:row>
    <x:row r="14" ht="20.100000381469727" customHeight="1">
      <x:c r="A14" s="7" t="s">
        <x:v>63</x:v>
      </x:c>
      <x:c r="B14" s="7" t="s">
        <x:v>64</x:v>
      </x:c>
      <x:c r="C14" s="7" t="s">
        <x:v>65</x:v>
      </x:c>
      <x:c r="D14" s="7" t="s">
        <x:v>66</x:v>
      </x:c>
      <x:c r="E14" s="7" t="s">
        <x:v>41</x:v>
      </x:c>
      <x:c r="F14" s="8">
        <x:v>45801</x:v>
      </x:c>
      <x:c r="G14" s="7" t="s">
        <x:v>67</x:v>
      </x:c>
      <x:c r="H14" s="7" t="s">
        <x:v>54</x:v>
      </x:c>
      <x:c r="I14" s="8">
        <x:v>45955</x:v>
      </x:c>
      <x:c r="J14" s="7">
        <x:v>12</x:v>
      </x:c>
      <x:c r="K14" s="9">
        <x:v>936.89</x:v>
      </x:c>
    </x:row>
    <x:row r="15" ht="20.100000381469727" customHeight="1">
      <x:c r="A15" s="7" t="s">
        <x:v>68</x:v>
      </x:c>
      <x:c r="B15" s="7" t="s">
        <x:v>69</x:v>
      </x:c>
      <x:c r="C15" s="7" t="s">
        <x:v>70</x:v>
      </x:c>
      <x:c r="D15" s="7" t="s">
        <x:v>71</x:v>
      </x:c>
      <x:c r="E15" s="7" t="s">
        <x:v>72</x:v>
      </x:c>
      <x:c r="F15" s="8">
        <x:v>45713</x:v>
      </x:c>
      <x:c r="G15" s="7" t="s">
        <x:v>73</x:v>
      </x:c>
      <x:c r="H15" s="7" t="s">
        <x:v>19</x:v>
      </x:c>
      <x:c r="I15" s="8">
        <x:v>45757</x:v>
      </x:c>
      <x:c r="J15" s="7">
        <x:v>5</x:v>
      </x:c>
      <x:c r="K15" s="9">
        <x:v>1990.59</x:v>
      </x:c>
    </x:row>
    <x:row r="16" ht="20.100000381469727" customHeight="1">
      <x:c r="A16" s="7" t="s">
        <x:v>74</x:v>
      </x:c>
      <x:c r="B16" s="7" t="s">
        <x:v>75</x:v>
      </x:c>
      <x:c r="C16" s="7" t="s">
        <x:v>76</x:v>
      </x:c>
      <x:c r="D16" s="7" t="s">
        <x:v>77</x:v>
      </x:c>
      <x:c r="E16" s="7" t="s">
        <x:v>24</x:v>
      </x:c>
      <x:c r="F16" s="8">
        <x:v>45851</x:v>
      </x:c>
      <x:c r="G16" s="7" t="s">
        <x:v>67</x:v>
      </x:c>
      <x:c r="H16" s="7" t="s">
        <x:v>54</x:v>
      </x:c>
      <x:c r="I16" s="8">
        <x:v>45991</x:v>
      </x:c>
      <x:c r="J16" s="7">
        <x:v>8</x:v>
      </x:c>
      <x:c r="K16" s="9">
        <x:v>2429.14</x:v>
      </x:c>
    </x:row>
    <x:row r="17" ht="20.100000381469727" customHeight="1">
      <x:c r="A17" s="7" t="s">
        <x:v>78</x:v>
      </x:c>
      <x:c r="B17" s="7" t="s">
        <x:v>79</x:v>
      </x:c>
      <x:c r="C17" s="7" t="s">
        <x:v>80</x:v>
      </x:c>
      <x:c r="D17" s="7" t="s">
        <x:v>81</x:v>
      </x:c>
      <x:c r="E17" s="7" t="s">
        <x:v>17</x:v>
      </x:c>
      <x:c r="F17" s="8">
        <x:v>45925</x:v>
      </x:c>
      <x:c r="G17" s="7" t="s">
        <x:v>31</x:v>
      </x:c>
      <x:c r="H17" s="7" t="s">
        <x:v>25</x:v>
      </x:c>
      <x:c r="I17" s="8">
        <x:v>46017</x:v>
      </x:c>
      <x:c r="J17" s="7">
        <x:v>3</x:v>
      </x:c>
      <x:c r="K17" s="9">
        <x:v>769.08</x:v>
      </x:c>
    </x:row>
    <x:row r="18" ht="20.100000381469727" customHeight="1">
      <x:c r="A18" s="7" t="s">
        <x:v>82</x:v>
      </x:c>
      <x:c r="B18" s="7" t="s">
        <x:v>83</x:v>
      </x:c>
      <x:c r="C18" s="7" t="s">
        <x:v>84</x:v>
      </x:c>
      <x:c r="D18" s="7" t="s">
        <x:v>85</x:v>
      </x:c>
      <x:c r="E18" s="7" t="s">
        <x:v>24</x:v>
      </x:c>
      <x:c r="F18" s="8" t="s">
        <x:v>86</x:v>
      </x:c>
      <x:c r="G18" s="7" t="s">
        <x:v>31</x:v>
      </x:c>
      <x:c r="H18" s="7" t="s">
        <x:v>25</x:v>
      </x:c>
      <x:c r="I18" s="8">
        <x:v>46065</x:v>
      </x:c>
      <x:c r="J18" s="7">
        <x:v>16</x:v>
      </x:c>
      <x:c r="K18" s="9">
        <x:v>2285.94</x:v>
      </x:c>
    </x:row>
    <x:row r="19" ht="20.100000381469727" customHeight="1">
      <x:c r="A19" s="7" t="s">
        <x:v>87</x:v>
      </x:c>
      <x:c r="B19" s="7" t="s">
        <x:v>88</x:v>
      </x:c>
      <x:c r="C19" s="7" t="s">
        <x:v>89</x:v>
      </x:c>
      <x:c r="D19" s="7" t="s">
        <x:v>90</x:v>
      </x:c>
      <x:c r="E19" s="7" t="s">
        <x:v>41</x:v>
      </x:c>
      <x:c r="F19" s="8">
        <x:v>45752</x:v>
      </x:c>
      <x:c r="G19" s="7" t="s">
        <x:v>31</x:v>
      </x:c>
      <x:c r="H19" s="7" t="s">
        <x:v>91</x:v>
      </x:c>
      <x:c r="I19" s="8">
        <x:v>45895</x:v>
      </x:c>
      <x:c r="J19" s="7">
        <x:v>16</x:v>
      </x:c>
      <x:c r="K19" s="9">
        <x:v>2300.31</x:v>
      </x:c>
    </x:row>
    <x:row r="20" ht="20.100000381469727" customHeight="1">
      <x:c r="A20" s="7" t="s">
        <x:v>92</x:v>
      </x:c>
      <x:c r="B20" s="7" t="s">
        <x:v>93</x:v>
      </x:c>
      <x:c r="C20" s="7" t="s">
        <x:v>94</x:v>
      </x:c>
      <x:c r="D20" s="7" t="s">
        <x:v>95</x:v>
      </x:c>
      <x:c r="E20" s="7" t="s">
        <x:v>72</x:v>
      </x:c>
      <x:c r="F20" s="8">
        <x:v>45661</x:v>
      </x:c>
      <x:c r="G20" s="7" t="s">
        <x:v>31</x:v>
      </x:c>
      <x:c r="H20" s="7" t="s">
        <x:v>54</x:v>
      </x:c>
      <x:c r="I20" s="8">
        <x:v>45727</x:v>
      </x:c>
      <x:c r="J20" s="7">
        <x:v>1</x:v>
      </x:c>
      <x:c r="K20" s="9">
        <x:v>640.14</x:v>
      </x:c>
    </x:row>
    <x:row r="21" ht="20.100000381469727" customHeight="1">
      <x:c r="A21" s="7" t="s">
        <x:v>96</x:v>
      </x:c>
      <x:c r="B21" s="7" t="s">
        <x:v>97</x:v>
      </x:c>
      <x:c r="C21" s="7" t="s">
        <x:v>98</x:v>
      </x:c>
      <x:c r="D21" s="7" t="s">
        <x:v>99</x:v>
      </x:c>
      <x:c r="E21" s="7" t="s">
        <x:v>24</x:v>
      </x:c>
      <x:c r="F21" s="8">
        <x:v>46007</x:v>
      </x:c>
      <x:c r="G21" s="7" t="s">
        <x:v>18</x:v>
      </x:c>
      <x:c r="H21" s="7" t="s">
        <x:v>25</x:v>
      </x:c>
      <x:c r="I21" s="8">
        <x:v>46044</x:v>
      </x:c>
      <x:c r="J21" s="7">
        <x:v>4</x:v>
      </x:c>
      <x:c r="K21" s="9">
        <x:v>1666.39</x:v>
      </x:c>
    </x:row>
    <x:row r="22" ht="20.100000381469727" customHeight="1">
      <x:c r="A22" s="7" t="s">
        <x:v>100</x:v>
      </x:c>
      <x:c r="B22" s="7" t="s">
        <x:v>101</x:v>
      </x:c>
      <x:c r="C22" s="7" t="s">
        <x:v>102</x:v>
      </x:c>
      <x:c r="D22" s="7"/>
      <x:c r="E22" s="7" t="s">
        <x:v>36</x:v>
      </x:c>
      <x:c r="F22" s="8">
        <x:v>45928</x:v>
      </x:c>
      <x:c r="G22" s="7" t="s">
        <x:v>67</x:v>
      </x:c>
      <x:c r="H22" s="7" t="s">
        <x:v>54</x:v>
      </x:c>
      <x:c r="I22" s="8">
        <x:v>45987</x:v>
      </x:c>
      <x:c r="J22" s="7">
        <x:v>17</x:v>
      </x:c>
      <x:c r="K22" s="9">
        <x:v>1900.4</x:v>
      </x:c>
    </x:row>
    <x:row r="23" ht="20.100000381469727" customHeight="1">
      <x:c r="A23" s="7" t="s">
        <x:v>103</x:v>
      </x:c>
      <x:c r="B23" s="7" t="s">
        <x:v>104</x:v>
      </x:c>
      <x:c r="C23" s="7" t="s">
        <x:v>105</x:v>
      </x:c>
      <x:c r="D23" s="7" t="s">
        <x:v>106</x:v>
      </x:c>
      <x:c r="E23" s="7" t="s">
        <x:v>72</x:v>
      </x:c>
      <x:c r="F23" s="8">
        <x:v>45982</x:v>
      </x:c>
      <x:c r="G23" s="7" t="s">
        <x:v>31</x:v>
      </x:c>
      <x:c r="H23" s="7" t="s">
        <x:v>54</x:v>
      </x:c>
      <x:c r="I23" s="8">
        <x:v>46119</x:v>
      </x:c>
      <x:c r="J23" s="7">
        <x:v>14</x:v>
      </x:c>
      <x:c r="K23" s="9">
        <x:v>346.46</x:v>
      </x:c>
    </x:row>
    <x:row r="24" ht="20.100000381469727" customHeight="1">
      <x:c r="A24" s="7" t="s">
        <x:v>107</x:v>
      </x:c>
      <x:c r="B24" s="7" t="s">
        <x:v>108</x:v>
      </x:c>
      <x:c r="C24" s="7" t="s">
        <x:v>109</x:v>
      </x:c>
      <x:c r="D24" s="7" t="s">
        <x:v>110</x:v>
      </x:c>
      <x:c r="E24" s="7" t="s">
        <x:v>36</x:v>
      </x:c>
      <x:c r="F24" s="8">
        <x:v>45676</x:v>
      </x:c>
      <x:c r="G24" s="7" t="s">
        <x:v>111</x:v>
      </x:c>
      <x:c r="H24" s="7" t="s">
        <x:v>19</x:v>
      </x:c>
      <x:c r="I24" s="8">
        <x:v>45831</x:v>
      </x:c>
      <x:c r="J24" s="7">
        <x:v>7</x:v>
      </x:c>
      <x:c r="K24" s="9">
        <x:v>67.62</x:v>
      </x:c>
    </x:row>
    <x:row r="25" ht="20.100000381469727" customHeight="1">
      <x:c r="A25" s="7" t="s">
        <x:v>112</x:v>
      </x:c>
      <x:c r="B25" s="7" t="s">
        <x:v>113</x:v>
      </x:c>
      <x:c r="C25" s="7" t="s">
        <x:v>114</x:v>
      </x:c>
      <x:c r="D25" s="7" t="s">
        <x:v>115</x:v>
      </x:c>
      <x:c r="E25" s="7" t="s">
        <x:v>24</x:v>
      </x:c>
      <x:c r="F25" s="8">
        <x:v>45685</x:v>
      </x:c>
      <x:c r="G25" s="7" t="s">
        <x:v>31</x:v>
      </x:c>
      <x:c r="H25" s="7" t="s">
        <x:v>19</x:v>
      </x:c>
      <x:c r="I25" s="8">
        <x:v>45821</x:v>
      </x:c>
      <x:c r="J25" s="7">
        <x:v>7</x:v>
      </x:c>
      <x:c r="K25" s="9">
        <x:v>732.27</x:v>
      </x:c>
    </x:row>
    <x:row r="26" ht="20.100000381469727" customHeight="1">
      <x:c r="A26" s="7" t="s">
        <x:v>116</x:v>
      </x:c>
      <x:c r="B26" s="7" t="s">
        <x:v>117</x:v>
      </x:c>
      <x:c r="C26" s="7" t="s">
        <x:v>118</x:v>
      </x:c>
      <x:c r="D26" s="7" t="s">
        <x:v>119</x:v>
      </x:c>
      <x:c r="E26" s="7" t="s">
        <x:v>41</x:v>
      </x:c>
      <x:c r="F26" s="8">
        <x:v>45740</x:v>
      </x:c>
      <x:c r="G26" s="7" t="s">
        <x:v>67</x:v>
      </x:c>
      <x:c r="H26" s="7" t="s">
        <x:v>25</x:v>
      </x:c>
      <x:c r="I26" s="8">
        <x:v>45866</x:v>
      </x:c>
      <x:c r="J26" s="7">
        <x:v>7</x:v>
      </x:c>
      <x:c r="K26" s="9">
        <x:v>1972.32</x:v>
      </x:c>
    </x:row>
    <x:row r="27" ht="20.100000381469727" customHeight="1">
      <x:c r="A27" s="7" t="s">
        <x:v>120</x:v>
      </x:c>
      <x:c r="B27" s="7" t="s">
        <x:v>121</x:v>
      </x:c>
      <x:c r="C27" s="7" t="s">
        <x:v>122</x:v>
      </x:c>
      <x:c r="D27" s="7" t="s">
        <x:v>123</x:v>
      </x:c>
      <x:c r="E27" s="7" t="s">
        <x:v>24</x:v>
      </x:c>
      <x:c r="F27" s="8">
        <x:v>45710</x:v>
      </x:c>
      <x:c r="G27" s="7" t="s">
        <x:v>31</x:v>
      </x:c>
      <x:c r="H27" s="7" t="s">
        <x:v>54</x:v>
      </x:c>
      <x:c r="I27" s="8">
        <x:v>45823</x:v>
      </x:c>
      <x:c r="J27" s="7">
        <x:v>13</x:v>
      </x:c>
      <x:c r="K27" s="9">
        <x:v>1194.21</x:v>
      </x:c>
    </x:row>
    <x:row r="28" ht="20.100000381469727" customHeight="1">
      <x:c r="A28" s="7" t="s">
        <x:v>124</x:v>
      </x:c>
      <x:c r="B28" s="7" t="s">
        <x:v>125</x:v>
      </x:c>
      <x:c r="C28" s="7" t="s">
        <x:v>126</x:v>
      </x:c>
      <x:c r="D28" s="7" t="s">
        <x:v>127</x:v>
      </x:c>
      <x:c r="E28" s="7" t="s">
        <x:v>24</x:v>
      </x:c>
      <x:c r="F28" s="8">
        <x:v>45862</x:v>
      </x:c>
      <x:c r="G28" s="7" t="s">
        <x:v>31</x:v>
      </x:c>
      <x:c r="H28" s="7" t="s">
        <x:v>19</x:v>
      </x:c>
      <x:c r="I28" s="8">
        <x:v>45930</x:v>
      </x:c>
      <x:c r="J28" s="7">
        <x:v>6</x:v>
      </x:c>
      <x:c r="K28" s="9">
        <x:v>516.01</x:v>
      </x:c>
    </x:row>
    <x:row r="29" ht="20.100000381469727" customHeight="1">
      <x:c r="A29" s="7" t="s">
        <x:v>128</x:v>
      </x:c>
      <x:c r="B29" s="7" t="s">
        <x:v>129</x:v>
      </x:c>
      <x:c r="C29" s="7" t="s">
        <x:v>130</x:v>
      </x:c>
      <x:c r="D29" s="7" t="s">
        <x:v>131</x:v>
      </x:c>
      <x:c r="E29" s="7" t="s">
        <x:v>132</x:v>
      </x:c>
      <x:c r="F29" s="8">
        <x:v>45725</x:v>
      </x:c>
      <x:c r="G29" s="7" t="s">
        <x:v>31</x:v>
      </x:c>
      <x:c r="H29" s="7" t="s">
        <x:v>19</x:v>
      </x:c>
      <x:c r="I29" s="8">
        <x:v>45749</x:v>
      </x:c>
      <x:c r="J29" s="7">
        <x:v>14</x:v>
      </x:c>
      <x:c r="K29" s="9">
        <x:v>2029.65</x:v>
      </x:c>
    </x:row>
    <x:row r="30" ht="20.100000381469727" customHeight="1">
      <x:c r="A30" s="7" t="s">
        <x:v>133</x:v>
      </x:c>
      <x:c r="B30" s="7" t="s">
        <x:v>134</x:v>
      </x:c>
      <x:c r="C30" s="7" t="s">
        <x:v>135</x:v>
      </x:c>
      <x:c r="D30" s="7" t="s">
        <x:v>136</x:v>
      </x:c>
      <x:c r="E30" s="7" t="s">
        <x:v>24</x:v>
      </x:c>
      <x:c r="F30" s="8">
        <x:v>45979</x:v>
      </x:c>
      <x:c r="G30" s="7" t="s">
        <x:v>18</x:v>
      </x:c>
      <x:c r="H30" s="7" t="s">
        <x:v>19</x:v>
      </x:c>
      <x:c r="I30" s="8">
        <x:v>46044</x:v>
      </x:c>
      <x:c r="J30" s="7">
        <x:v>5</x:v>
      </x:c>
      <x:c r="K30" s="9">
        <x:v>1045.71</x:v>
      </x:c>
    </x:row>
    <x:row r="31" ht="20.100000381469727" customHeight="1">
      <x:c r="A31" s="7" t="s">
        <x:v>137</x:v>
      </x:c>
      <x:c r="B31" s="7" t="s">
        <x:v>117</x:v>
      </x:c>
      <x:c r="C31" s="7" t="s">
        <x:v>118</x:v>
      </x:c>
      <x:c r="D31" s="7" t="s">
        <x:v>138</x:v>
      </x:c>
      <x:c r="E31" s="7" t="s">
        <x:v>72</x:v>
      </x:c>
      <x:c r="F31" s="8">
        <x:v>45663</x:v>
      </x:c>
      <x:c r="G31" s="7" t="s">
        <x:v>31</x:v>
      </x:c>
      <x:c r="H31" s="7" t="s">
        <x:v>19</x:v>
      </x:c>
      <x:c r="I31" s="8">
        <x:v>45767</x:v>
      </x:c>
      <x:c r="J31" s="7">
        <x:v>8</x:v>
      </x:c>
      <x:c r="K31" s="9">
        <x:v>2319.9699999999998</x:v>
      </x:c>
    </x:row>
    <x:row r="32" ht="20.100000381469727" customHeight="1">
      <x:c r="A32" s="7" t="s">
        <x:v>139</x:v>
      </x:c>
      <x:c r="B32" s="7" t="s">
        <x:v>140</x:v>
      </x:c>
      <x:c r="C32" s="7" t="s">
        <x:v>141</x:v>
      </x:c>
      <x:c r="D32" s="7" t="s">
        <x:v>142</x:v>
      </x:c>
      <x:c r="E32" s="7" t="s">
        <x:v>72</x:v>
      </x:c>
      <x:c r="F32" s="8">
        <x:v>46015</x:v>
      </x:c>
      <x:c r="G32" s="7" t="s">
        <x:v>67</x:v>
      </x:c>
      <x:c r="H32" s="7" t="s">
        <x:v>25</x:v>
      </x:c>
      <x:c r="I32" s="8">
        <x:v>46144</x:v>
      </x:c>
      <x:c r="J32" s="7">
        <x:v>4</x:v>
      </x:c>
      <x:c r="K32" s="9">
        <x:v>515.25</x:v>
      </x:c>
    </x:row>
    <x:row r="33" ht="20.100000381469727" customHeight="1">
      <x:c r="A33" s="7" t="s">
        <x:v>143</x:v>
      </x:c>
      <x:c r="B33" s="7" t="s">
        <x:v>144</x:v>
      </x:c>
      <x:c r="C33" s="7" t="s">
        <x:v>145</x:v>
      </x:c>
      <x:c r="D33" s="7" t="s">
        <x:v>146</x:v>
      </x:c>
      <x:c r="E33" s="7" t="s">
        <x:v>41</x:v>
      </x:c>
      <x:c r="F33" s="8">
        <x:v>46009</x:v>
      </x:c>
      <x:c r="G33" s="7" t="s">
        <x:v>18</x:v>
      </x:c>
      <x:c r="H33" s="7" t="s">
        <x:v>25</x:v>
      </x:c>
      <x:c r="I33" s="8">
        <x:v>46094</x:v>
      </x:c>
      <x:c r="J33" s="7">
        <x:v>1</x:v>
      </x:c>
      <x:c r="K33" s="9">
        <x:v>-125</x:v>
      </x:c>
    </x:row>
    <x:row r="34" ht="20.100000381469727" customHeight="1">
      <x:c r="A34" s="7" t="s">
        <x:v>147</x:v>
      </x:c>
      <x:c r="B34" s="7" t="s">
        <x:v>148</x:v>
      </x:c>
      <x:c r="C34" s="7" t="s">
        <x:v>149</x:v>
      </x:c>
      <x:c r="D34" s="7" t="s">
        <x:v>150</x:v>
      </x:c>
      <x:c r="E34" s="7" t="s">
        <x:v>41</x:v>
      </x:c>
      <x:c r="F34" s="8">
        <x:v>45718</x:v>
      </x:c>
      <x:c r="G34" s="7" t="s">
        <x:v>67</x:v>
      </x:c>
      <x:c r="H34" s="7" t="s">
        <x:v>19</x:v>
      </x:c>
      <x:c r="I34" s="8">
        <x:v>45770</x:v>
      </x:c>
      <x:c r="J34" s="7">
        <x:v>2</x:v>
      </x:c>
      <x:c r="K34" s="9">
        <x:v>1507.84</x:v>
      </x:c>
    </x:row>
    <x:row r="35" ht="20.100000381469727" customHeight="1">
      <x:c r="A35" s="7" t="s">
        <x:v>151</x:v>
      </x:c>
      <x:c r="B35" s="7" t="s">
        <x:v>152</x:v>
      </x:c>
      <x:c r="C35" s="7" t="s">
        <x:v>153</x:v>
      </x:c>
      <x:c r="D35" s="7" t="s">
        <x:v>154</x:v>
      </x:c>
      <x:c r="E35" s="7" t="s">
        <x:v>24</x:v>
      </x:c>
      <x:c r="F35" s="8">
        <x:v>45938</x:v>
      </x:c>
      <x:c r="G35" s="7" t="s">
        <x:v>67</x:v>
      </x:c>
      <x:c r="H35" s="7" t="s">
        <x:v>25</x:v>
      </x:c>
      <x:c r="I35" s="8" t="s">
        <x:v>155</x:v>
      </x:c>
      <x:c r="J35" s="7">
        <x:v>2</x:v>
      </x:c>
      <x:c r="K35" s="9">
        <x:v>1077.0999999999999</x:v>
      </x:c>
    </x:row>
    <x:row r="36" ht="20.100000381469727" customHeight="1">
      <x:c r="A36" s="7" t="s">
        <x:v>156</x:v>
      </x:c>
      <x:c r="B36" s="7" t="s">
        <x:v>157</x:v>
      </x:c>
      <x:c r="C36" s="7" t="s">
        <x:v>158</x:v>
      </x:c>
      <x:c r="D36" s="7" t="s">
        <x:v>159</x:v>
      </x:c>
      <x:c r="E36" s="7" t="s">
        <x:v>41</x:v>
      </x:c>
      <x:c r="F36" s="8">
        <x:v>45817</x:v>
      </x:c>
      <x:c r="G36" s="7" t="s">
        <x:v>18</x:v>
      </x:c>
      <x:c r="H36" s="7" t="s">
        <x:v>25</x:v>
      </x:c>
      <x:c r="I36" s="8">
        <x:v>45902</x:v>
      </x:c>
      <x:c r="J36" s="7">
        <x:v>7</x:v>
      </x:c>
      <x:c r="K36" s="9">
        <x:v>700.76</x:v>
      </x:c>
    </x:row>
    <x:row r="37" ht="20.100000381469727" customHeight="1">
      <x:c r="A37" s="7" t="s">
        <x:v>160</x:v>
      </x:c>
      <x:c r="B37" s="7" t="s">
        <x:v>161</x:v>
      </x:c>
      <x:c r="C37" s="7" t="s">
        <x:v>162</x:v>
      </x:c>
      <x:c r="D37" s="7" t="s">
        <x:v>163</x:v>
      </x:c>
      <x:c r="E37" s="7" t="s">
        <x:v>72</x:v>
      </x:c>
      <x:c r="F37" s="8">
        <x:v>45833</x:v>
      </x:c>
      <x:c r="G37" s="7" t="s">
        <x:v>18</x:v>
      </x:c>
      <x:c r="H37" s="7" t="s">
        <x:v>19</x:v>
      </x:c>
      <x:c r="I37" s="8">
        <x:v>45955</x:v>
      </x:c>
      <x:c r="J37" s="7"/>
      <x:c r="K37" s="9">
        <x:v>2490.44</x:v>
      </x:c>
    </x:row>
    <x:row r="38" ht="20.100000381469727" customHeight="1">
      <x:c r="A38" s="7" t="s">
        <x:v>164</x:v>
      </x:c>
      <x:c r="B38" s="7" t="s">
        <x:v>165</x:v>
      </x:c>
      <x:c r="C38" s="7" t="s">
        <x:v>166</x:v>
      </x:c>
      <x:c r="D38" s="7" t="s">
        <x:v>167</x:v>
      </x:c>
      <x:c r="E38" s="7" t="s">
        <x:v>30</x:v>
      </x:c>
      <x:c r="F38" s="8">
        <x:v>45909</x:v>
      </x:c>
      <x:c r="G38" s="7" t="s">
        <x:v>18</x:v>
      </x:c>
      <x:c r="H38" s="7" t="s">
        <x:v>54</x:v>
      </x:c>
      <x:c r="I38" s="8">
        <x:v>45931</x:v>
      </x:c>
      <x:c r="J38" s="7">
        <x:v>7</x:v>
      </x:c>
      <x:c r="K38" s="9">
        <x:v>955.34</x:v>
      </x:c>
    </x:row>
    <x:row r="39" ht="20.100000381469727" customHeight="1">
      <x:c r="A39" s="7" t="s">
        <x:v>168</x:v>
      </x:c>
      <x:c r="B39" s="7" t="s">
        <x:v>83</x:v>
      </x:c>
      <x:c r="C39" s="7" t="s">
        <x:v>84</x:v>
      </x:c>
      <x:c r="D39" s="7" t="s">
        <x:v>169</x:v>
      </x:c>
      <x:c r="E39" s="7" t="s">
        <x:v>41</x:v>
      </x:c>
      <x:c r="F39" s="8">
        <x:v>46001</x:v>
      </x:c>
      <x:c r="G39" s="7" t="s">
        <x:v>67</x:v>
      </x:c>
      <x:c r="H39" s="7" t="s">
        <x:v>25</x:v>
      </x:c>
      <x:c r="I39" s="8">
        <x:v>46141</x:v>
      </x:c>
      <x:c r="J39" s="7">
        <x:v>0</x:v>
      </x:c>
      <x:c r="K39" s="9">
        <x:v>1686.26</x:v>
      </x:c>
    </x:row>
    <x:row r="40" ht="20.100000381469727" customHeight="1">
      <x:c r="A40" s="7" t="s">
        <x:v>170</x:v>
      </x:c>
      <x:c r="B40" s="7" t="s">
        <x:v>171</x:v>
      </x:c>
      <x:c r="C40" s="7" t="s">
        <x:v>172</x:v>
      </x:c>
      <x:c r="D40" s="7" t="s">
        <x:v>173</x:v>
      </x:c>
      <x:c r="E40" s="7" t="s">
        <x:v>17</x:v>
      </x:c>
      <x:c r="F40" s="8">
        <x:v>45693</x:v>
      </x:c>
      <x:c r="G40" s="7" t="s">
        <x:v>31</x:v>
      </x:c>
      <x:c r="H40" s="7" t="s">
        <x:v>19</x:v>
      </x:c>
      <x:c r="I40" s="8">
        <x:v>45725</x:v>
      </x:c>
      <x:c r="J40" s="7">
        <x:v>17</x:v>
      </x:c>
      <x:c r="K40" s="9">
        <x:v>430.85</x:v>
      </x:c>
    </x:row>
    <x:row r="41" ht="20.100000381469727" customHeight="1">
      <x:c r="A41" s="7" t="s">
        <x:v>174</x:v>
      </x:c>
      <x:c r="B41" s="7" t="s">
        <x:v>175</x:v>
      </x:c>
      <x:c r="C41" s="7" t="s">
        <x:v>176</x:v>
      </x:c>
      <x:c r="D41" s="7" t="s">
        <x:v>177</x:v>
      </x:c>
      <x:c r="E41" s="7" t="s">
        <x:v>30</x:v>
      </x:c>
      <x:c r="F41" s="8">
        <x:v>46002</x:v>
      </x:c>
      <x:c r="G41" s="7" t="s">
        <x:v>18</x:v>
      </x:c>
      <x:c r="H41" s="7" t="s">
        <x:v>25</x:v>
      </x:c>
      <x:c r="I41" s="8">
        <x:v>46169</x:v>
      </x:c>
      <x:c r="J41" s="7">
        <x:v>8</x:v>
      </x:c>
      <x:c r="K41" s="9">
        <x:v>1288.25</x:v>
      </x:c>
    </x:row>
    <x:row r="42" ht="20.100000381469727" customHeight="1">
      <x:c r="A42" s="7" t="s">
        <x:v>178</x:v>
      </x:c>
      <x:c r="B42" s="7" t="s">
        <x:v>179</x:v>
      </x:c>
      <x:c r="C42" s="7" t="s">
        <x:v>180</x:v>
      </x:c>
      <x:c r="D42" s="7" t="s">
        <x:v>181</x:v>
      </x:c>
      <x:c r="E42" s="7" t="s">
        <x:v>24</x:v>
      </x:c>
      <x:c r="F42" s="8">
        <x:v>45975</x:v>
      </x:c>
      <x:c r="G42" s="7" t="s">
        <x:v>182</x:v>
      </x:c>
      <x:c r="H42" s="7" t="s">
        <x:v>19</x:v>
      </x:c>
      <x:c r="I42" s="8">
        <x:v>45980</x:v>
      </x:c>
      <x:c r="J42" s="7">
        <x:v>10</x:v>
      </x:c>
      <x:c r="K42" s="9">
        <x:v>1939.24</x:v>
      </x:c>
    </x:row>
    <x:row r="43" ht="20.100000381469727" customHeight="1">
      <x:c r="A43" s="7" t="s">
        <x:v>183</x:v>
      </x:c>
      <x:c r="B43" s="7" t="s">
        <x:v>184</x:v>
      </x:c>
      <x:c r="C43" s="7" t="s">
        <x:v>185</x:v>
      </x:c>
      <x:c r="D43" s="7" t="s">
        <x:v>186</x:v>
      </x:c>
      <x:c r="E43" s="7" t="s">
        <x:v>17</x:v>
      </x:c>
      <x:c r="F43" s="8">
        <x:v>45887</x:v>
      </x:c>
      <x:c r="G43" s="7" t="s">
        <x:v>67</x:v>
      </x:c>
      <x:c r="H43" s="7" t="s">
        <x:v>54</x:v>
      </x:c>
      <x:c r="I43" s="8">
        <x:v>46035</x:v>
      </x:c>
      <x:c r="J43" s="7">
        <x:v>0</x:v>
      </x:c>
      <x:c r="K43" s="9">
        <x:v>324.08999999999997</x:v>
      </x:c>
    </x:row>
    <x:row r="44" ht="20.100000381469727" customHeight="1">
      <x:c r="A44" s="7" t="s">
        <x:v>187</x:v>
      </x:c>
      <x:c r="B44" s="7" t="s">
        <x:v>188</x:v>
      </x:c>
      <x:c r="C44" s="7" t="s">
        <x:v>189</x:v>
      </x:c>
      <x:c r="D44" s="7" t="s">
        <x:v>190</x:v>
      </x:c>
      <x:c r="E44" s="7" t="s">
        <x:v>24</x:v>
      </x:c>
      <x:c r="F44" s="8">
        <x:v>45827</x:v>
      </x:c>
      <x:c r="G44" s="7" t="s">
        <x:v>67</x:v>
      </x:c>
      <x:c r="H44" s="7" t="s">
        <x:v>191</x:v>
      </x:c>
      <x:c r="I44" s="8">
        <x:v>45942</x:v>
      </x:c>
      <x:c r="J44" s="7">
        <x:v>4</x:v>
      </x:c>
      <x:c r="K44" s="9">
        <x:v>152.47999999999999</x:v>
      </x:c>
    </x:row>
    <x:row r="45" ht="20.100000381469727" customHeight="1">
      <x:c r="A45" s="7" t="s">
        <x:v>192</x:v>
      </x:c>
      <x:c r="B45" s="7" t="s">
        <x:v>193</x:v>
      </x:c>
      <x:c r="C45" s="7" t="s">
        <x:v>194</x:v>
      </x:c>
      <x:c r="D45" s="7" t="s">
        <x:v>195</x:v>
      </x:c>
      <x:c r="E45" s="7" t="s">
        <x:v>36</x:v>
      </x:c>
      <x:c r="F45" s="8">
        <x:v>45769</x:v>
      </x:c>
      <x:c r="G45" s="7" t="s">
        <x:v>18</x:v>
      </x:c>
      <x:c r="H45" s="7" t="s">
        <x:v>25</x:v>
      </x:c>
      <x:c r="I45" s="8">
        <x:v>45800</x:v>
      </x:c>
      <x:c r="J45" s="7">
        <x:v>11</x:v>
      </x:c>
      <x:c r="K45" s="9">
        <x:v>1961.28</x:v>
      </x:c>
    </x:row>
    <x:row r="46" ht="20.100000381469727" customHeight="1">
      <x:c r="A46" s="7" t="s">
        <x:v>196</x:v>
      </x:c>
      <x:c r="B46" s="7" t="s">
        <x:v>75</x:v>
      </x:c>
      <x:c r="C46" s="7" t="s">
        <x:v>76</x:v>
      </x:c>
      <x:c r="D46" s="7" t="s">
        <x:v>197</x:v>
      </x:c>
      <x:c r="E46" s="7" t="s">
        <x:v>17</x:v>
      </x:c>
      <x:c r="F46" s="8">
        <x:v>45724</x:v>
      </x:c>
      <x:c r="G46" s="7" t="s">
        <x:v>18</x:v>
      </x:c>
      <x:c r="H46" s="7" t="s">
        <x:v>19</x:v>
      </x:c>
      <x:c r="I46" s="8">
        <x:v>45834</x:v>
      </x:c>
      <x:c r="J46" s="7">
        <x:v>0</x:v>
      </x:c>
      <x:c r="K46" s="9">
        <x:v>489.43</x:v>
      </x:c>
    </x:row>
    <x:row r="47" ht="20.100000381469727" customHeight="1">
      <x:c r="A47" s="7" t="s">
        <x:v>198</x:v>
      </x:c>
      <x:c r="B47" s="7" t="s">
        <x:v>199</x:v>
      </x:c>
      <x:c r="C47" s="7" t="s">
        <x:v>200</x:v>
      </x:c>
      <x:c r="D47" s="7" t="s">
        <x:v>201</x:v>
      </x:c>
      <x:c r="E47" s="7" t="s">
        <x:v>17</x:v>
      </x:c>
      <x:c r="F47" s="8">
        <x:v>46017</x:v>
      </x:c>
      <x:c r="G47" s="7" t="s">
        <x:v>18</x:v>
      </x:c>
      <x:c r="H47" s="7" t="s">
        <x:v>54</x:v>
      </x:c>
      <x:c r="I47" s="8">
        <x:v>46062</x:v>
      </x:c>
      <x:c r="J47" s="7">
        <x:v>3</x:v>
      </x:c>
      <x:c r="K47" s="9">
        <x:v>987.23</x:v>
      </x:c>
    </x:row>
    <x:row r="48" ht="20.100000381469727" customHeight="1">
      <x:c r="A48" s="7" t="s">
        <x:v>202</x:v>
      </x:c>
      <x:c r="B48" s="7" t="s">
        <x:v>203</x:v>
      </x:c>
      <x:c r="C48" s="7" t="s">
        <x:v>204</x:v>
      </x:c>
      <x:c r="D48" s="7" t="s">
        <x:v>205</x:v>
      </x:c>
      <x:c r="E48" s="7" t="s">
        <x:v>30</x:v>
      </x:c>
      <x:c r="F48" s="8">
        <x:v>45774</x:v>
      </x:c>
      <x:c r="G48" s="7" t="s">
        <x:v>31</x:v>
      </x:c>
      <x:c r="H48" s="7" t="s">
        <x:v>54</x:v>
      </x:c>
      <x:c r="I48" s="8">
        <x:v>45857</x:v>
      </x:c>
      <x:c r="J48" s="7">
        <x:v>-2</x:v>
      </x:c>
      <x:c r="K48" s="9">
        <x:v>596.16</x:v>
      </x:c>
    </x:row>
    <x:row r="49" ht="20.100000381469727" customHeight="1">
      <x:c r="A49" s="7" t="s">
        <x:v>206</x:v>
      </x:c>
      <x:c r="B49" s="7" t="s">
        <x:v>207</x:v>
      </x:c>
      <x:c r="C49" s="7" t="s">
        <x:v>208</x:v>
      </x:c>
      <x:c r="D49" s="7" t="s">
        <x:v>209</x:v>
      </x:c>
      <x:c r="E49" s="7" t="s">
        <x:v>36</x:v>
      </x:c>
      <x:c r="F49" s="8">
        <x:v>45805</x:v>
      </x:c>
      <x:c r="G49" s="7" t="s">
        <x:v>18</x:v>
      </x:c>
      <x:c r="H49" s="7" t="s">
        <x:v>54</x:v>
      </x:c>
      <x:c r="I49" s="8">
        <x:v>45899</x:v>
      </x:c>
      <x:c r="J49" s="7">
        <x:v>16</x:v>
      </x:c>
      <x:c r="K49" s="9">
        <x:v>1029.21</x:v>
      </x:c>
    </x:row>
    <x:row r="50" ht="20.100000381469727" customHeight="1">
      <x:c r="A50" s="7" t="s">
        <x:v>210</x:v>
      </x:c>
      <x:c r="B50" s="7" t="s">
        <x:v>211</x:v>
      </x:c>
      <x:c r="C50" s="7" t="s">
        <x:v>212</x:v>
      </x:c>
      <x:c r="D50" s="7" t="s">
        <x:v>213</x:v>
      </x:c>
      <x:c r="E50" s="7" t="s">
        <x:v>24</x:v>
      </x:c>
      <x:c r="F50" s="8">
        <x:v>45697</x:v>
      </x:c>
      <x:c r="G50" s="7" t="s">
        <x:v>18</x:v>
      </x:c>
      <x:c r="H50" s="7" t="s">
        <x:v>25</x:v>
      </x:c>
      <x:c r="I50" s="8">
        <x:v>45769</x:v>
      </x:c>
      <x:c r="J50" s="7">
        <x:v>1</x:v>
      </x:c>
      <x:c r="K50" s="9">
        <x:v>315.58999999999997</x:v>
      </x:c>
    </x:row>
    <x:row r="51" ht="20.100000381469727" customHeight="1">
      <x:c r="A51" s="7" t="s">
        <x:v>214</x:v>
      </x:c>
      <x:c r="B51" s="7" t="s">
        <x:v>215</x:v>
      </x:c>
      <x:c r="C51" s="7" t="s">
        <x:v>216</x:v>
      </x:c>
      <x:c r="D51" s="7" t="s">
        <x:v>217</x:v>
      </x:c>
      <x:c r="E51" s="7" t="s">
        <x:v>17</x:v>
      </x:c>
      <x:c r="F51" s="8">
        <x:v>45822</x:v>
      </x:c>
      <x:c r="G51" s="7" t="s">
        <x:v>67</x:v>
      </x:c>
      <x:c r="H51" s="7" t="s">
        <x:v>25</x:v>
      </x:c>
      <x:c r="I51" s="8">
        <x:v>45856</x:v>
      </x:c>
      <x:c r="J51" s="7">
        <x:v>12</x:v>
      </x:c>
      <x:c r="K51" s="9">
        <x:v>2253.79</x:v>
      </x:c>
    </x:row>
    <x:row r="52" ht="20.100000381469727" customHeight="1">
      <x:c r="A52" s="7" t="s">
        <x:v>218</x:v>
      </x:c>
      <x:c r="B52" s="7" t="s">
        <x:v>219</x:v>
      </x:c>
      <x:c r="C52" s="7" t="s">
        <x:v>220</x:v>
      </x:c>
      <x:c r="D52" s="7" t="s">
        <x:v>221</x:v>
      </x:c>
      <x:c r="E52" s="7" t="s">
        <x:v>24</x:v>
      </x:c>
      <x:c r="F52" s="8">
        <x:v>46005</x:v>
      </x:c>
      <x:c r="G52" s="7" t="s">
        <x:v>18</x:v>
      </x:c>
      <x:c r="H52" s="7" t="s">
        <x:v>222</x:v>
      </x:c>
      <x:c r="I52" s="8">
        <x:v>46147</x:v>
      </x:c>
      <x:c r="J52" s="7">
        <x:v>6</x:v>
      </x:c>
      <x:c r="K52" s="9">
        <x:v>942.34</x:v>
      </x:c>
    </x:row>
    <x:row r="53" ht="20.100000381469727" customHeight="1">
      <x:c r="A53" s="7" t="s">
        <x:v>223</x:v>
      </x:c>
      <x:c r="B53" s="7" t="s">
        <x:v>224</x:v>
      </x:c>
      <x:c r="C53" s="7" t="s">
        <x:v>225</x:v>
      </x:c>
      <x:c r="D53" s="7" t="s">
        <x:v>226</x:v>
      </x:c>
      <x:c r="E53" s="7" t="s">
        <x:v>41</x:v>
      </x:c>
      <x:c r="F53" s="8">
        <x:v>45830</x:v>
      </x:c>
      <x:c r="G53" s="7" t="s">
        <x:v>18</x:v>
      </x:c>
      <x:c r="H53" s="7" t="s">
        <x:v>25</x:v>
      </x:c>
      <x:c r="I53" s="8">
        <x:v>45911</x:v>
      </x:c>
      <x:c r="J53" s="7">
        <x:v>16</x:v>
      </x:c>
      <x:c r="K53" s="9">
        <x:v>807.75</x:v>
      </x:c>
    </x:row>
    <x:row r="54" ht="20.100000381469727" customHeight="1">
      <x:c r="A54" s="7" t="s">
        <x:v>227</x:v>
      </x:c>
      <x:c r="B54" s="7" t="s">
        <x:v>228</x:v>
      </x:c>
      <x:c r="C54" s="7" t="s">
        <x:v>229</x:v>
      </x:c>
      <x:c r="D54" s="7" t="s">
        <x:v>230</x:v>
      </x:c>
      <x:c r="E54" s="7" t="s">
        <x:v>72</x:v>
      </x:c>
      <x:c r="F54" s="8">
        <x:v>46001</x:v>
      </x:c>
      <x:c r="G54" s="7" t="s">
        <x:v>67</x:v>
      </x:c>
      <x:c r="H54" s="7" t="s">
        <x:v>19</x:v>
      </x:c>
      <x:c r="I54" s="8">
        <x:v>46055</x:v>
      </x:c>
      <x:c r="J54" s="7">
        <x:v>13</x:v>
      </x:c>
      <x:c r="K54" s="9">
        <x:v>1679.08</x:v>
      </x:c>
    </x:row>
    <x:row r="55" ht="20.100000381469727" customHeight="1">
      <x:c r="A55" s="7" t="s">
        <x:v>231</x:v>
      </x:c>
      <x:c r="B55" s="7" t="s">
        <x:v>232</x:v>
      </x:c>
      <x:c r="C55" s="7" t="s">
        <x:v>233</x:v>
      </x:c>
      <x:c r="D55" s="7" t="s">
        <x:v>234</x:v>
      </x:c>
      <x:c r="E55" s="7" t="s">
        <x:v>41</x:v>
      </x:c>
      <x:c r="F55" s="8">
        <x:v>45940</x:v>
      </x:c>
      <x:c r="G55" s="7" t="s">
        <x:v>235</x:v>
      </x:c>
      <x:c r="H55" s="7" t="s">
        <x:v>25</x:v>
      </x:c>
      <x:c r="I55" s="8">
        <x:v>45945</x:v>
      </x:c>
      <x:c r="J55" s="7">
        <x:v>9</x:v>
      </x:c>
      <x:c r="K55" s="9">
        <x:v>752.94</x:v>
      </x:c>
    </x:row>
    <x:row r="56" ht="20.100000381469727" customHeight="1">
      <x:c r="A56" s="7" t="s">
        <x:v>74</x:v>
      </x:c>
      <x:c r="B56" s="7" t="s">
        <x:v>236</x:v>
      </x:c>
      <x:c r="C56" s="7" t="s">
        <x:v>76</x:v>
      </x:c>
      <x:c r="D56" s="7" t="s">
        <x:v>77</x:v>
      </x:c>
      <x:c r="E56" s="7" t="s">
        <x:v>24</x:v>
      </x:c>
      <x:c r="F56" s="8">
        <x:v>45851</x:v>
      </x:c>
      <x:c r="G56" s="7" t="s">
        <x:v>67</x:v>
      </x:c>
      <x:c r="H56" s="7" t="s">
        <x:v>54</x:v>
      </x:c>
      <x:c r="I56" s="8">
        <x:v>45991</x:v>
      </x:c>
      <x:c r="J56" s="7">
        <x:v>9</x:v>
      </x:c>
      <x:c r="K56" s="9">
        <x:v>2429.14</x:v>
      </x:c>
    </x:row>
    <x:row r="57" ht="20.100000381469727" customHeight="1">
      <x:c r="A57" s="7" t="s">
        <x:v>237</x:v>
      </x:c>
      <x:c r="B57" s="7" t="s">
        <x:v>238</x:v>
      </x:c>
      <x:c r="C57" s="7" t="s">
        <x:v>239</x:v>
      </x:c>
      <x:c r="D57" s="7" t="s">
        <x:v>240</x:v>
      </x:c>
      <x:c r="E57" s="7" t="s">
        <x:v>36</x:v>
      </x:c>
      <x:c r="F57" s="8">
        <x:v>45922</x:v>
      </x:c>
      <x:c r="G57" s="7" t="s">
        <x:v>67</x:v>
      </x:c>
      <x:c r="H57" s="7" t="s">
        <x:v>25</x:v>
      </x:c>
      <x:c r="I57" s="8">
        <x:v>46012</x:v>
      </x:c>
      <x:c r="J57" s="7">
        <x:v>2</x:v>
      </x:c>
      <x:c r="K57" s="9">
        <x:v>2055.14</x:v>
      </x:c>
    </x:row>
    <x:row r="58" ht="20.100000381469727" customHeight="1">
      <x:c r="A58" s="7" t="s">
        <x:v>241</x:v>
      </x:c>
      <x:c r="B58" s="7" t="s">
        <x:v>242</x:v>
      </x:c>
      <x:c r="C58" s="7" t="s">
        <x:v>243</x:v>
      </x:c>
      <x:c r="D58" s="7" t="s">
        <x:v>244</x:v>
      </x:c>
      <x:c r="E58" s="7" t="s">
        <x:v>30</x:v>
      </x:c>
      <x:c r="F58" s="8">
        <x:v>45752</x:v>
      </x:c>
      <x:c r="G58" s="7" t="s">
        <x:v>18</x:v>
      </x:c>
      <x:c r="H58" s="7" t="s">
        <x:v>19</x:v>
      </x:c>
      <x:c r="I58" s="8">
        <x:v>45819</x:v>
      </x:c>
      <x:c r="J58" s="7">
        <x:v>15</x:v>
      </x:c>
      <x:c r="K58" s="9">
        <x:v>1547.62</x:v>
      </x:c>
    </x:row>
    <x:row r="59" ht="20.100000381469727" customHeight="1">
      <x:c r="A59" s="7" t="s">
        <x:v>245</x:v>
      </x:c>
      <x:c r="B59" s="7" t="s">
        <x:v>246</x:v>
      </x:c>
      <x:c r="C59" s="7" t="s">
        <x:v>247</x:v>
      </x:c>
      <x:c r="D59" s="7" t="s">
        <x:v>248</x:v>
      </x:c>
      <x:c r="E59" s="7" t="s">
        <x:v>72</x:v>
      </x:c>
      <x:c r="F59" s="8">
        <x:v>45980</x:v>
      </x:c>
      <x:c r="G59" s="7" t="s">
        <x:v>18</x:v>
      </x:c>
      <x:c r="H59" s="7" t="s">
        <x:v>25</x:v>
      </x:c>
      <x:c r="I59" s="8">
        <x:v>46083</x:v>
      </x:c>
      <x:c r="J59" s="7">
        <x:v>15</x:v>
      </x:c>
      <x:c r="K59" s="9">
        <x:v>1029.1500000000001</x:v>
      </x:c>
    </x:row>
    <x:row r="60" ht="20.100000381469727" customHeight="1">
      <x:c r="A60" s="7" t="s">
        <x:v>137</x:v>
      </x:c>
      <x:c r="B60" s="7" t="s">
        <x:v>249</x:v>
      </x:c>
      <x:c r="C60" s="7" t="s">
        <x:v>118</x:v>
      </x:c>
      <x:c r="D60" s="7" t="s">
        <x:v>138</x:v>
      </x:c>
      <x:c r="E60" s="7" t="s">
        <x:v>72</x:v>
      </x:c>
      <x:c r="F60" s="8">
        <x:v>45663</x:v>
      </x:c>
      <x:c r="G60" s="7" t="s">
        <x:v>31</x:v>
      </x:c>
      <x:c r="H60" s="7" t="s">
        <x:v>19</x:v>
      </x:c>
      <x:c r="I60" s="8">
        <x:v>45767</x:v>
      </x:c>
      <x:c r="J60" s="7">
        <x:v>8</x:v>
      </x:c>
      <x:c r="K60" s="9">
        <x:v>2319.9699999999998</x:v>
      </x:c>
    </x:row>
    <x:row r="61" ht="20.100000381469727" customHeight="1">
      <x:c r="A61" s="7" t="s">
        <x:v>250</x:v>
      </x:c>
      <x:c r="B61" s="7" t="s">
        <x:v>251</x:v>
      </x:c>
      <x:c r="C61" s="7" t="s">
        <x:v>252</x:v>
      </x:c>
      <x:c r="D61" s="7" t="s">
        <x:v>253</x:v>
      </x:c>
      <x:c r="E61" s="7" t="s">
        <x:v>72</x:v>
      </x:c>
      <x:c r="F61" s="8">
        <x:v>45742</x:v>
      </x:c>
      <x:c r="G61" s="7" t="s">
        <x:v>31</x:v>
      </x:c>
      <x:c r="H61" s="7" t="s">
        <x:v>25</x:v>
      </x:c>
      <x:c r="I61" s="8">
        <x:v>45882</x:v>
      </x:c>
      <x:c r="J61" s="7">
        <x:v>17</x:v>
      </x:c>
      <x:c r="K61" s="9">
        <x:v>1508.86</x:v>
      </x:c>
    </x:row>
    <x:row r="62" ht="20.100000381469727" customHeight="1">
      <x:c r="A62" s="7" t="s">
        <x:v>254</x:v>
      </x:c>
      <x:c r="B62" s="7" t="s">
        <x:v>255</x:v>
      </x:c>
      <x:c r="C62" s="7" t="s">
        <x:v>256</x:v>
      </x:c>
      <x:c r="D62" s="7" t="s">
        <x:v>257</x:v>
      </x:c>
      <x:c r="E62" s="7" t="s">
        <x:v>17</x:v>
      </x:c>
      <x:c r="F62" s="8">
        <x:v>45914</x:v>
      </x:c>
      <x:c r="G62" s="7" t="s">
        <x:v>67</x:v>
      </x:c>
      <x:c r="H62" s="7" t="s">
        <x:v>54</x:v>
      </x:c>
      <x:c r="I62" s="8">
        <x:v>45959</x:v>
      </x:c>
      <x:c r="J62" s="7">
        <x:v>15</x:v>
      </x:c>
      <x:c r="K62" s="9">
        <x:v>1152.67</x:v>
      </x:c>
    </x:row>
    <x:row r="63" ht="20.100000381469727" customHeight="1">
      <x:c r="A63" s="10" t="s">
        <x:v>258</x:v>
      </x:c>
      <x:c r="B63" s="10" t="s">
        <x:v>259</x:v>
      </x:c>
      <x:c r="C63" s="10" t="s">
        <x:v>260</x:v>
      </x:c>
      <x:c r="D63" s="10" t="s">
        <x:v>261</x:v>
      </x:c>
      <x:c r="E63" s="10" t="s">
        <x:v>41</x:v>
      </x:c>
      <x:c r="F63" s="11">
        <x:v>45890</x:v>
      </x:c>
      <x:c r="G63" s="10" t="s">
        <x:v>18</x:v>
      </x:c>
      <x:c r="H63" s="10" t="s">
        <x:v>54</x:v>
      </x:c>
      <x:c r="I63" s="11">
        <x:v>46007</x:v>
      </x:c>
      <x:c r="J63" s="10">
        <x:v>2</x:v>
      </x:c>
      <x:c r="K63" s="12">
        <x:v>1798.18</x:v>
      </x:c>
    </x:row>
  </x:sheetData>
  <x:mergeCells>
    <x:mergeCell ref="A2:K2"/>
    <x:mergeCell ref="A1:K1"/>
  </x:mergeCells>
  <x:conditionalFormatting sqref="C4:C63">
    <x:cfRule type="expression" dxfId="13" priority="1">
      <x:formula>C4=""</x:formula>
    </x:cfRule>
  </x:conditionalFormatting>
  <x:conditionalFormatting sqref="D4:D63">
    <x:cfRule type="expression" dxfId="12" priority="2">
      <x:formula>D4=""</x:formula>
    </x:cfRule>
  </x:conditionalFormatting>
  <x:conditionalFormatting sqref="F4:F63">
    <x:cfRule type="expression" dxfId="11" priority="3">
      <x:formula>F4=""</x:formula>
    </x:cfRule>
  </x:conditionalFormatting>
  <x:conditionalFormatting sqref="G4:G63">
    <x:cfRule type="expression" dxfId="10" priority="4">
      <x:formula>G4=""</x:formula>
    </x:cfRule>
  </x:conditionalFormatting>
  <x:conditionalFormatting sqref="H4:H63">
    <x:cfRule type="expression" dxfId="9" priority="5">
      <x:formula>H4=""</x:formula>
    </x:cfRule>
  </x:conditionalFormatting>
  <x:conditionalFormatting sqref="J4:J63">
    <x:cfRule type="expression" dxfId="8" priority="6">
      <x:formula>J4=""</x:formula>
    </x:cfRule>
  </x:conditionalFormatting>
  <x:conditionalFormatting sqref="K4:K63">
    <x:cfRule type="expression" dxfId="7" priority="7">
      <x:formula>K4=""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4" width="29" customWidth="1"/>
    <x:col min="5" max="8" width="22" customWidth="1"/>
  </x:cols>
  <x:sheetData>
    <x:row r="1" ht="36" customHeight="1">
      <x:c r="A1" s="30" t="s">
        <x:v>262</x:v>
      </x:c>
      <x:c r="B1" s="31"/>
      <x:c r="C1" s="32"/>
      <x:c r="D1" s="32"/>
      <x:c r="E1" s="31"/>
      <x:c r="F1" s="32"/>
      <x:c r="G1" s="32"/>
      <x:c r="H1" s="31"/>
    </x:row>
    <x:row r="2" ht="26.100000381469727" customHeight="1">
      <x:c r="A2" s="33" t="s">
        <x:v>263</x:v>
      </x:c>
      <x:c r="B2" s="32"/>
      <x:c r="C2" s="32"/>
      <x:c r="D2" s="32"/>
      <x:c r="E2" s="32"/>
      <x:c r="F2" s="32"/>
      <x:c r="G2" s="32"/>
      <x:c r="H2" s="32"/>
    </x:row>
    <x:row r="4" ht="32.099998474121094" customHeight="1">
      <x:c r="A4" s="66" t="s">
        <x:v>264</x:v>
      </x:c>
      <x:c r="B4" s="66" t="s">
        <x:v>265</x:v>
      </x:c>
      <x:c r="D4" s="66" t="s">
        <x:v>266</x:v>
      </x:c>
      <x:c r="E4" s="66" t="s">
        <x:v>267</x:v>
      </x:c>
      <x:c r="G4" s="66" t="s">
        <x:v>268</x:v>
      </x:c>
      <x:c r="H4" s="66" t="s">
        <x:v>269</x:v>
      </x:c>
    </x:row>
    <x:row r="5">
      <x:c r="A5" s="2" t="s">
        <x:v>270</x:v>
      </x:c>
      <x:c r="B5" s="2" t="s">
        <x:v>18</x:v>
      </x:c>
      <x:c r="D5" s="2" t="s">
        <x:v>91</x:v>
      </x:c>
      <x:c r="E5" s="2" t="s">
        <x:v>19</x:v>
      </x:c>
      <x:c r="G5" s="2" t="s">
        <x:v>132</x:v>
      </x:c>
      <x:c r="H5" s="2" t="s">
        <x:v>17</x:v>
      </x:c>
    </x:row>
    <x:row r="6">
      <x:c r="A6" s="2" t="s">
        <x:v>271</x:v>
      </x:c>
      <x:c r="B6" s="2" t="s">
        <x:v>31</x:v>
      </x:c>
      <x:c r="D6" s="2" t="s">
        <x:v>272</x:v>
      </x:c>
      <x:c r="E6" s="2" t="s">
        <x:v>54</x:v>
      </x:c>
      <x:c r="G6" s="2" t="s">
        <x:v>273</x:v>
      </x:c>
      <x:c r="H6" s="2" t="s">
        <x:v>24</x:v>
      </x:c>
    </x:row>
    <x:row r="7">
      <x:c r="A7" s="2" t="s">
        <x:v>67</x:v>
      </x:c>
      <x:c r="B7" s="2" t="s">
        <x:v>67</x:v>
      </x:c>
      <x:c r="D7" s="2" t="s">
        <x:v>274</x:v>
      </x:c>
      <x:c r="E7" s="2" t="s">
        <x:v>25</x:v>
      </x:c>
      <x:c r="G7" s="2" t="s">
        <x:v>275</x:v>
      </x:c>
      <x:c r="H7" s="2" t="s">
        <x:v>30</x:v>
      </x:c>
    </x:row>
    <x:row r="8">
      <x:c r="G8" s="2" t="s">
        <x:v>276</x:v>
      </x:c>
      <x:c r="H8" s="2" t="s">
        <x:v>36</x:v>
      </x:c>
    </x:row>
    <x:row r="9">
      <x:c r="G9" s="2" t="s">
        <x:v>277</x:v>
      </x:c>
      <x:c r="H9" s="2" t="s">
        <x:v>41</x:v>
      </x:c>
    </x:row>
    <x:row r="10">
      <x:c r="G10" s="2" t="s">
        <x:v>278</x:v>
      </x:c>
      <x:c r="H10" s="2" t="s">
        <x:v>72</x:v>
      </x:c>
    </x:row>
    <x:row r="13">
      <x:c r="A13" s="66" t="s">
        <x:v>279</x:v>
      </x:c>
      <x:c r="B13" s="66" t="s">
        <x:v>280</x:v>
      </x:c>
      <x:c r="C13" s="66" t="s">
        <x:v>281</x:v>
      </x:c>
      <x:c r="D13" s="66" t="s">
        <x:v>282</x:v>
      </x:c>
    </x:row>
    <x:row r="14">
      <x:c r="A14" s="2" t="s">
        <x:v>283</x:v>
      </x:c>
      <x:c r="B14" s="2" t="s">
        <x:v>284</x:v>
      </x:c>
      <x:c r="C14" s="2" t="s">
        <x:v>285</x:v>
      </x:c>
      <x:c r="D14" s="2" t="s">
        <x:v>286</x:v>
      </x:c>
    </x:row>
    <x:row r="15" ht="30">
      <x:c r="A15" s="2" t="s">
        <x:v>287</x:v>
      </x:c>
      <x:c r="B15" s="2" t="s">
        <x:v>288</x:v>
      </x:c>
      <x:c r="C15" s="2" t="s">
        <x:v>289</x:v>
      </x:c>
      <x:c r="D15" s="2" t="s">
        <x:v>290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5" customWidth="1"/>
    <x:col min="3" max="3" width="12" customWidth="1"/>
    <x:col min="4" max="4" width="23" customWidth="1"/>
    <x:col min="5" max="5" width="31" customWidth="1"/>
    <x:col min="6" max="6" width="19" customWidth="1"/>
    <x:col min="7" max="7" width="18" customWidth="1"/>
    <x:col min="8" max="8" width="15" customWidth="1"/>
    <x:col min="9" max="10" width="15" style="1" customWidth="1"/>
    <x:col min="11" max="11" width="15" customWidth="1"/>
    <x:col min="12" max="12" width="13" customWidth="1"/>
    <x:col min="13" max="13" width="18" customWidth="1"/>
    <x:col min="14" max="20" width="20" style="1" customWidth="1"/>
    <x:col min="21" max="22" width="13" customWidth="1"/>
    <x:col min="23" max="23" width="23" style="1" customWidth="1"/>
    <x:col min="24" max="24" width="16" style="1" customWidth="1"/>
    <x:col min="25" max="25" width="43" customWidth="1"/>
  </x:cols>
  <x:sheetData>
    <x:row r="1" s="60" customFormat="1" ht="36" customHeight="1">
      <x:c r="A1" s="61" t="s">
        <x:v>291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</x:row>
    <x:row r="2" s="60" customFormat="1" ht="26.100000381469727" customHeight="1">
      <x:c r="A2" s="58" t="s">
        <x:v>292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s="1" customFormat="1" ht="44.099998474121094" customHeight="1">
      <x:c r="A3" s="55" t="s">
        <x:v>293</x:v>
      </x:c>
      <x:c r="B3" s="56" t="s">
        <x:v>2</x:v>
      </x:c>
      <x:c r="C3" s="56" t="s">
        <x:v>294</x:v>
      </x:c>
      <x:c r="D3" s="56" t="s">
        <x:v>3</x:v>
      </x:c>
      <x:c r="E3" s="56" t="s">
        <x:v>4</x:v>
      </x:c>
      <x:c r="F3" s="56" t="s">
        <x:v>5</x:v>
      </x:c>
      <x:c r="G3" s="56" t="s">
        <x:v>6</x:v>
      </x:c>
      <x:c r="H3" s="56" t="s">
        <x:v>7</x:v>
      </x:c>
      <x:c r="I3" s="56" t="s">
        <x:v>8</x:v>
      </x:c>
      <x:c r="J3" s="56" t="s">
        <x:v>9</x:v>
      </x:c>
      <x:c r="K3" s="56" t="s">
        <x:v>10</x:v>
      </x:c>
      <x:c r="L3" s="56" t="s">
        <x:v>11</x:v>
      </x:c>
      <x:c r="M3" s="56" t="s">
        <x:v>12</x:v>
      </x:c>
      <x:c r="N3" s="56" t="s">
        <x:v>295</x:v>
      </x:c>
      <x:c r="O3" s="56" t="s">
        <x:v>296</x:v>
      </x:c>
      <x:c r="P3" s="56" t="s">
        <x:v>297</x:v>
      </x:c>
      <x:c r="Q3" s="56" t="s">
        <x:v>298</x:v>
      </x:c>
      <x:c r="R3" s="56" t="s">
        <x:v>299</x:v>
      </x:c>
      <x:c r="S3" s="56" t="s">
        <x:v>300</x:v>
      </x:c>
      <x:c r="T3" s="56" t="s">
        <x:v>301</x:v>
      </x:c>
      <x:c r="U3" s="56" t="s">
        <x:v>302</x:v>
      </x:c>
      <x:c r="V3" s="56" t="s">
        <x:v>303</x:v>
      </x:c>
      <x:c r="W3" s="56" t="s">
        <x:v>304</x:v>
      </x:c>
      <x:c r="X3" s="56" t="s">
        <x:v>305</x:v>
      </x:c>
      <x:c r="Y3" s="57" t="s">
        <x:v>306</x:v>
      </x:c>
    </x:row>
    <x:row r="4" ht="27.950000762939453" customHeight="1">
      <x:c r="A4" s="16" t="n">
        <x:f>ROW('Raw Data'!A4)</x:f>
        <x:v>4</x:v>
      </x:c>
      <x:c r="B4" s="16" t="str">
        <x:f>'Raw Data'!A4</x:f>
        <x:v>CUST-0001</x:v>
      </x:c>
      <x:c r="C4" s="16" t="n">
        <x:f t="shared" ref="C4:C35" si="0">COUNTIF($B$4:$B$63,B4)</x:f>
        <x:v>1</x:v>
      </x:c>
      <x:c r="D4" s="16" t="str">
        <x:f>PROPER(TRIM('Raw Data'!B4))</x:f>
        <x:v>Daniel Bennett</x:v>
      </x:c>
      <x:c r="E4" s="16" t="str">
        <x:f>TRIM('Raw Data'!C4)</x:f>
        <x:v>daniel.bennett@example.com</x:v>
      </x:c>
      <x:c r="F4" s="16" t="str">
        <x:f>TRIM('Raw Data'!D4)</x:f>
        <x:v>+1 202 555 1001</x:v>
      </x:c>
      <x:c r="G4" s="16" t="str">
        <x:f>IFERROR(VLOOKUP(UPPER(TRIM('Raw Data'!E4)),Mappings!$G$5:$H$10,2,FALSE),"Needs Review")</x:f>
        <x:v>Indonesia</x:v>
      </x:c>
      <x:c r="H4" s="18" t="n">
        <x:f>IF('Raw Data'!F4="","",IF(ISNUMBER('Raw Data'!F4),'Raw Data'!F4,IFERROR(DATEVALUE('Raw Data'!F4),"")))</x:f>
        <x:v>45785</x:v>
      </x:c>
      <x:c r="I4" s="62" t="str">
        <x:f>IFERROR(VLOOKUP(UPPER(TRIM('Raw Data'!G4)),Mappings!$A$5:$B$7,2,FALSE),"Needs Review")</x:f>
        <x:v>Retail</x:v>
      </x:c>
      <x:c r="J4" s="62" t="str">
        <x:f>IFERROR(VLOOKUP(UPPER(TRIM('Raw Data'!H4)),Mappings!$D$5:$E$7,2,FALSE),"Needs Review")</x:f>
        <x:v>Active</x:v>
      </x:c>
      <x:c r="K4" s="18" t="n">
        <x:f>IF('Raw Data'!I4="","",IF(ISNUMBER('Raw Data'!I4),'Raw Data'!I4,IFERROR(DATEVALUE('Raw Data'!I4),"")))</x:f>
        <x:v>45816</x:v>
      </x:c>
      <x:c r="L4" s="16" t="n">
        <x:f>IF(ISBLANK('Raw Data'!J4),"",'Raw Data'!J4)</x:f>
        <x:v>17</x:v>
      </x:c>
      <x:c r="M4" s="22" t="n">
        <x:f>IF(ISBLANK('Raw Data'!K4),"",'Raw Data'!K4)</x:f>
        <x:v>263</x:v>
      </x:c>
      <x:c r="N4" s="62" t="str">
        <x:f t="shared" ref="N4:N35" si="1">IF(E4="","Missing Email","OK")</x:f>
        <x:v>OK</x:v>
      </x:c>
      <x:c r="O4" s="62" t="str">
        <x:f t="shared" ref="O4:O35" si="2">IF(F4="","Missing Phone",IF(LEFT(F4,1)="+","OK","Invalid Phone"))</x:f>
        <x:v>OK</x:v>
      </x:c>
      <x:c r="P4" s="62" t="str">
        <x:f>IF(OR(AND('Raw Data'!F4&lt;&gt;"",H4=""),AND('Raw Data'!I4&lt;&gt;"",K4="")),"Invalid Date","OK")</x:f>
        <x:v>OK</x:v>
      </x:c>
      <x:c r="Q4" s="62" t="str">
        <x:f t="shared" ref="Q4:Q35" si="3">IF(I4="Needs Review","Invalid Segment","OK")</x:f>
        <x:v>OK</x:v>
      </x:c>
      <x:c r="R4" s="62" t="str">
        <x:f>IF(OR(ISBLANK('Raw Data'!J4),'Raw Data'!J4&lt;0),"Invalid Order Count","OK")</x:f>
        <x:v>OK</x:v>
      </x:c>
      <x:c r="S4" s="62" t="str">
        <x:f>IF(OR(ISBLANK('Raw Data'!K4),'Raw Data'!K4&lt;0),"Invalid Lifetime Value","OK")</x:f>
        <x:v>OK</x:v>
      </x:c>
      <x:c r="T4" s="62" t="str">
        <x:f t="shared" ref="T4:T35" si="4">IF(C4&gt;1,"Duplicate Customer ID","OK")</x:f>
        <x:v>OK</x:v>
      </x:c>
      <x:c r="U4" s="16" t="n">
        <x:f>IF(AND(C4&gt;1,COUNTIF($B$4:B4,B4)=1),1,0)</x:f>
        <x:v>0</x:v>
      </x:c>
      <x:c r="V4" s="16" t="n">
        <x:f t="shared" ref="V4:V35" si="5">IF(N4&lt;&gt;"OK",1,0)+IF(O4&lt;&gt;"OK",1,0)+IF(P4&lt;&gt;"OK",1,0)+IF(Q4&lt;&gt;"OK",1,0)+IF(R4&lt;&gt;"OK",1,0)+IF(S4&lt;&gt;"OK",1,0)+IF(T4&lt;&gt;"OK",1,0)</x:f>
        <x:v>0</x:v>
      </x:c>
      <x:c r="W4" s="62" t="str">
        <x:f t="shared" ref="W4:W35" si="6">IF(N4&lt;&gt;"OK",N4,IF(O4&lt;&gt;"OK",O4,IF(P4&lt;&gt;"OK",P4,IF(Q4&lt;&gt;"OK",Q4,IF(R4&lt;&gt;"OK",R4,IF(S4&lt;&gt;"OK",S4,IF(T4&lt;&gt;"OK",T4,"Ready")))))))</x:f>
        <x:v>Ready</x:v>
      </x:c>
      <x:c r="X4" s="62" t="str">
        <x:f t="shared" ref="X4:X35" si="7">IF(V4=0,"Ready","Needs Review")</x:f>
        <x:v>Ready</x:v>
      </x:c>
      <x:c r="Y4" s="16" t="str">
        <x:f t="shared" ref="Y4:Y35" si="8">IF(X4="Ready","Record ready for administrative reporting",IF(W4="Duplicate Customer ID","Compare duplicate rows and confirm the valid source record",IF(W4="Invalid Segment","Request segment confirmation in writing",IF(OR(W4="Invalid Order Count",W4="Invalid Lifetime Value"),"Verify numeric value against the source record","Request missing or corrected customer information"))))</x:f>
        <x:v>Record ready for administrative reporting</x:v>
      </x:c>
    </x:row>
    <x:row r="5" ht="27.950000762939453" customHeight="1">
      <x:c r="A5" s="14" t="n">
        <x:f>ROW('Raw Data'!A5)</x:f>
        <x:v>5</x:v>
      </x:c>
      <x:c r="B5" s="14" t="str">
        <x:f>'Raw Data'!A5</x:f>
        <x:v>CUST-0002</x:v>
      </x:c>
      <x:c r="C5" s="14">
        <x:f t="shared" si="0"/>
        <x:v>1</x:v>
      </x:c>
      <x:c r="D5" s="14" t="str">
        <x:f>PROPER(TRIM('Raw Data'!B5))</x:f>
        <x:v>Liam Carter</x:v>
      </x:c>
      <x:c r="E5" s="14" t="str">
        <x:f>TRIM('Raw Data'!C5)</x:f>
        <x:v>liam.carter@example.com</x:v>
      </x:c>
      <x:c r="F5" s="14" t="str">
        <x:f>TRIM('Raw Data'!D5)</x:f>
        <x:v>+1 202 555 1002</x:v>
      </x:c>
      <x:c r="G5" s="14" t="str">
        <x:f>IFERROR(VLOOKUP(UPPER(TRIM('Raw Data'!E5)),Mappings!$G$5:$H$10,2,FALSE),"Needs Review")</x:f>
        <x:v>United States</x:v>
      </x:c>
      <x:c r="H5" s="19" t="n">
        <x:f>IF('Raw Data'!F5="","",IF(ISNUMBER('Raw Data'!F5),'Raw Data'!F5,IFERROR(DATEVALUE('Raw Data'!F5),"")))</x:f>
        <x:v>45695</x:v>
      </x:c>
      <x:c r="I5" s="63" t="str">
        <x:f>IFERROR(VLOOKUP(UPPER(TRIM('Raw Data'!G5)),Mappings!$A$5:$B$7,2,FALSE),"Needs Review")</x:f>
        <x:v>Retail</x:v>
      </x:c>
      <x:c r="J5" s="63" t="str">
        <x:f>IFERROR(VLOOKUP(UPPER(TRIM('Raw Data'!H5)),Mappings!$D$5:$E$7,2,FALSE),"Needs Review")</x:f>
        <x:v>Prospect</x:v>
      </x:c>
      <x:c r="K5" s="19" t="n">
        <x:f>IF('Raw Data'!I5="","",IF(ISNUMBER('Raw Data'!I5),'Raw Data'!I5,IFERROR(DATEVALUE('Raw Data'!I5),"")))</x:f>
        <x:v>45854</x:v>
      </x:c>
      <x:c r="L5" s="14" t="n">
        <x:f>IF(ISBLANK('Raw Data'!J5),"",'Raw Data'!J5)</x:f>
        <x:v>0</x:v>
      </x:c>
      <x:c r="M5" s="23" t="n">
        <x:f>IF(ISBLANK('Raw Data'!K5),"",'Raw Data'!K5)</x:f>
        <x:v>1425.05</x:v>
      </x:c>
      <x:c r="N5" s="63" t="str">
        <x:f t="shared" si="1"/>
        <x:v>OK</x:v>
      </x:c>
      <x:c r="O5" s="63" t="str">
        <x:f t="shared" si="2"/>
        <x:v>OK</x:v>
      </x:c>
      <x:c r="P5" s="63" t="str">
        <x:f>IF(OR(AND('Raw Data'!F5&lt;&gt;"",H5=""),AND('Raw Data'!I5&lt;&gt;"",K5="")),"Invalid Date","OK")</x:f>
        <x:v>OK</x:v>
      </x:c>
      <x:c r="Q5" s="63" t="str">
        <x:f t="shared" si="3"/>
        <x:v>OK</x:v>
      </x:c>
      <x:c r="R5" s="63" t="str">
        <x:f>IF(OR(ISBLANK('Raw Data'!J5),'Raw Data'!J5&lt;0),"Invalid Order Count","OK")</x:f>
        <x:v>OK</x:v>
      </x:c>
      <x:c r="S5" s="63" t="str">
        <x:f>IF(OR(ISBLANK('Raw Data'!K5),'Raw Data'!K5&lt;0),"Invalid Lifetime Value","OK")</x:f>
        <x:v>OK</x:v>
      </x:c>
      <x:c r="T5" s="63" t="str">
        <x:f t="shared" si="4"/>
        <x:v>OK</x:v>
      </x:c>
      <x:c r="U5" s="14" t="n">
        <x:f>IF(AND(C5&gt;1,COUNTIF($B$4:B5,B5)=1),1,0)</x:f>
        <x:v>0</x:v>
      </x:c>
      <x:c r="V5" s="14">
        <x:f t="shared" si="5"/>
        <x:v>0</x:v>
      </x:c>
      <x:c r="W5" s="63" t="str">
        <x:f t="shared" si="6"/>
        <x:v>Ready</x:v>
      </x:c>
      <x:c r="X5" s="63" t="str">
        <x:f t="shared" si="7"/>
        <x:v>Ready</x:v>
      </x:c>
      <x:c r="Y5" s="14" t="str">
        <x:f t="shared" si="8"/>
        <x:v>Record ready for administrative reporting</x:v>
      </x:c>
    </x:row>
    <x:row r="6" ht="27.950000762939453" customHeight="1">
      <x:c r="A6" s="17" t="n">
        <x:f>ROW('Raw Data'!A6)</x:f>
        <x:v>6</x:v>
      </x:c>
      <x:c r="B6" s="17" t="str">
        <x:f>'Raw Data'!A6</x:f>
        <x:v>CUST-0003</x:v>
      </x:c>
      <x:c r="C6" s="17">
        <x:f t="shared" si="0"/>
        <x:v>1</x:v>
      </x:c>
      <x:c r="D6" s="17" t="str">
        <x:f>PROPER(TRIM('Raw Data'!B6))</x:f>
        <x:v>Leo Bailey</x:v>
      </x:c>
      <x:c r="E6" s="17" t="str">
        <x:f>TRIM('Raw Data'!C6)</x:f>
        <x:v>leo.bailey@example.com</x:v>
      </x:c>
      <x:c r="F6" s="17" t="str">
        <x:f>TRIM('Raw Data'!D6)</x:f>
        <x:v>+1 202 555 1003</x:v>
      </x:c>
      <x:c r="G6" s="17" t="str">
        <x:f>IFERROR(VLOOKUP(UPPER(TRIM('Raw Data'!E6)),Mappings!$G$5:$H$10,2,FALSE),"Needs Review")</x:f>
        <x:v>Canada</x:v>
      </x:c>
      <x:c r="H6" s="20" t="n">
        <x:f>IF('Raw Data'!F6="","",IF(ISNUMBER('Raw Data'!F6),'Raw Data'!F6,IFERROR(DATEVALUE('Raw Data'!F6),"")))</x:f>
        <x:v>45888</x:v>
      </x:c>
      <x:c r="I6" s="64" t="str">
        <x:f>IFERROR(VLOOKUP(UPPER(TRIM('Raw Data'!G6)),Mappings!$A$5:$B$7,2,FALSE),"Needs Review")</x:f>
        <x:v>Business</x:v>
      </x:c>
      <x:c r="J6" s="64" t="str">
        <x:f>IFERROR(VLOOKUP(UPPER(TRIM('Raw Data'!H6)),Mappings!$D$5:$E$7,2,FALSE),"Needs Review")</x:f>
        <x:v>Active</x:v>
      </x:c>
      <x:c r="K6" s="20" t="n">
        <x:f>IF('Raw Data'!I6="","",IF(ISNUMBER('Raw Data'!I6),'Raw Data'!I6,IFERROR(DATEVALUE('Raw Data'!I6),"")))</x:f>
        <x:v>45933</x:v>
      </x:c>
      <x:c r="L6" s="17" t="n">
        <x:f>IF(ISBLANK('Raw Data'!J6),"",'Raw Data'!J6)</x:f>
        <x:v>13</x:v>
      </x:c>
      <x:c r="M6" s="24" t="n">
        <x:f>IF(ISBLANK('Raw Data'!K6),"",'Raw Data'!K6)</x:f>
        <x:v>883.61</x:v>
      </x:c>
      <x:c r="N6" s="64" t="str">
        <x:f t="shared" si="1"/>
        <x:v>OK</x:v>
      </x:c>
      <x:c r="O6" s="64" t="str">
        <x:f t="shared" si="2"/>
        <x:v>OK</x:v>
      </x:c>
      <x:c r="P6" s="64" t="str">
        <x:f>IF(OR(AND('Raw Data'!F6&lt;&gt;"",H6=""),AND('Raw Data'!I6&lt;&gt;"",K6="")),"Invalid Date","OK")</x:f>
        <x:v>OK</x:v>
      </x:c>
      <x:c r="Q6" s="64" t="str">
        <x:f t="shared" si="3"/>
        <x:v>OK</x:v>
      </x:c>
      <x:c r="R6" s="64" t="str">
        <x:f>IF(OR(ISBLANK('Raw Data'!J6),'Raw Data'!J6&lt;0),"Invalid Order Count","OK")</x:f>
        <x:v>OK</x:v>
      </x:c>
      <x:c r="S6" s="64" t="str">
        <x:f>IF(OR(ISBLANK('Raw Data'!K6),'Raw Data'!K6&lt;0),"Invalid Lifetime Value","OK")</x:f>
        <x:v>OK</x:v>
      </x:c>
      <x:c r="T6" s="64" t="str">
        <x:f t="shared" si="4"/>
        <x:v>OK</x:v>
      </x:c>
      <x:c r="U6" s="17" t="n">
        <x:f>IF(AND(C6&gt;1,COUNTIF($B$4:B6,B6)=1),1,0)</x:f>
        <x:v>0</x:v>
      </x:c>
      <x:c r="V6" s="17">
        <x:f t="shared" si="5"/>
        <x:v>0</x:v>
      </x:c>
      <x:c r="W6" s="64" t="str">
        <x:f t="shared" si="6"/>
        <x:v>Ready</x:v>
      </x:c>
      <x:c r="X6" s="64" t="str">
        <x:f t="shared" si="7"/>
        <x:v>Ready</x:v>
      </x:c>
      <x:c r="Y6" s="17" t="str">
        <x:f t="shared" si="8"/>
        <x:v>Record ready for administrative reporting</x:v>
      </x:c>
    </x:row>
    <x:row r="7" ht="27.950000762939453" customHeight="1">
      <x:c r="A7" s="14" t="n">
        <x:f>ROW('Raw Data'!A7)</x:f>
        <x:v>7</x:v>
      </x:c>
      <x:c r="B7" s="14" t="str">
        <x:f>'Raw Data'!A7</x:f>
        <x:v>CUST-0004</x:v>
      </x:c>
      <x:c r="C7" s="14">
        <x:f t="shared" si="0"/>
        <x:v>1</x:v>
      </x:c>
      <x:c r="D7" s="14" t="str">
        <x:f>PROPER(TRIM('Raw Data'!B7))</x:f>
        <x:v>Maya Turner</x:v>
      </x:c>
      <x:c r="E7" s="14" t="str">
        <x:f>TRIM('Raw Data'!C7)</x:f>
        <x:v>maya.turner@example.com</x:v>
      </x:c>
      <x:c r="F7" s="14" t="str">
        <x:f>TRIM('Raw Data'!D7)</x:f>
        <x:v>+1 202 555 1004</x:v>
      </x:c>
      <x:c r="G7" s="14" t="str">
        <x:f>IFERROR(VLOOKUP(UPPER(TRIM('Raw Data'!E7)),Mappings!$G$5:$H$10,2,FALSE),"Needs Review")</x:f>
        <x:v>United Kingdom</x:v>
      </x:c>
      <x:c r="H7" s="19" t="n">
        <x:f>IF('Raw Data'!F7="","",IF(ISNUMBER('Raw Data'!F7),'Raw Data'!F7,IFERROR(DATEVALUE('Raw Data'!F7),"")))</x:f>
        <x:v>45691</x:v>
      </x:c>
      <x:c r="I7" s="63" t="str">
        <x:f>IFERROR(VLOOKUP(UPPER(TRIM('Raw Data'!G7)),Mappings!$A$5:$B$7,2,FALSE),"Needs Review")</x:f>
        <x:v>Business</x:v>
      </x:c>
      <x:c r="J7" s="63" t="str">
        <x:f>IFERROR(VLOOKUP(UPPER(TRIM('Raw Data'!H7)),Mappings!$D$5:$E$7,2,FALSE),"Needs Review")</x:f>
        <x:v>Active</x:v>
      </x:c>
      <x:c r="K7" s="19" t="n">
        <x:f>IF('Raw Data'!I7="","",IF(ISNUMBER('Raw Data'!I7),'Raw Data'!I7,IFERROR(DATEVALUE('Raw Data'!I7),"")))</x:f>
        <x:v>45787</x:v>
      </x:c>
      <x:c r="L7" s="14" t="n">
        <x:f>IF(ISBLANK('Raw Data'!J7),"",'Raw Data'!J7)</x:f>
        <x:v>11</x:v>
      </x:c>
      <x:c r="M7" s="23" t="n">
        <x:f>IF(ISBLANK('Raw Data'!K7),"",'Raw Data'!K7)</x:f>
        <x:v>1529.13</x:v>
      </x:c>
      <x:c r="N7" s="63" t="str">
        <x:f t="shared" si="1"/>
        <x:v>OK</x:v>
      </x:c>
      <x:c r="O7" s="63" t="str">
        <x:f t="shared" si="2"/>
        <x:v>OK</x:v>
      </x:c>
      <x:c r="P7" s="63" t="str">
        <x:f>IF(OR(AND('Raw Data'!F7&lt;&gt;"",H7=""),AND('Raw Data'!I7&lt;&gt;"",K7="")),"Invalid Date","OK")</x:f>
        <x:v>OK</x:v>
      </x:c>
      <x:c r="Q7" s="63" t="str">
        <x:f t="shared" si="3"/>
        <x:v>OK</x:v>
      </x:c>
      <x:c r="R7" s="63" t="str">
        <x:f>IF(OR(ISBLANK('Raw Data'!J7),'Raw Data'!J7&lt;0),"Invalid Order Count","OK")</x:f>
        <x:v>OK</x:v>
      </x:c>
      <x:c r="S7" s="63" t="str">
        <x:f>IF(OR(ISBLANK('Raw Data'!K7),'Raw Data'!K7&lt;0),"Invalid Lifetime Value","OK")</x:f>
        <x:v>OK</x:v>
      </x:c>
      <x:c r="T7" s="63" t="str">
        <x:f t="shared" si="4"/>
        <x:v>OK</x:v>
      </x:c>
      <x:c r="U7" s="14" t="n">
        <x:f>IF(AND(C7&gt;1,COUNTIF($B$4:B7,B7)=1),1,0)</x:f>
        <x:v>0</x:v>
      </x:c>
      <x:c r="V7" s="14">
        <x:f t="shared" si="5"/>
        <x:v>0</x:v>
      </x:c>
      <x:c r="W7" s="63" t="str">
        <x:f t="shared" si="6"/>
        <x:v>Ready</x:v>
      </x:c>
      <x:c r="X7" s="63" t="str">
        <x:f t="shared" si="7"/>
        <x:v>Ready</x:v>
      </x:c>
      <x:c r="Y7" s="14" t="str">
        <x:f t="shared" si="8"/>
        <x:v>Record ready for administrative reporting</x:v>
      </x:c>
    </x:row>
    <x:row r="8" ht="27.950000762939453" customHeight="1">
      <x:c r="A8" s="17" t="n">
        <x:f>ROW('Raw Data'!A8)</x:f>
        <x:v>8</x:v>
      </x:c>
      <x:c r="B8" s="17" t="str">
        <x:f>'Raw Data'!A8</x:f>
        <x:v>CUST-0005</x:v>
      </x:c>
      <x:c r="C8" s="17">
        <x:f t="shared" si="0"/>
        <x:v>1</x:v>
      </x:c>
      <x:c r="D8" s="17" t="str">
        <x:f>PROPER(TRIM('Raw Data'!B8))</x:f>
        <x:v>Marcus Murphy</x:v>
      </x:c>
      <x:c r="E8" s="17" t="str">
        <x:f>TRIM('Raw Data'!C8)</x:f>
        <x:v>marcus.murphy@example.com</x:v>
      </x:c>
      <x:c r="F8" s="17" t="str">
        <x:f>TRIM('Raw Data'!D8)</x:f>
        <x:v>+1 202 555 1005</x:v>
      </x:c>
      <x:c r="G8" s="17" t="str">
        <x:f>IFERROR(VLOOKUP(UPPER(TRIM('Raw Data'!E8)),Mappings!$G$5:$H$10,2,FALSE),"Needs Review")</x:f>
        <x:v>Singapore</x:v>
      </x:c>
      <x:c r="H8" s="20" t="n">
        <x:f>IF('Raw Data'!F8="","",IF(ISNUMBER('Raw Data'!F8),'Raw Data'!F8,IFERROR(DATEVALUE('Raw Data'!F8),"")))</x:f>
        <x:v>45701</x:v>
      </x:c>
      <x:c r="I8" s="64" t="str">
        <x:f>IFERROR(VLOOKUP(UPPER(TRIM('Raw Data'!G8)),Mappings!$A$5:$B$7,2,FALSE),"Needs Review")</x:f>
        <x:v>Retail</x:v>
      </x:c>
      <x:c r="J8" s="64" t="str">
        <x:f>IFERROR(VLOOKUP(UPPER(TRIM('Raw Data'!H8)),Mappings!$D$5:$E$7,2,FALSE),"Needs Review")</x:f>
        <x:v>Prospect</x:v>
      </x:c>
      <x:c r="K8" s="20" t="n">
        <x:f>IF('Raw Data'!I8="","",IF(ISNUMBER('Raw Data'!I8),'Raw Data'!I8,IFERROR(DATEVALUE('Raw Data'!I8),"")))</x:f>
        <x:v>45781</x:v>
      </x:c>
      <x:c r="L8" s="17" t="n">
        <x:f>IF(ISBLANK('Raw Data'!J8),"",'Raw Data'!J8)</x:f>
        <x:v>11</x:v>
      </x:c>
      <x:c r="M8" s="24" t="n">
        <x:f>IF(ISBLANK('Raw Data'!K8),"",'Raw Data'!K8)</x:f>
        <x:v>1464.51</x:v>
      </x:c>
      <x:c r="N8" s="64" t="str">
        <x:f t="shared" si="1"/>
        <x:v>OK</x:v>
      </x:c>
      <x:c r="O8" s="64" t="str">
        <x:f t="shared" si="2"/>
        <x:v>OK</x:v>
      </x:c>
      <x:c r="P8" s="64" t="str">
        <x:f>IF(OR(AND('Raw Data'!F8&lt;&gt;"",H8=""),AND('Raw Data'!I8&lt;&gt;"",K8="")),"Invalid Date","OK")</x:f>
        <x:v>OK</x:v>
      </x:c>
      <x:c r="Q8" s="64" t="str">
        <x:f t="shared" si="3"/>
        <x:v>OK</x:v>
      </x:c>
      <x:c r="R8" s="64" t="str">
        <x:f>IF(OR(ISBLANK('Raw Data'!J8),'Raw Data'!J8&lt;0),"Invalid Order Count","OK")</x:f>
        <x:v>OK</x:v>
      </x:c>
      <x:c r="S8" s="64" t="str">
        <x:f>IF(OR(ISBLANK('Raw Data'!K8),'Raw Data'!K8&lt;0),"Invalid Lifetime Value","OK")</x:f>
        <x:v>OK</x:v>
      </x:c>
      <x:c r="T8" s="64" t="str">
        <x:f t="shared" si="4"/>
        <x:v>OK</x:v>
      </x:c>
      <x:c r="U8" s="17" t="n">
        <x:f>IF(AND(C8&gt;1,COUNTIF($B$4:B8,B8)=1),1,0)</x:f>
        <x:v>0</x:v>
      </x:c>
      <x:c r="V8" s="17">
        <x:f t="shared" si="5"/>
        <x:v>0</x:v>
      </x:c>
      <x:c r="W8" s="64" t="str">
        <x:f t="shared" si="6"/>
        <x:v>Ready</x:v>
      </x:c>
      <x:c r="X8" s="64" t="str">
        <x:f t="shared" si="7"/>
        <x:v>Ready</x:v>
      </x:c>
      <x:c r="Y8" s="17" t="str">
        <x:f t="shared" si="8"/>
        <x:v>Record ready for administrative reporting</x:v>
      </x:c>
    </x:row>
    <x:row r="9" ht="27.950000762939453" customHeight="1">
      <x:c r="A9" s="14" t="n">
        <x:f>ROW('Raw Data'!A9)</x:f>
        <x:v>9</x:v>
      </x:c>
      <x:c r="B9" s="14" t="str">
        <x:f>'Raw Data'!A9</x:f>
        <x:v>CUST-0006</x:v>
      </x:c>
      <x:c r="C9" s="14">
        <x:f t="shared" si="0"/>
        <x:v>1</x:v>
      </x:c>
      <x:c r="D9" s="14" t="str">
        <x:f>PROPER(TRIM('Raw Data'!B9))</x:f>
        <x:v>Sofia Carter</x:v>
      </x:c>
      <x:c r="E9" s="14" t="str">
        <x:f>TRIM('Raw Data'!C9)</x:f>
      </x:c>
      <x:c r="F9" s="14" t="str">
        <x:f>TRIM('Raw Data'!D9)</x:f>
        <x:v>+1 202 555 1006</x:v>
      </x:c>
      <x:c r="G9" s="14" t="str">
        <x:f>IFERROR(VLOOKUP(UPPER(TRIM('Raw Data'!E9)),Mappings!$G$5:$H$10,2,FALSE),"Needs Review")</x:f>
        <x:v>Indonesia</x:v>
      </x:c>
      <x:c r="H9" s="19" t="n">
        <x:f>IF('Raw Data'!F9="","",IF(ISNUMBER('Raw Data'!F9),'Raw Data'!F9,IFERROR(DATEVALUE('Raw Data'!F9),"")))</x:f>
        <x:v>45772</x:v>
      </x:c>
      <x:c r="I9" s="63" t="str">
        <x:f>IFERROR(VLOOKUP(UPPER(TRIM('Raw Data'!G9)),Mappings!$A$5:$B$7,2,FALSE),"Needs Review")</x:f>
        <x:v>Business</x:v>
      </x:c>
      <x:c r="J9" s="63" t="str">
        <x:f>IFERROR(VLOOKUP(UPPER(TRIM('Raw Data'!H9)),Mappings!$D$5:$E$7,2,FALSE),"Needs Review")</x:f>
        <x:v>Active</x:v>
      </x:c>
      <x:c r="K9" s="19" t="n">
        <x:f>IF('Raw Data'!I9="","",IF(ISNUMBER('Raw Data'!I9),'Raw Data'!I9,IFERROR(DATEVALUE('Raw Data'!I9),"")))</x:f>
        <x:v>45836</x:v>
      </x:c>
      <x:c r="L9" s="14" t="n">
        <x:f>IF(ISBLANK('Raw Data'!J9),"",'Raw Data'!J9)</x:f>
        <x:v>3</x:v>
      </x:c>
      <x:c r="M9" s="23" t="n">
        <x:f>IF(ISBLANK('Raw Data'!K9),"",'Raw Data'!K9)</x:f>
        <x:v>981.31</x:v>
      </x:c>
      <x:c r="N9" s="63" t="str">
        <x:f t="shared" si="1"/>
        <x:v>Missing Email</x:v>
      </x:c>
      <x:c r="O9" s="63" t="str">
        <x:f t="shared" si="2"/>
        <x:v>OK</x:v>
      </x:c>
      <x:c r="P9" s="63" t="str">
        <x:f>IF(OR(AND('Raw Data'!F9&lt;&gt;"",H9=""),AND('Raw Data'!I9&lt;&gt;"",K9="")),"Invalid Date","OK")</x:f>
        <x:v>OK</x:v>
      </x:c>
      <x:c r="Q9" s="63" t="str">
        <x:f t="shared" si="3"/>
        <x:v>OK</x:v>
      </x:c>
      <x:c r="R9" s="63" t="str">
        <x:f>IF(OR(ISBLANK('Raw Data'!J9),'Raw Data'!J9&lt;0),"Invalid Order Count","OK")</x:f>
        <x:v>OK</x:v>
      </x:c>
      <x:c r="S9" s="63" t="str">
        <x:f>IF(OR(ISBLANK('Raw Data'!K9),'Raw Data'!K9&lt;0),"Invalid Lifetime Value","OK")</x:f>
        <x:v>OK</x:v>
      </x:c>
      <x:c r="T9" s="63" t="str">
        <x:f t="shared" si="4"/>
        <x:v>OK</x:v>
      </x:c>
      <x:c r="U9" s="14" t="n">
        <x:f>IF(AND(C9&gt;1,COUNTIF($B$4:B9,B9)=1),1,0)</x:f>
        <x:v>0</x:v>
      </x:c>
      <x:c r="V9" s="14">
        <x:f t="shared" si="5"/>
        <x:v>1</x:v>
      </x:c>
      <x:c r="W9" s="63" t="str">
        <x:f t="shared" si="6"/>
        <x:v>Missing Email</x:v>
      </x:c>
      <x:c r="X9" s="63" t="str">
        <x:f t="shared" si="7"/>
        <x:v>Needs Review</x:v>
      </x:c>
      <x:c r="Y9" s="14" t="str">
        <x:f t="shared" si="8"/>
        <x:v>Request missing or corrected customer information</x:v>
      </x:c>
    </x:row>
    <x:row r="10" ht="27.950000762939453" customHeight="1">
      <x:c r="A10" s="17" t="n">
        <x:f>ROW('Raw Data'!A10)</x:f>
        <x:v>10</x:v>
      </x:c>
      <x:c r="B10" s="17" t="str">
        <x:f>'Raw Data'!A10</x:f>
        <x:v>CUST-0007</x:v>
      </x:c>
      <x:c r="C10" s="17">
        <x:f t="shared" si="0"/>
        <x:v>1</x:v>
      </x:c>
      <x:c r="D10" s="17" t="str">
        <x:f>PROPER(TRIM('Raw Data'!B10))</x:f>
        <x:v>Chloe Ward</x:v>
      </x:c>
      <x:c r="E10" s="17" t="str">
        <x:f>TRIM('Raw Data'!C10)</x:f>
        <x:v>chloe.ward@example.com</x:v>
      </x:c>
      <x:c r="F10" s="17" t="str">
        <x:f>TRIM('Raw Data'!D10)</x:f>
        <x:v>+1 202 555 1007</x:v>
      </x:c>
      <x:c r="G10" s="17" t="str">
        <x:f>IFERROR(VLOOKUP(UPPER(TRIM('Raw Data'!E10)),Mappings!$G$5:$H$10,2,FALSE),"Needs Review")</x:f>
        <x:v>Canada</x:v>
      </x:c>
      <x:c r="H10" s="20" t="n">
        <x:f>IF('Raw Data'!F10="","",IF(ISNUMBER('Raw Data'!F10),'Raw Data'!F10,IFERROR(DATEVALUE('Raw Data'!F10),"")))</x:f>
        <x:v>45820</x:v>
      </x:c>
      <x:c r="I10" s="64" t="str">
        <x:f>IFERROR(VLOOKUP(UPPER(TRIM('Raw Data'!G10)),Mappings!$A$5:$B$7,2,FALSE),"Needs Review")</x:f>
        <x:v>Retail</x:v>
      </x:c>
      <x:c r="J10" s="64" t="str">
        <x:f>IFERROR(VLOOKUP(UPPER(TRIM('Raw Data'!H10)),Mappings!$D$5:$E$7,2,FALSE),"Needs Review")</x:f>
        <x:v>Prospect</x:v>
      </x:c>
      <x:c r="K10" s="20" t="n">
        <x:f>IF('Raw Data'!I10="","",IF(ISNUMBER('Raw Data'!I10),'Raw Data'!I10,IFERROR(DATEVALUE('Raw Data'!I10),"")))</x:f>
        <x:v>45893</x:v>
      </x:c>
      <x:c r="L10" s="17" t="n">
        <x:f>IF(ISBLANK('Raw Data'!J10),"",'Raw Data'!J10)</x:f>
        <x:v>2</x:v>
      </x:c>
      <x:c r="M10" s="24" t="n">
        <x:f>IF(ISBLANK('Raw Data'!K10),"",'Raw Data'!K10)</x:f>
        <x:v>1542.37</x:v>
      </x:c>
      <x:c r="N10" s="64" t="str">
        <x:f t="shared" si="1"/>
        <x:v>OK</x:v>
      </x:c>
      <x:c r="O10" s="64" t="str">
        <x:f t="shared" si="2"/>
        <x:v>OK</x:v>
      </x:c>
      <x:c r="P10" s="64" t="str">
        <x:f>IF(OR(AND('Raw Data'!F10&lt;&gt;"",H10=""),AND('Raw Data'!I10&lt;&gt;"",K10="")),"Invalid Date","OK")</x:f>
        <x:v>OK</x:v>
      </x:c>
      <x:c r="Q10" s="64" t="str">
        <x:f t="shared" si="3"/>
        <x:v>OK</x:v>
      </x:c>
      <x:c r="R10" s="64" t="str">
        <x:f>IF(OR(ISBLANK('Raw Data'!J10),'Raw Data'!J10&lt;0),"Invalid Order Count","OK")</x:f>
        <x:v>OK</x:v>
      </x:c>
      <x:c r="S10" s="64" t="str">
        <x:f>IF(OR(ISBLANK('Raw Data'!K10),'Raw Data'!K10&lt;0),"Invalid Lifetime Value","OK")</x:f>
        <x:v>OK</x:v>
      </x:c>
      <x:c r="T10" s="64" t="str">
        <x:f t="shared" si="4"/>
        <x:v>OK</x:v>
      </x:c>
      <x:c r="U10" s="17" t="n">
        <x:f>IF(AND(C10&gt;1,COUNTIF($B$4:B10,B10)=1),1,0)</x:f>
        <x:v>0</x:v>
      </x:c>
      <x:c r="V10" s="17">
        <x:f t="shared" si="5"/>
        <x:v>0</x:v>
      </x:c>
      <x:c r="W10" s="64" t="str">
        <x:f t="shared" si="6"/>
        <x:v>Ready</x:v>
      </x:c>
      <x:c r="X10" s="64" t="str">
        <x:f t="shared" si="7"/>
        <x:v>Ready</x:v>
      </x:c>
      <x:c r="Y10" s="17" t="str">
        <x:f t="shared" si="8"/>
        <x:v>Record ready for administrative reporting</x:v>
      </x:c>
    </x:row>
    <x:row r="11" ht="27.950000762939453" customHeight="1">
      <x:c r="A11" s="14" t="n">
        <x:f>ROW('Raw Data'!A11)</x:f>
        <x:v>11</x:v>
      </x:c>
      <x:c r="B11" s="14" t="str">
        <x:f>'Raw Data'!A11</x:f>
        <x:v>CUST-0008</x:v>
      </x:c>
      <x:c r="C11" s="14">
        <x:f t="shared" si="0"/>
        <x:v>1</x:v>
      </x:c>
      <x:c r="D11" s="14" t="str">
        <x:f>PROPER(TRIM('Raw Data'!B11))</x:f>
        <x:v>Ethan Gray</x:v>
      </x:c>
      <x:c r="E11" s="14" t="str">
        <x:f>TRIM('Raw Data'!C11)</x:f>
        <x:v>ethan.gray@example.com</x:v>
      </x:c>
      <x:c r="F11" s="14" t="str">
        <x:f>TRIM('Raw Data'!D11)</x:f>
        <x:v>+1 202 555 1008</x:v>
      </x:c>
      <x:c r="G11" s="14" t="str">
        <x:f>IFERROR(VLOOKUP(UPPER(TRIM('Raw Data'!E11)),Mappings!$G$5:$H$10,2,FALSE),"Needs Review")</x:f>
        <x:v>United States</x:v>
      </x:c>
      <x:c r="H11" s="19" t="n">
        <x:f>IF('Raw Data'!F11="","",IF(ISNUMBER('Raw Data'!F11),'Raw Data'!F11,IFERROR(DATEVALUE('Raw Data'!F11),"")))</x:f>
        <x:v>45753</x:v>
      </x:c>
      <x:c r="I11" s="63" t="str">
        <x:f>IFERROR(VLOOKUP(UPPER(TRIM('Raw Data'!G11)),Mappings!$A$5:$B$7,2,FALSE),"Needs Review")</x:f>
        <x:v>Business</x:v>
      </x:c>
      <x:c r="J11" s="63" t="str">
        <x:f>IFERROR(VLOOKUP(UPPER(TRIM('Raw Data'!H11)),Mappings!$D$5:$E$7,2,FALSE),"Needs Review")</x:f>
        <x:v>Inactive</x:v>
      </x:c>
      <x:c r="K11" s="19" t="n">
        <x:f>IF('Raw Data'!I11="","",IF(ISNUMBER('Raw Data'!I11),'Raw Data'!I11,IFERROR(DATEVALUE('Raw Data'!I11),"")))</x:f>
        <x:v>45827</x:v>
      </x:c>
      <x:c r="L11" s="14" t="n">
        <x:f>IF(ISBLANK('Raw Data'!J11),"",'Raw Data'!J11)</x:f>
        <x:v>17</x:v>
      </x:c>
      <x:c r="M11" s="23" t="n">
        <x:f>IF(ISBLANK('Raw Data'!K11),"",'Raw Data'!K11)</x:f>
        <x:v>588.06</x:v>
      </x:c>
      <x:c r="N11" s="63" t="str">
        <x:f t="shared" si="1"/>
        <x:v>OK</x:v>
      </x:c>
      <x:c r="O11" s="63" t="str">
        <x:f t="shared" si="2"/>
        <x:v>OK</x:v>
      </x:c>
      <x:c r="P11" s="63" t="str">
        <x:f>IF(OR(AND('Raw Data'!F11&lt;&gt;"",H11=""),AND('Raw Data'!I11&lt;&gt;"",K11="")),"Invalid Date","OK")</x:f>
        <x:v>OK</x:v>
      </x:c>
      <x:c r="Q11" s="63" t="str">
        <x:f t="shared" si="3"/>
        <x:v>OK</x:v>
      </x:c>
      <x:c r="R11" s="63" t="str">
        <x:f>IF(OR(ISBLANK('Raw Data'!J11),'Raw Data'!J11&lt;0),"Invalid Order Count","OK")</x:f>
        <x:v>OK</x:v>
      </x:c>
      <x:c r="S11" s="63" t="str">
        <x:f>IF(OR(ISBLANK('Raw Data'!K11),'Raw Data'!K11&lt;0),"Invalid Lifetime Value","OK")</x:f>
        <x:v>OK</x:v>
      </x:c>
      <x:c r="T11" s="63" t="str">
        <x:f t="shared" si="4"/>
        <x:v>OK</x:v>
      </x:c>
      <x:c r="U11" s="14" t="n">
        <x:f>IF(AND(C11&gt;1,COUNTIF($B$4:B11,B11)=1),1,0)</x:f>
        <x:v>0</x:v>
      </x:c>
      <x:c r="V11" s="14">
        <x:f t="shared" si="5"/>
        <x:v>0</x:v>
      </x:c>
      <x:c r="W11" s="63" t="str">
        <x:f t="shared" si="6"/>
        <x:v>Ready</x:v>
      </x:c>
      <x:c r="X11" s="63" t="str">
        <x:f t="shared" si="7"/>
        <x:v>Ready</x:v>
      </x:c>
      <x:c r="Y11" s="14" t="str">
        <x:f t="shared" si="8"/>
        <x:v>Record ready for administrative reporting</x:v>
      </x:c>
    </x:row>
    <x:row r="12" ht="27.950000762939453" customHeight="1">
      <x:c r="A12" s="17" t="n">
        <x:f>ROW('Raw Data'!A12)</x:f>
        <x:v>12</x:v>
      </x:c>
      <x:c r="B12" s="17" t="str">
        <x:f>'Raw Data'!A12</x:f>
        <x:v>CUST-0009</x:v>
      </x:c>
      <x:c r="C12" s="17">
        <x:f t="shared" si="0"/>
        <x:v>1</x:v>
      </x:c>
      <x:c r="D12" s="17" t="str">
        <x:f>PROPER(TRIM('Raw Data'!B12))</x:f>
        <x:v>Olivia Carter</x:v>
      </x:c>
      <x:c r="E12" s="17" t="str">
        <x:f>TRIM('Raw Data'!C12)</x:f>
        <x:v>olivia.carter@example.com</x:v>
      </x:c>
      <x:c r="F12" s="17" t="str">
        <x:f>TRIM('Raw Data'!D12)</x:f>
        <x:v>+1 202 555 1009</x:v>
      </x:c>
      <x:c r="G12" s="17" t="str">
        <x:f>IFERROR(VLOOKUP(UPPER(TRIM('Raw Data'!E12)),Mappings!$G$5:$H$10,2,FALSE),"Needs Review")</x:f>
        <x:v>Canada</x:v>
      </x:c>
      <x:c r="H12" s="20" t="n">
        <x:f>IF('Raw Data'!F12="","",IF(ISNUMBER('Raw Data'!F12),'Raw Data'!F12,IFERROR(DATEVALUE('Raw Data'!F12),"")))</x:f>
        <x:v>45683</x:v>
      </x:c>
      <x:c r="I12" s="64" t="str">
        <x:f>IFERROR(VLOOKUP(UPPER(TRIM('Raw Data'!G12)),Mappings!$A$5:$B$7,2,FALSE),"Needs Review")</x:f>
        <x:v>Business</x:v>
      </x:c>
      <x:c r="J12" s="64" t="str">
        <x:f>IFERROR(VLOOKUP(UPPER(TRIM('Raw Data'!H12)),Mappings!$D$5:$E$7,2,FALSE),"Needs Review")</x:f>
        <x:v>Inactive</x:v>
      </x:c>
      <x:c r="K12" s="20" t="n">
        <x:f>IF('Raw Data'!I12="","",IF(ISNUMBER('Raw Data'!I12),'Raw Data'!I12,IFERROR(DATEVALUE('Raw Data'!I12),"")))</x:f>
        <x:v>45756</x:v>
      </x:c>
      <x:c r="L12" s="17" t="n">
        <x:f>IF(ISBLANK('Raw Data'!J12),"",'Raw Data'!J12)</x:f>
        <x:v>2</x:v>
      </x:c>
      <x:c r="M12" s="24" t="n">
        <x:f>IF(ISBLANK('Raw Data'!K12),"",'Raw Data'!K12)</x:f>
        <x:v>566.91</x:v>
      </x:c>
      <x:c r="N12" s="64" t="str">
        <x:f t="shared" si="1"/>
        <x:v>OK</x:v>
      </x:c>
      <x:c r="O12" s="64" t="str">
        <x:f t="shared" si="2"/>
        <x:v>OK</x:v>
      </x:c>
      <x:c r="P12" s="64" t="str">
        <x:f>IF(OR(AND('Raw Data'!F12&lt;&gt;"",H12=""),AND('Raw Data'!I12&lt;&gt;"",K12="")),"Invalid Date","OK")</x:f>
        <x:v>OK</x:v>
      </x:c>
      <x:c r="Q12" s="64" t="str">
        <x:f t="shared" si="3"/>
        <x:v>OK</x:v>
      </x:c>
      <x:c r="R12" s="64" t="str">
        <x:f>IF(OR(ISBLANK('Raw Data'!J12),'Raw Data'!J12&lt;0),"Invalid Order Count","OK")</x:f>
        <x:v>OK</x:v>
      </x:c>
      <x:c r="S12" s="64" t="str">
        <x:f>IF(OR(ISBLANK('Raw Data'!K12),'Raw Data'!K12&lt;0),"Invalid Lifetime Value","OK")</x:f>
        <x:v>OK</x:v>
      </x:c>
      <x:c r="T12" s="64" t="str">
        <x:f t="shared" si="4"/>
        <x:v>OK</x:v>
      </x:c>
      <x:c r="U12" s="17" t="n">
        <x:f>IF(AND(C12&gt;1,COUNTIF($B$4:B12,B12)=1),1,0)</x:f>
        <x:v>0</x:v>
      </x:c>
      <x:c r="V12" s="17">
        <x:f t="shared" si="5"/>
        <x:v>0</x:v>
      </x:c>
      <x:c r="W12" s="64" t="str">
        <x:f t="shared" si="6"/>
        <x:v>Ready</x:v>
      </x:c>
      <x:c r="X12" s="64" t="str">
        <x:f t="shared" si="7"/>
        <x:v>Ready</x:v>
      </x:c>
      <x:c r="Y12" s="17" t="str">
        <x:f t="shared" si="8"/>
        <x:v>Record ready for administrative reporting</x:v>
      </x:c>
    </x:row>
    <x:row r="13" ht="27.950000762939453" customHeight="1">
      <x:c r="A13" s="14" t="n">
        <x:f>ROW('Raw Data'!A13)</x:f>
        <x:v>13</x:v>
      </x:c>
      <x:c r="B13" s="14" t="str">
        <x:f>'Raw Data'!A13</x:f>
        <x:v>CUST-0010</x:v>
      </x:c>
      <x:c r="C13" s="14">
        <x:f t="shared" si="0"/>
        <x:v>1</x:v>
      </x:c>
      <x:c r="D13" s="14" t="str">
        <x:f>PROPER(TRIM('Raw Data'!B13))</x:f>
        <x:v>Zoe Mitchell</x:v>
      </x:c>
      <x:c r="E13" s="14" t="str">
        <x:f>TRIM('Raw Data'!C13)</x:f>
        <x:v>zoe.mitchell@example.com</x:v>
      </x:c>
      <x:c r="F13" s="14" t="str">
        <x:f>TRIM('Raw Data'!D13)</x:f>
        <x:v>202-ABC-9911</x:v>
      </x:c>
      <x:c r="G13" s="14" t="str">
        <x:f>IFERROR(VLOOKUP(UPPER(TRIM('Raw Data'!E13)),Mappings!$G$5:$H$10,2,FALSE),"Needs Review")</x:f>
        <x:v>Canada</x:v>
      </x:c>
      <x:c r="H13" s="19" t="n">
        <x:f>IF('Raw Data'!F13="","",IF(ISNUMBER('Raw Data'!F13),'Raw Data'!F13,IFERROR(DATEVALUE('Raw Data'!F13),"")))</x:f>
        <x:v>45977</x:v>
      </x:c>
      <x:c r="I13" s="63" t="str">
        <x:f>IFERROR(VLOOKUP(UPPER(TRIM('Raw Data'!G13)),Mappings!$A$5:$B$7,2,FALSE),"Needs Review")</x:f>
        <x:v>Business</x:v>
      </x:c>
      <x:c r="J13" s="63" t="str">
        <x:f>IFERROR(VLOOKUP(UPPER(TRIM('Raw Data'!H13)),Mappings!$D$5:$E$7,2,FALSE),"Needs Review")</x:f>
        <x:v>Prospect</x:v>
      </x:c>
      <x:c r="K13" s="19" t="n">
        <x:f>IF('Raw Data'!I13="","",IF(ISNUMBER('Raw Data'!I13),'Raw Data'!I13,IFERROR(DATEVALUE('Raw Data'!I13),"")))</x:f>
        <x:v>46099</x:v>
      </x:c>
      <x:c r="L13" s="14" t="n">
        <x:f>IF(ISBLANK('Raw Data'!J13),"",'Raw Data'!J13)</x:f>
        <x:v>4</x:v>
      </x:c>
      <x:c r="M13" s="23" t="n">
        <x:f>IF(ISBLANK('Raw Data'!K13),"",'Raw Data'!K13)</x:f>
        <x:v>698.96</x:v>
      </x:c>
      <x:c r="N13" s="63" t="str">
        <x:f t="shared" si="1"/>
        <x:v>OK</x:v>
      </x:c>
      <x:c r="O13" s="63" t="str">
        <x:f t="shared" si="2"/>
        <x:v>Invalid Phone</x:v>
      </x:c>
      <x:c r="P13" s="63" t="str">
        <x:f>IF(OR(AND('Raw Data'!F13&lt;&gt;"",H13=""),AND('Raw Data'!I13&lt;&gt;"",K13="")),"Invalid Date","OK")</x:f>
        <x:v>OK</x:v>
      </x:c>
      <x:c r="Q13" s="63" t="str">
        <x:f t="shared" si="3"/>
        <x:v>OK</x:v>
      </x:c>
      <x:c r="R13" s="63" t="str">
        <x:f>IF(OR(ISBLANK('Raw Data'!J13),'Raw Data'!J13&lt;0),"Invalid Order Count","OK")</x:f>
        <x:v>OK</x:v>
      </x:c>
      <x:c r="S13" s="63" t="str">
        <x:f>IF(OR(ISBLANK('Raw Data'!K13),'Raw Data'!K13&lt;0),"Invalid Lifetime Value","OK")</x:f>
        <x:v>OK</x:v>
      </x:c>
      <x:c r="T13" s="63" t="str">
        <x:f t="shared" si="4"/>
        <x:v>OK</x:v>
      </x:c>
      <x:c r="U13" s="14" t="n">
        <x:f>IF(AND(C13&gt;1,COUNTIF($B$4:B13,B13)=1),1,0)</x:f>
        <x:v>0</x:v>
      </x:c>
      <x:c r="V13" s="14">
        <x:f t="shared" si="5"/>
        <x:v>1</x:v>
      </x:c>
      <x:c r="W13" s="63" t="str">
        <x:f t="shared" si="6"/>
        <x:v>Invalid Phone</x:v>
      </x:c>
      <x:c r="X13" s="63" t="str">
        <x:f t="shared" si="7"/>
        <x:v>Needs Review</x:v>
      </x:c>
      <x:c r="Y13" s="14" t="str">
        <x:f t="shared" si="8"/>
        <x:v>Request missing or corrected customer information</x:v>
      </x:c>
    </x:row>
    <x:row r="14" ht="27.950000762939453" customHeight="1">
      <x:c r="A14" s="17" t="n">
        <x:f>ROW('Raw Data'!A14)</x:f>
        <x:v>14</x:v>
      </x:c>
      <x:c r="B14" s="17" t="str">
        <x:f>'Raw Data'!A14</x:f>
        <x:v>CUST-0011</x:v>
      </x:c>
      <x:c r="C14" s="17">
        <x:f t="shared" si="0"/>
        <x:v>1</x:v>
      </x:c>
      <x:c r="D14" s="17" t="str">
        <x:f>PROPER(TRIM('Raw Data'!B14))</x:f>
        <x:v>Lucas Gray</x:v>
      </x:c>
      <x:c r="E14" s="17" t="str">
        <x:f>TRIM('Raw Data'!C14)</x:f>
        <x:v>lucas.gray@example.com</x:v>
      </x:c>
      <x:c r="F14" s="17" t="str">
        <x:f>TRIM('Raw Data'!D14)</x:f>
        <x:v>+1 202 555 1011</x:v>
      </x:c>
      <x:c r="G14" s="17" t="str">
        <x:f>IFERROR(VLOOKUP(UPPER(TRIM('Raw Data'!E14)),Mappings!$G$5:$H$10,2,FALSE),"Needs Review")</x:f>
        <x:v>Singapore</x:v>
      </x:c>
      <x:c r="H14" s="20" t="n">
        <x:f>IF('Raw Data'!F14="","",IF(ISNUMBER('Raw Data'!F14),'Raw Data'!F14,IFERROR(DATEVALUE('Raw Data'!F14),"")))</x:f>
        <x:v>45801</x:v>
      </x:c>
      <x:c r="I14" s="64" t="str">
        <x:f>IFERROR(VLOOKUP(UPPER(TRIM('Raw Data'!G14)),Mappings!$A$5:$B$7,2,FALSE),"Needs Review")</x:f>
        <x:v>VIP</x:v>
      </x:c>
      <x:c r="J14" s="64" t="str">
        <x:f>IFERROR(VLOOKUP(UPPER(TRIM('Raw Data'!H14)),Mappings!$D$5:$E$7,2,FALSE),"Needs Review")</x:f>
        <x:v>Inactive</x:v>
      </x:c>
      <x:c r="K14" s="20" t="n">
        <x:f>IF('Raw Data'!I14="","",IF(ISNUMBER('Raw Data'!I14),'Raw Data'!I14,IFERROR(DATEVALUE('Raw Data'!I14),"")))</x:f>
        <x:v>45955</x:v>
      </x:c>
      <x:c r="L14" s="17" t="n">
        <x:f>IF(ISBLANK('Raw Data'!J14),"",'Raw Data'!J14)</x:f>
        <x:v>12</x:v>
      </x:c>
      <x:c r="M14" s="24" t="n">
        <x:f>IF(ISBLANK('Raw Data'!K14),"",'Raw Data'!K14)</x:f>
        <x:v>936.89</x:v>
      </x:c>
      <x:c r="N14" s="64" t="str">
        <x:f t="shared" si="1"/>
        <x:v>OK</x:v>
      </x:c>
      <x:c r="O14" s="64" t="str">
        <x:f t="shared" si="2"/>
        <x:v>OK</x:v>
      </x:c>
      <x:c r="P14" s="64" t="str">
        <x:f>IF(OR(AND('Raw Data'!F14&lt;&gt;"",H14=""),AND('Raw Data'!I14&lt;&gt;"",K14="")),"Invalid Date","OK")</x:f>
        <x:v>OK</x:v>
      </x:c>
      <x:c r="Q14" s="64" t="str">
        <x:f t="shared" si="3"/>
        <x:v>OK</x:v>
      </x:c>
      <x:c r="R14" s="64" t="str">
        <x:f>IF(OR(ISBLANK('Raw Data'!J14),'Raw Data'!J14&lt;0),"Invalid Order Count","OK")</x:f>
        <x:v>OK</x:v>
      </x:c>
      <x:c r="S14" s="64" t="str">
        <x:f>IF(OR(ISBLANK('Raw Data'!K14),'Raw Data'!K14&lt;0),"Invalid Lifetime Value","OK")</x:f>
        <x:v>OK</x:v>
      </x:c>
      <x:c r="T14" s="64" t="str">
        <x:f t="shared" si="4"/>
        <x:v>OK</x:v>
      </x:c>
      <x:c r="U14" s="17" t="n">
        <x:f>IF(AND(C14&gt;1,COUNTIF($B$4:B14,B14)=1),1,0)</x:f>
        <x:v>0</x:v>
      </x:c>
      <x:c r="V14" s="17">
        <x:f t="shared" si="5"/>
        <x:v>0</x:v>
      </x:c>
      <x:c r="W14" s="64" t="str">
        <x:f t="shared" si="6"/>
        <x:v>Ready</x:v>
      </x:c>
      <x:c r="X14" s="64" t="str">
        <x:f t="shared" si="7"/>
        <x:v>Ready</x:v>
      </x:c>
      <x:c r="Y14" s="17" t="str">
        <x:f t="shared" si="8"/>
        <x:v>Record ready for administrative reporting</x:v>
      </x:c>
    </x:row>
    <x:row r="15" ht="27.950000762939453" customHeight="1">
      <x:c r="A15" s="14" t="n">
        <x:f>ROW('Raw Data'!A15)</x:f>
        <x:v>15</x:v>
      </x:c>
      <x:c r="B15" s="14" t="str">
        <x:f>'Raw Data'!A15</x:f>
        <x:v>CUST-0012</x:v>
      </x:c>
      <x:c r="C15" s="14">
        <x:f t="shared" si="0"/>
        <x:v>1</x:v>
      </x:c>
      <x:c r="D15" s="14" t="str">
        <x:f>PROPER(TRIM('Raw Data'!B15))</x:f>
        <x:v>Maya Rivera</x:v>
      </x:c>
      <x:c r="E15" s="14" t="str">
        <x:f>TRIM('Raw Data'!C15)</x:f>
        <x:v>maya.rivera@example.com</x:v>
      </x:c>
      <x:c r="F15" s="14" t="str">
        <x:f>TRIM('Raw Data'!D15)</x:f>
        <x:v>+1 202 555 1012</x:v>
      </x:c>
      <x:c r="G15" s="14" t="str">
        <x:f>IFERROR(VLOOKUP(UPPER(TRIM('Raw Data'!E15)),Mappings!$G$5:$H$10,2,FALSE),"Needs Review")</x:f>
        <x:v>Australia</x:v>
      </x:c>
      <x:c r="H15" s="19" t="n">
        <x:f>IF('Raw Data'!F15="","",IF(ISNUMBER('Raw Data'!F15),'Raw Data'!F15,IFERROR(DATEVALUE('Raw Data'!F15),"")))</x:f>
        <x:v>45713</x:v>
      </x:c>
      <x:c r="I15" s="63" t="str">
        <x:f>IFERROR(VLOOKUP(UPPER(TRIM('Raw Data'!G15)),Mappings!$A$5:$B$7,2,FALSE),"Needs Review")</x:f>
        <x:v>VIP</x:v>
      </x:c>
      <x:c r="J15" s="63" t="str">
        <x:f>IFERROR(VLOOKUP(UPPER(TRIM('Raw Data'!H15)),Mappings!$D$5:$E$7,2,FALSE),"Needs Review")</x:f>
        <x:v>Active</x:v>
      </x:c>
      <x:c r="K15" s="19" t="n">
        <x:f>IF('Raw Data'!I15="","",IF(ISNUMBER('Raw Data'!I15),'Raw Data'!I15,IFERROR(DATEVALUE('Raw Data'!I15),"")))</x:f>
        <x:v>45757</x:v>
      </x:c>
      <x:c r="L15" s="14" t="n">
        <x:f>IF(ISBLANK('Raw Data'!J15),"",'Raw Data'!J15)</x:f>
        <x:v>5</x:v>
      </x:c>
      <x:c r="M15" s="23" t="n">
        <x:f>IF(ISBLANK('Raw Data'!K15),"",'Raw Data'!K15)</x:f>
        <x:v>1990.59</x:v>
      </x:c>
      <x:c r="N15" s="63" t="str">
        <x:f t="shared" si="1"/>
        <x:v>OK</x:v>
      </x:c>
      <x:c r="O15" s="63" t="str">
        <x:f t="shared" si="2"/>
        <x:v>OK</x:v>
      </x:c>
      <x:c r="P15" s="63" t="str">
        <x:f>IF(OR(AND('Raw Data'!F15&lt;&gt;"",H15=""),AND('Raw Data'!I15&lt;&gt;"",K15="")),"Invalid Date","OK")</x:f>
        <x:v>OK</x:v>
      </x:c>
      <x:c r="Q15" s="63" t="str">
        <x:f t="shared" si="3"/>
        <x:v>OK</x:v>
      </x:c>
      <x:c r="R15" s="63" t="str">
        <x:f>IF(OR(ISBLANK('Raw Data'!J15),'Raw Data'!J15&lt;0),"Invalid Order Count","OK")</x:f>
        <x:v>OK</x:v>
      </x:c>
      <x:c r="S15" s="63" t="str">
        <x:f>IF(OR(ISBLANK('Raw Data'!K15),'Raw Data'!K15&lt;0),"Invalid Lifetime Value","OK")</x:f>
        <x:v>OK</x:v>
      </x:c>
      <x:c r="T15" s="63" t="str">
        <x:f t="shared" si="4"/>
        <x:v>OK</x:v>
      </x:c>
      <x:c r="U15" s="14" t="n">
        <x:f>IF(AND(C15&gt;1,COUNTIF($B$4:B15,B15)=1),1,0)</x:f>
        <x:v>0</x:v>
      </x:c>
      <x:c r="V15" s="14">
        <x:f t="shared" si="5"/>
        <x:v>0</x:v>
      </x:c>
      <x:c r="W15" s="63" t="str">
        <x:f t="shared" si="6"/>
        <x:v>Ready</x:v>
      </x:c>
      <x:c r="X15" s="63" t="str">
        <x:f t="shared" si="7"/>
        <x:v>Ready</x:v>
      </x:c>
      <x:c r="Y15" s="14" t="str">
        <x:f t="shared" si="8"/>
        <x:v>Record ready for administrative reporting</x:v>
      </x:c>
    </x:row>
    <x:row r="16" ht="27.950000762939453" customHeight="1">
      <x:c r="A16" s="17" t="n">
        <x:f>ROW('Raw Data'!A16)</x:f>
        <x:v>16</x:v>
      </x:c>
      <x:c r="B16" s="17" t="str">
        <x:f>'Raw Data'!A16</x:f>
        <x:v>CUST-0013</x:v>
      </x:c>
      <x:c r="C16" s="17">
        <x:f t="shared" si="0"/>
        <x:v>2</x:v>
      </x:c>
      <x:c r="D16" s="17" t="str">
        <x:f>PROPER(TRIM('Raw Data'!B16))</x:f>
        <x:v>Liam King</x:v>
      </x:c>
      <x:c r="E16" s="17" t="str">
        <x:f>TRIM('Raw Data'!C16)</x:f>
        <x:v>liam.king@example.com</x:v>
      </x:c>
      <x:c r="F16" s="17" t="str">
        <x:f>TRIM('Raw Data'!D16)</x:f>
        <x:v>+1 202 555 1013</x:v>
      </x:c>
      <x:c r="G16" s="17" t="str">
        <x:f>IFERROR(VLOOKUP(UPPER(TRIM('Raw Data'!E16)),Mappings!$G$5:$H$10,2,FALSE),"Needs Review")</x:f>
        <x:v>United States</x:v>
      </x:c>
      <x:c r="H16" s="20" t="n">
        <x:f>IF('Raw Data'!F16="","",IF(ISNUMBER('Raw Data'!F16),'Raw Data'!F16,IFERROR(DATEVALUE('Raw Data'!F16),"")))</x:f>
        <x:v>45851</x:v>
      </x:c>
      <x:c r="I16" s="64" t="str">
        <x:f>IFERROR(VLOOKUP(UPPER(TRIM('Raw Data'!G16)),Mappings!$A$5:$B$7,2,FALSE),"Needs Review")</x:f>
        <x:v>VIP</x:v>
      </x:c>
      <x:c r="J16" s="64" t="str">
        <x:f>IFERROR(VLOOKUP(UPPER(TRIM('Raw Data'!H16)),Mappings!$D$5:$E$7,2,FALSE),"Needs Review")</x:f>
        <x:v>Inactive</x:v>
      </x:c>
      <x:c r="K16" s="20" t="n">
        <x:f>IF('Raw Data'!I16="","",IF(ISNUMBER('Raw Data'!I16),'Raw Data'!I16,IFERROR(DATEVALUE('Raw Data'!I16),"")))</x:f>
        <x:v>45991</x:v>
      </x:c>
      <x:c r="L16" s="17" t="n">
        <x:f>IF(ISBLANK('Raw Data'!J16),"",'Raw Data'!J16)</x:f>
        <x:v>8</x:v>
      </x:c>
      <x:c r="M16" s="24" t="n">
        <x:f>IF(ISBLANK('Raw Data'!K16),"",'Raw Data'!K16)</x:f>
        <x:v>2429.14</x:v>
      </x:c>
      <x:c r="N16" s="64" t="str">
        <x:f t="shared" si="1"/>
        <x:v>OK</x:v>
      </x:c>
      <x:c r="O16" s="64" t="str">
        <x:f t="shared" si="2"/>
        <x:v>OK</x:v>
      </x:c>
      <x:c r="P16" s="64" t="str">
        <x:f>IF(OR(AND('Raw Data'!F16&lt;&gt;"",H16=""),AND('Raw Data'!I16&lt;&gt;"",K16="")),"Invalid Date","OK")</x:f>
        <x:v>OK</x:v>
      </x:c>
      <x:c r="Q16" s="64" t="str">
        <x:f t="shared" si="3"/>
        <x:v>OK</x:v>
      </x:c>
      <x:c r="R16" s="64" t="str">
        <x:f>IF(OR(ISBLANK('Raw Data'!J16),'Raw Data'!J16&lt;0),"Invalid Order Count","OK")</x:f>
        <x:v>OK</x:v>
      </x:c>
      <x:c r="S16" s="64" t="str">
        <x:f>IF(OR(ISBLANK('Raw Data'!K16),'Raw Data'!K16&lt;0),"Invalid Lifetime Value","OK")</x:f>
        <x:v>OK</x:v>
      </x:c>
      <x:c r="T16" s="64" t="str">
        <x:f t="shared" si="4"/>
        <x:v>Duplicate Customer ID</x:v>
      </x:c>
      <x:c r="U16" s="17" t="n">
        <x:f>IF(AND(C16&gt;1,COUNTIF($B$4:B16,B16)=1),1,0)</x:f>
        <x:v>1</x:v>
      </x:c>
      <x:c r="V16" s="17">
        <x:f t="shared" si="5"/>
        <x:v>1</x:v>
      </x:c>
      <x:c r="W16" s="64" t="str">
        <x:f t="shared" si="6"/>
        <x:v>Duplicate Customer ID</x:v>
      </x:c>
      <x:c r="X16" s="64" t="str">
        <x:f t="shared" si="7"/>
        <x:v>Needs Review</x:v>
      </x:c>
      <x:c r="Y16" s="17" t="str">
        <x:f t="shared" si="8"/>
        <x:v>Compare duplicate rows and confirm the valid source record</x:v>
      </x:c>
    </x:row>
    <x:row r="17" ht="27.950000762939453" customHeight="1">
      <x:c r="A17" s="14" t="n">
        <x:f>ROW('Raw Data'!A17)</x:f>
        <x:v>17</x:v>
      </x:c>
      <x:c r="B17" s="14" t="str">
        <x:f>'Raw Data'!A17</x:f>
        <x:v>CUST-0014</x:v>
      </x:c>
      <x:c r="C17" s="14">
        <x:f t="shared" si="0"/>
        <x:v>1</x:v>
      </x:c>
      <x:c r="D17" s="14" t="str">
        <x:f>PROPER(TRIM('Raw Data'!B17))</x:f>
        <x:v>Alicia Reed</x:v>
      </x:c>
      <x:c r="E17" s="14" t="str">
        <x:f>TRIM('Raw Data'!C17)</x:f>
        <x:v>alicia.reed@example.com</x:v>
      </x:c>
      <x:c r="F17" s="14" t="str">
        <x:f>TRIM('Raw Data'!D17)</x:f>
        <x:v>+1 202 555 1014</x:v>
      </x:c>
      <x:c r="G17" s="14" t="str">
        <x:f>IFERROR(VLOOKUP(UPPER(TRIM('Raw Data'!E17)),Mappings!$G$5:$H$10,2,FALSE),"Needs Review")</x:f>
        <x:v>Indonesia</x:v>
      </x:c>
      <x:c r="H17" s="19" t="n">
        <x:f>IF('Raw Data'!F17="","",IF(ISNUMBER('Raw Data'!F17),'Raw Data'!F17,IFERROR(DATEVALUE('Raw Data'!F17),"")))</x:f>
        <x:v>45925</x:v>
      </x:c>
      <x:c r="I17" s="63" t="str">
        <x:f>IFERROR(VLOOKUP(UPPER(TRIM('Raw Data'!G17)),Mappings!$A$5:$B$7,2,FALSE),"Needs Review")</x:f>
        <x:v>Business</x:v>
      </x:c>
      <x:c r="J17" s="63" t="str">
        <x:f>IFERROR(VLOOKUP(UPPER(TRIM('Raw Data'!H17)),Mappings!$D$5:$E$7,2,FALSE),"Needs Review")</x:f>
        <x:v>Prospect</x:v>
      </x:c>
      <x:c r="K17" s="19" t="n">
        <x:f>IF('Raw Data'!I17="","",IF(ISNUMBER('Raw Data'!I17),'Raw Data'!I17,IFERROR(DATEVALUE('Raw Data'!I17),"")))</x:f>
        <x:v>46017</x:v>
      </x:c>
      <x:c r="L17" s="14" t="n">
        <x:f>IF(ISBLANK('Raw Data'!J17),"",'Raw Data'!J17)</x:f>
        <x:v>3</x:v>
      </x:c>
      <x:c r="M17" s="23" t="n">
        <x:f>IF(ISBLANK('Raw Data'!K17),"",'Raw Data'!K17)</x:f>
        <x:v>769.08</x:v>
      </x:c>
      <x:c r="N17" s="63" t="str">
        <x:f t="shared" si="1"/>
        <x:v>OK</x:v>
      </x:c>
      <x:c r="O17" s="63" t="str">
        <x:f t="shared" si="2"/>
        <x:v>OK</x:v>
      </x:c>
      <x:c r="P17" s="63" t="str">
        <x:f>IF(OR(AND('Raw Data'!F17&lt;&gt;"",H17=""),AND('Raw Data'!I17&lt;&gt;"",K17="")),"Invalid Date","OK")</x:f>
        <x:v>OK</x:v>
      </x:c>
      <x:c r="Q17" s="63" t="str">
        <x:f t="shared" si="3"/>
        <x:v>OK</x:v>
      </x:c>
      <x:c r="R17" s="63" t="str">
        <x:f>IF(OR(ISBLANK('Raw Data'!J17),'Raw Data'!J17&lt;0),"Invalid Order Count","OK")</x:f>
        <x:v>OK</x:v>
      </x:c>
      <x:c r="S17" s="63" t="str">
        <x:f>IF(OR(ISBLANK('Raw Data'!K17),'Raw Data'!K17&lt;0),"Invalid Lifetime Value","OK")</x:f>
        <x:v>OK</x:v>
      </x:c>
      <x:c r="T17" s="63" t="str">
        <x:f t="shared" si="4"/>
        <x:v>OK</x:v>
      </x:c>
      <x:c r="U17" s="14" t="n">
        <x:f>IF(AND(C17&gt;1,COUNTIF($B$4:B17,B17)=1),1,0)</x:f>
        <x:v>0</x:v>
      </x:c>
      <x:c r="V17" s="14">
        <x:f t="shared" si="5"/>
        <x:v>0</x:v>
      </x:c>
      <x:c r="W17" s="63" t="str">
        <x:f t="shared" si="6"/>
        <x:v>Ready</x:v>
      </x:c>
      <x:c r="X17" s="63" t="str">
        <x:f t="shared" si="7"/>
        <x:v>Ready</x:v>
      </x:c>
      <x:c r="Y17" s="14" t="str">
        <x:f t="shared" si="8"/>
        <x:v>Record ready for administrative reporting</x:v>
      </x:c>
    </x:row>
    <x:row r="18" ht="27.950000762939453" customHeight="1">
      <x:c r="A18" s="17" t="n">
        <x:f>ROW('Raw Data'!A18)</x:f>
        <x:v>18</x:v>
      </x:c>
      <x:c r="B18" s="17" t="str">
        <x:f>'Raw Data'!A18</x:f>
        <x:v>CUST-0015</x:v>
      </x:c>
      <x:c r="C18" s="17">
        <x:f t="shared" si="0"/>
        <x:v>1</x:v>
      </x:c>
      <x:c r="D18" s="17" t="str">
        <x:f>PROPER(TRIM('Raw Data'!B18))</x:f>
        <x:v>Ethan Murphy</x:v>
      </x:c>
      <x:c r="E18" s="17" t="str">
        <x:f>TRIM('Raw Data'!C18)</x:f>
        <x:v>ethan.murphy@example.com</x:v>
      </x:c>
      <x:c r="F18" s="17" t="str">
        <x:f>TRIM('Raw Data'!D18)</x:f>
        <x:v>+1 202 555 1015</x:v>
      </x:c>
      <x:c r="G18" s="17" t="str">
        <x:f>IFERROR(VLOOKUP(UPPER(TRIM('Raw Data'!E18)),Mappings!$G$5:$H$10,2,FALSE),"Needs Review")</x:f>
        <x:v>United States</x:v>
      </x:c>
      <x:c r="H18" s="20" t="n">
        <x:f>IF('Raw Data'!F18="","",IF(ISNUMBER('Raw Data'!F18),'Raw Data'!F18,IFERROR(DATEVALUE('Raw Data'!F18),"")))</x:f>
        <x:v>45729.708333333336</x:v>
      </x:c>
      <x:c r="I18" s="64" t="str">
        <x:f>IFERROR(VLOOKUP(UPPER(TRIM('Raw Data'!G18)),Mappings!$A$5:$B$7,2,FALSE),"Needs Review")</x:f>
        <x:v>Business</x:v>
      </x:c>
      <x:c r="J18" s="64" t="str">
        <x:f>IFERROR(VLOOKUP(UPPER(TRIM('Raw Data'!H18)),Mappings!$D$5:$E$7,2,FALSE),"Needs Review")</x:f>
        <x:v>Prospect</x:v>
      </x:c>
      <x:c r="K18" s="20" t="n">
        <x:f>IF('Raw Data'!I18="","",IF(ISNUMBER('Raw Data'!I18),'Raw Data'!I18,IFERROR(DATEVALUE('Raw Data'!I18),"")))</x:f>
        <x:v>46065</x:v>
      </x:c>
      <x:c r="L18" s="17" t="n">
        <x:f>IF(ISBLANK('Raw Data'!J18),"",'Raw Data'!J18)</x:f>
        <x:v>16</x:v>
      </x:c>
      <x:c r="M18" s="24" t="n">
        <x:f>IF(ISBLANK('Raw Data'!K18),"",'Raw Data'!K18)</x:f>
        <x:v>2285.94</x:v>
      </x:c>
      <x:c r="N18" s="64" t="str">
        <x:f t="shared" si="1"/>
        <x:v>OK</x:v>
      </x:c>
      <x:c r="O18" s="64" t="str">
        <x:f t="shared" si="2"/>
        <x:v>OK</x:v>
      </x:c>
      <x:c r="P18" s="64" t="str">
        <x:f>IF(OR(AND('Raw Data'!F18&lt;&gt;"",H18=""),AND('Raw Data'!I18&lt;&gt;"",K18="")),"Invalid Date","OK")</x:f>
        <x:v>OK</x:v>
      </x:c>
      <x:c r="Q18" s="64" t="str">
        <x:f t="shared" si="3"/>
        <x:v>OK</x:v>
      </x:c>
      <x:c r="R18" s="64" t="str">
        <x:f>IF(OR(ISBLANK('Raw Data'!J18),'Raw Data'!J18&lt;0),"Invalid Order Count","OK")</x:f>
        <x:v>OK</x:v>
      </x:c>
      <x:c r="S18" s="64" t="str">
        <x:f>IF(OR(ISBLANK('Raw Data'!K18),'Raw Data'!K18&lt;0),"Invalid Lifetime Value","OK")</x:f>
        <x:v>OK</x:v>
      </x:c>
      <x:c r="T18" s="64" t="str">
        <x:f t="shared" si="4"/>
        <x:v>OK</x:v>
      </x:c>
      <x:c r="U18" s="17" t="n">
        <x:f>IF(AND(C18&gt;1,COUNTIF($B$4:B18,B18)=1),1,0)</x:f>
        <x:v>0</x:v>
      </x:c>
      <x:c r="V18" s="17">
        <x:f t="shared" si="5"/>
        <x:v>1</x:v>
      </x:c>
      <x:c r="W18" s="64" t="str">
        <x:f t="shared" si="6"/>
        <x:v>Invalid Date</x:v>
      </x:c>
      <x:c r="X18" s="64" t="str">
        <x:f t="shared" si="7"/>
        <x:v>Needs Review</x:v>
      </x:c>
      <x:c r="Y18" s="17" t="str">
        <x:f t="shared" si="8"/>
        <x:v>Request missing or corrected customer information</x:v>
      </x:c>
    </x:row>
    <x:row r="19" ht="27.950000762939453" customHeight="1">
      <x:c r="A19" s="14" t="n">
        <x:f>ROW('Raw Data'!A19)</x:f>
        <x:v>19</x:v>
      </x:c>
      <x:c r="B19" s="14" t="str">
        <x:f>'Raw Data'!A19</x:f>
        <x:v>CUST-0016</x:v>
      </x:c>
      <x:c r="C19" s="14">
        <x:f t="shared" si="0"/>
        <x:v>1</x:v>
      </x:c>
      <x:c r="D19" s="14" t="str">
        <x:f>PROPER(TRIM('Raw Data'!B19))</x:f>
        <x:v>Ryan Rivera</x:v>
      </x:c>
      <x:c r="E19" s="14" t="str">
        <x:f>TRIM('Raw Data'!C19)</x:f>
        <x:v>ryan.rivera@example.com</x:v>
      </x:c>
      <x:c r="F19" s="14" t="str">
        <x:f>TRIM('Raw Data'!D19)</x:f>
        <x:v>+1 202 555 1016</x:v>
      </x:c>
      <x:c r="G19" s="14" t="str">
        <x:f>IFERROR(VLOOKUP(UPPER(TRIM('Raw Data'!E19)),Mappings!$G$5:$H$10,2,FALSE),"Needs Review")</x:f>
        <x:v>Singapore</x:v>
      </x:c>
      <x:c r="H19" s="19" t="n">
        <x:f>IF('Raw Data'!F19="","",IF(ISNUMBER('Raw Data'!F19),'Raw Data'!F19,IFERROR(DATEVALUE('Raw Data'!F19),"")))</x:f>
        <x:v>45752</x:v>
      </x:c>
      <x:c r="I19" s="63" t="str">
        <x:f>IFERROR(VLOOKUP(UPPER(TRIM('Raw Data'!G19)),Mappings!$A$5:$B$7,2,FALSE),"Needs Review")</x:f>
        <x:v>Business</x:v>
      </x:c>
      <x:c r="J19" s="63" t="str">
        <x:f>IFERROR(VLOOKUP(UPPER(TRIM('Raw Data'!H19)),Mappings!$D$5:$E$7,2,FALSE),"Needs Review")</x:f>
        <x:v>Active</x:v>
      </x:c>
      <x:c r="K19" s="19" t="n">
        <x:f>IF('Raw Data'!I19="","",IF(ISNUMBER('Raw Data'!I19),'Raw Data'!I19,IFERROR(DATEVALUE('Raw Data'!I19),"")))</x:f>
        <x:v>45895</x:v>
      </x:c>
      <x:c r="L19" s="14" t="n">
        <x:f>IF(ISBLANK('Raw Data'!J19),"",'Raw Data'!J19)</x:f>
        <x:v>16</x:v>
      </x:c>
      <x:c r="M19" s="23" t="n">
        <x:f>IF(ISBLANK('Raw Data'!K19),"",'Raw Data'!K19)</x:f>
        <x:v>2300.31</x:v>
      </x:c>
      <x:c r="N19" s="63" t="str">
        <x:f t="shared" si="1"/>
        <x:v>OK</x:v>
      </x:c>
      <x:c r="O19" s="63" t="str">
        <x:f t="shared" si="2"/>
        <x:v>OK</x:v>
      </x:c>
      <x:c r="P19" s="63" t="str">
        <x:f>IF(OR(AND('Raw Data'!F19&lt;&gt;"",H19=""),AND('Raw Data'!I19&lt;&gt;"",K19="")),"Invalid Date","OK")</x:f>
        <x:v>OK</x:v>
      </x:c>
      <x:c r="Q19" s="63" t="str">
        <x:f t="shared" si="3"/>
        <x:v>OK</x:v>
      </x:c>
      <x:c r="R19" s="63" t="str">
        <x:f>IF(OR(ISBLANK('Raw Data'!J19),'Raw Data'!J19&lt;0),"Invalid Order Count","OK")</x:f>
        <x:v>OK</x:v>
      </x:c>
      <x:c r="S19" s="63" t="str">
        <x:f>IF(OR(ISBLANK('Raw Data'!K19),'Raw Data'!K19&lt;0),"Invalid Lifetime Value","OK")</x:f>
        <x:v>OK</x:v>
      </x:c>
      <x:c r="T19" s="63" t="str">
        <x:f t="shared" si="4"/>
        <x:v>OK</x:v>
      </x:c>
      <x:c r="U19" s="14" t="n">
        <x:f>IF(AND(C19&gt;1,COUNTIF($B$4:B19,B19)=1),1,0)</x:f>
        <x:v>0</x:v>
      </x:c>
      <x:c r="V19" s="14">
        <x:f t="shared" si="5"/>
        <x:v>0</x:v>
      </x:c>
      <x:c r="W19" s="63" t="str">
        <x:f t="shared" si="6"/>
        <x:v>Ready</x:v>
      </x:c>
      <x:c r="X19" s="63" t="str">
        <x:f t="shared" si="7"/>
        <x:v>Ready</x:v>
      </x:c>
      <x:c r="Y19" s="14" t="str">
        <x:f t="shared" si="8"/>
        <x:v>Record ready for administrative reporting</x:v>
      </x:c>
    </x:row>
    <x:row r="20" ht="27.950000762939453" customHeight="1">
      <x:c r="A20" s="17" t="n">
        <x:f>ROW('Raw Data'!A20)</x:f>
        <x:v>20</x:v>
      </x:c>
      <x:c r="B20" s="17" t="str">
        <x:f>'Raw Data'!A20</x:f>
        <x:v>CUST-0017</x:v>
      </x:c>
      <x:c r="C20" s="17">
        <x:f t="shared" si="0"/>
        <x:v>1</x:v>
      </x:c>
      <x:c r="D20" s="17" t="str">
        <x:f>PROPER(TRIM('Raw Data'!B20))</x:f>
        <x:v>Mason Mitchell</x:v>
      </x:c>
      <x:c r="E20" s="17" t="str">
        <x:f>TRIM('Raw Data'!C20)</x:f>
        <x:v>mason.mitchell@example.com</x:v>
      </x:c>
      <x:c r="F20" s="17" t="str">
        <x:f>TRIM('Raw Data'!D20)</x:f>
        <x:v>+1 202 555 1017</x:v>
      </x:c>
      <x:c r="G20" s="17" t="str">
        <x:f>IFERROR(VLOOKUP(UPPER(TRIM('Raw Data'!E20)),Mappings!$G$5:$H$10,2,FALSE),"Needs Review")</x:f>
        <x:v>Australia</x:v>
      </x:c>
      <x:c r="H20" s="20" t="n">
        <x:f>IF('Raw Data'!F20="","",IF(ISNUMBER('Raw Data'!F20),'Raw Data'!F20,IFERROR(DATEVALUE('Raw Data'!F20),"")))</x:f>
        <x:v>45661</x:v>
      </x:c>
      <x:c r="I20" s="64" t="str">
        <x:f>IFERROR(VLOOKUP(UPPER(TRIM('Raw Data'!G20)),Mappings!$A$5:$B$7,2,FALSE),"Needs Review")</x:f>
        <x:v>Business</x:v>
      </x:c>
      <x:c r="J20" s="64" t="str">
        <x:f>IFERROR(VLOOKUP(UPPER(TRIM('Raw Data'!H20)),Mappings!$D$5:$E$7,2,FALSE),"Needs Review")</x:f>
        <x:v>Inactive</x:v>
      </x:c>
      <x:c r="K20" s="20" t="n">
        <x:f>IF('Raw Data'!I20="","",IF(ISNUMBER('Raw Data'!I20),'Raw Data'!I20,IFERROR(DATEVALUE('Raw Data'!I20),"")))</x:f>
        <x:v>45727</x:v>
      </x:c>
      <x:c r="L20" s="17" t="n">
        <x:f>IF(ISBLANK('Raw Data'!J20),"",'Raw Data'!J20)</x:f>
        <x:v>1</x:v>
      </x:c>
      <x:c r="M20" s="24" t="n">
        <x:f>IF(ISBLANK('Raw Data'!K20),"",'Raw Data'!K20)</x:f>
        <x:v>640.14</x:v>
      </x:c>
      <x:c r="N20" s="64" t="str">
        <x:f t="shared" si="1"/>
        <x:v>OK</x:v>
      </x:c>
      <x:c r="O20" s="64" t="str">
        <x:f t="shared" si="2"/>
        <x:v>OK</x:v>
      </x:c>
      <x:c r="P20" s="64" t="str">
        <x:f>IF(OR(AND('Raw Data'!F20&lt;&gt;"",H20=""),AND('Raw Data'!I20&lt;&gt;"",K20="")),"Invalid Date","OK")</x:f>
        <x:v>OK</x:v>
      </x:c>
      <x:c r="Q20" s="64" t="str">
        <x:f t="shared" si="3"/>
        <x:v>OK</x:v>
      </x:c>
      <x:c r="R20" s="64" t="str">
        <x:f>IF(OR(ISBLANK('Raw Data'!J20),'Raw Data'!J20&lt;0),"Invalid Order Count","OK")</x:f>
        <x:v>OK</x:v>
      </x:c>
      <x:c r="S20" s="64" t="str">
        <x:f>IF(OR(ISBLANK('Raw Data'!K20),'Raw Data'!K20&lt;0),"Invalid Lifetime Value","OK")</x:f>
        <x:v>OK</x:v>
      </x:c>
      <x:c r="T20" s="64" t="str">
        <x:f t="shared" si="4"/>
        <x:v>OK</x:v>
      </x:c>
      <x:c r="U20" s="17" t="n">
        <x:f>IF(AND(C20&gt;1,COUNTIF($B$4:B20,B20)=1),1,0)</x:f>
        <x:v>0</x:v>
      </x:c>
      <x:c r="V20" s="17">
        <x:f t="shared" si="5"/>
        <x:v>0</x:v>
      </x:c>
      <x:c r="W20" s="64" t="str">
        <x:f t="shared" si="6"/>
        <x:v>Ready</x:v>
      </x:c>
      <x:c r="X20" s="64" t="str">
        <x:f t="shared" si="7"/>
        <x:v>Ready</x:v>
      </x:c>
      <x:c r="Y20" s="17" t="str">
        <x:f t="shared" si="8"/>
        <x:v>Record ready for administrative reporting</x:v>
      </x:c>
    </x:row>
    <x:row r="21" ht="27.950000762939453" customHeight="1">
      <x:c r="A21" s="14" t="n">
        <x:f>ROW('Raw Data'!A21)</x:f>
        <x:v>21</x:v>
      </x:c>
      <x:c r="B21" s="14" t="str">
        <x:f>'Raw Data'!A21</x:f>
        <x:v>CUST-0018</x:v>
      </x:c>
      <x:c r="C21" s="14">
        <x:f t="shared" si="0"/>
        <x:v>1</x:v>
      </x:c>
      <x:c r="D21" s="14" t="str">
        <x:f>PROPER(TRIM('Raw Data'!B21))</x:f>
        <x:v>Zoe Morgan</x:v>
      </x:c>
      <x:c r="E21" s="14" t="str">
        <x:f>TRIM('Raw Data'!C21)</x:f>
        <x:v>zoe.morgan@example.com</x:v>
      </x:c>
      <x:c r="F21" s="14" t="str">
        <x:f>TRIM('Raw Data'!D21)</x:f>
        <x:v>+1 202 555 1018</x:v>
      </x:c>
      <x:c r="G21" s="14" t="str">
        <x:f>IFERROR(VLOOKUP(UPPER(TRIM('Raw Data'!E21)),Mappings!$G$5:$H$10,2,FALSE),"Needs Review")</x:f>
        <x:v>United States</x:v>
      </x:c>
      <x:c r="H21" s="19" t="n">
        <x:f>IF('Raw Data'!F21="","",IF(ISNUMBER('Raw Data'!F21),'Raw Data'!F21,IFERROR(DATEVALUE('Raw Data'!F21),"")))</x:f>
        <x:v>46007</x:v>
      </x:c>
      <x:c r="I21" s="63" t="str">
        <x:f>IFERROR(VLOOKUP(UPPER(TRIM('Raw Data'!G21)),Mappings!$A$5:$B$7,2,FALSE),"Needs Review")</x:f>
        <x:v>Retail</x:v>
      </x:c>
      <x:c r="J21" s="63" t="str">
        <x:f>IFERROR(VLOOKUP(UPPER(TRIM('Raw Data'!H21)),Mappings!$D$5:$E$7,2,FALSE),"Needs Review")</x:f>
        <x:v>Prospect</x:v>
      </x:c>
      <x:c r="K21" s="19" t="n">
        <x:f>IF('Raw Data'!I21="","",IF(ISNUMBER('Raw Data'!I21),'Raw Data'!I21,IFERROR(DATEVALUE('Raw Data'!I21),"")))</x:f>
        <x:v>46044</x:v>
      </x:c>
      <x:c r="L21" s="14" t="n">
        <x:f>IF(ISBLANK('Raw Data'!J21),"",'Raw Data'!J21)</x:f>
        <x:v>4</x:v>
      </x:c>
      <x:c r="M21" s="23" t="n">
        <x:f>IF(ISBLANK('Raw Data'!K21),"",'Raw Data'!K21)</x:f>
        <x:v>1666.39</x:v>
      </x:c>
      <x:c r="N21" s="63" t="str">
        <x:f t="shared" si="1"/>
        <x:v>OK</x:v>
      </x:c>
      <x:c r="O21" s="63" t="str">
        <x:f t="shared" si="2"/>
        <x:v>OK</x:v>
      </x:c>
      <x:c r="P21" s="63" t="str">
        <x:f>IF(OR(AND('Raw Data'!F21&lt;&gt;"",H21=""),AND('Raw Data'!I21&lt;&gt;"",K21="")),"Invalid Date","OK")</x:f>
        <x:v>OK</x:v>
      </x:c>
      <x:c r="Q21" s="63" t="str">
        <x:f t="shared" si="3"/>
        <x:v>OK</x:v>
      </x:c>
      <x:c r="R21" s="63" t="str">
        <x:f>IF(OR(ISBLANK('Raw Data'!J21),'Raw Data'!J21&lt;0),"Invalid Order Count","OK")</x:f>
        <x:v>OK</x:v>
      </x:c>
      <x:c r="S21" s="63" t="str">
        <x:f>IF(OR(ISBLANK('Raw Data'!K21),'Raw Data'!K21&lt;0),"Invalid Lifetime Value","OK")</x:f>
        <x:v>OK</x:v>
      </x:c>
      <x:c r="T21" s="63" t="str">
        <x:f t="shared" si="4"/>
        <x:v>OK</x:v>
      </x:c>
      <x:c r="U21" s="14" t="n">
        <x:f>IF(AND(C21&gt;1,COUNTIF($B$4:B21,B21)=1),1,0)</x:f>
        <x:v>0</x:v>
      </x:c>
      <x:c r="V21" s="14">
        <x:f t="shared" si="5"/>
        <x:v>0</x:v>
      </x:c>
      <x:c r="W21" s="63" t="str">
        <x:f t="shared" si="6"/>
        <x:v>Ready</x:v>
      </x:c>
      <x:c r="X21" s="63" t="str">
        <x:f t="shared" si="7"/>
        <x:v>Ready</x:v>
      </x:c>
      <x:c r="Y21" s="14" t="str">
        <x:f t="shared" si="8"/>
        <x:v>Record ready for administrative reporting</x:v>
      </x:c>
    </x:row>
    <x:row r="22" ht="27.950000762939453" customHeight="1">
      <x:c r="A22" s="17" t="n">
        <x:f>ROW('Raw Data'!A22)</x:f>
        <x:v>22</x:v>
      </x:c>
      <x:c r="B22" s="17" t="str">
        <x:f>'Raw Data'!A22</x:f>
        <x:v>CUST-0019</x:v>
      </x:c>
      <x:c r="C22" s="17">
        <x:f t="shared" si="0"/>
        <x:v>1</x:v>
      </x:c>
      <x:c r="D22" s="17" t="str">
        <x:f>PROPER(TRIM('Raw Data'!B22))</x:f>
        <x:v>Leo Hayes</x:v>
      </x:c>
      <x:c r="E22" s="17" t="str">
        <x:f>TRIM('Raw Data'!C22)</x:f>
        <x:v>leo.hayes@example.com</x:v>
      </x:c>
      <x:c r="F22" s="17" t="str">
        <x:f>TRIM('Raw Data'!D22)</x:f>
      </x:c>
      <x:c r="G22" s="17" t="str">
        <x:f>IFERROR(VLOOKUP(UPPER(TRIM('Raw Data'!E22)),Mappings!$G$5:$H$10,2,FALSE),"Needs Review")</x:f>
        <x:v>United Kingdom</x:v>
      </x:c>
      <x:c r="H22" s="20" t="n">
        <x:f>IF('Raw Data'!F22="","",IF(ISNUMBER('Raw Data'!F22),'Raw Data'!F22,IFERROR(DATEVALUE('Raw Data'!F22),"")))</x:f>
        <x:v>45928</x:v>
      </x:c>
      <x:c r="I22" s="64" t="str">
        <x:f>IFERROR(VLOOKUP(UPPER(TRIM('Raw Data'!G22)),Mappings!$A$5:$B$7,2,FALSE),"Needs Review")</x:f>
        <x:v>VIP</x:v>
      </x:c>
      <x:c r="J22" s="64" t="str">
        <x:f>IFERROR(VLOOKUP(UPPER(TRIM('Raw Data'!H22)),Mappings!$D$5:$E$7,2,FALSE),"Needs Review")</x:f>
        <x:v>Inactive</x:v>
      </x:c>
      <x:c r="K22" s="20" t="n">
        <x:f>IF('Raw Data'!I22="","",IF(ISNUMBER('Raw Data'!I22),'Raw Data'!I22,IFERROR(DATEVALUE('Raw Data'!I22),"")))</x:f>
        <x:v>45987</x:v>
      </x:c>
      <x:c r="L22" s="17" t="n">
        <x:f>IF(ISBLANK('Raw Data'!J22),"",'Raw Data'!J22)</x:f>
        <x:v>17</x:v>
      </x:c>
      <x:c r="M22" s="24" t="n">
        <x:f>IF(ISBLANK('Raw Data'!K22),"",'Raw Data'!K22)</x:f>
        <x:v>1900.4</x:v>
      </x:c>
      <x:c r="N22" s="64" t="str">
        <x:f t="shared" si="1"/>
        <x:v>OK</x:v>
      </x:c>
      <x:c r="O22" s="64" t="str">
        <x:f t="shared" si="2"/>
        <x:v>Missing Phone</x:v>
      </x:c>
      <x:c r="P22" s="64" t="str">
        <x:f>IF(OR(AND('Raw Data'!F22&lt;&gt;"",H22=""),AND('Raw Data'!I22&lt;&gt;"",K22="")),"Invalid Date","OK")</x:f>
        <x:v>OK</x:v>
      </x:c>
      <x:c r="Q22" s="64" t="str">
        <x:f t="shared" si="3"/>
        <x:v>OK</x:v>
      </x:c>
      <x:c r="R22" s="64" t="str">
        <x:f>IF(OR(ISBLANK('Raw Data'!J22),'Raw Data'!J22&lt;0),"Invalid Order Count","OK")</x:f>
        <x:v>OK</x:v>
      </x:c>
      <x:c r="S22" s="64" t="str">
        <x:f>IF(OR(ISBLANK('Raw Data'!K22),'Raw Data'!K22&lt;0),"Invalid Lifetime Value","OK")</x:f>
        <x:v>OK</x:v>
      </x:c>
      <x:c r="T22" s="64" t="str">
        <x:f t="shared" si="4"/>
        <x:v>OK</x:v>
      </x:c>
      <x:c r="U22" s="17" t="n">
        <x:f>IF(AND(C22&gt;1,COUNTIF($B$4:B22,B22)=1),1,0)</x:f>
        <x:v>0</x:v>
      </x:c>
      <x:c r="V22" s="17">
        <x:f t="shared" si="5"/>
        <x:v>1</x:v>
      </x:c>
      <x:c r="W22" s="64" t="str">
        <x:f t="shared" si="6"/>
        <x:v>Missing Phone</x:v>
      </x:c>
      <x:c r="X22" s="64" t="str">
        <x:f t="shared" si="7"/>
        <x:v>Needs Review</x:v>
      </x:c>
      <x:c r="Y22" s="17" t="str">
        <x:f t="shared" si="8"/>
        <x:v>Request missing or corrected customer information</x:v>
      </x:c>
    </x:row>
    <x:row r="23" ht="27.950000762939453" customHeight="1">
      <x:c r="A23" s="14" t="n">
        <x:f>ROW('Raw Data'!A23)</x:f>
        <x:v>23</x:v>
      </x:c>
      <x:c r="B23" s="14" t="str">
        <x:f>'Raw Data'!A23</x:f>
        <x:v>CUST-0020</x:v>
      </x:c>
      <x:c r="C23" s="14">
        <x:f t="shared" si="0"/>
        <x:v>1</x:v>
      </x:c>
      <x:c r="D23" s="14" t="str">
        <x:f>PROPER(TRIM('Raw Data'!B23))</x:f>
        <x:v>Nora Foster</x:v>
      </x:c>
      <x:c r="E23" s="14" t="str">
        <x:f>TRIM('Raw Data'!C23)</x:f>
        <x:v>nora.foster@example.com</x:v>
      </x:c>
      <x:c r="F23" s="14" t="str">
        <x:f>TRIM('Raw Data'!D23)</x:f>
        <x:v>+1 202 555 1020</x:v>
      </x:c>
      <x:c r="G23" s="14" t="str">
        <x:f>IFERROR(VLOOKUP(UPPER(TRIM('Raw Data'!E23)),Mappings!$G$5:$H$10,2,FALSE),"Needs Review")</x:f>
        <x:v>Australia</x:v>
      </x:c>
      <x:c r="H23" s="19" t="n">
        <x:f>IF('Raw Data'!F23="","",IF(ISNUMBER('Raw Data'!F23),'Raw Data'!F23,IFERROR(DATEVALUE('Raw Data'!F23),"")))</x:f>
        <x:v>45982</x:v>
      </x:c>
      <x:c r="I23" s="63" t="str">
        <x:f>IFERROR(VLOOKUP(UPPER(TRIM('Raw Data'!G23)),Mappings!$A$5:$B$7,2,FALSE),"Needs Review")</x:f>
        <x:v>Business</x:v>
      </x:c>
      <x:c r="J23" s="63" t="str">
        <x:f>IFERROR(VLOOKUP(UPPER(TRIM('Raw Data'!H23)),Mappings!$D$5:$E$7,2,FALSE),"Needs Review")</x:f>
        <x:v>Inactive</x:v>
      </x:c>
      <x:c r="K23" s="19" t="n">
        <x:f>IF('Raw Data'!I23="","",IF(ISNUMBER('Raw Data'!I23),'Raw Data'!I23,IFERROR(DATEVALUE('Raw Data'!I23),"")))</x:f>
        <x:v>46119</x:v>
      </x:c>
      <x:c r="L23" s="14" t="n">
        <x:f>IF(ISBLANK('Raw Data'!J23),"",'Raw Data'!J23)</x:f>
        <x:v>14</x:v>
      </x:c>
      <x:c r="M23" s="23" t="n">
        <x:f>IF(ISBLANK('Raw Data'!K23),"",'Raw Data'!K23)</x:f>
        <x:v>346.46</x:v>
      </x:c>
      <x:c r="N23" s="63" t="str">
        <x:f t="shared" si="1"/>
        <x:v>OK</x:v>
      </x:c>
      <x:c r="O23" s="63" t="str">
        <x:f t="shared" si="2"/>
        <x:v>OK</x:v>
      </x:c>
      <x:c r="P23" s="63" t="str">
        <x:f>IF(OR(AND('Raw Data'!F23&lt;&gt;"",H23=""),AND('Raw Data'!I23&lt;&gt;"",K23="")),"Invalid Date","OK")</x:f>
        <x:v>OK</x:v>
      </x:c>
      <x:c r="Q23" s="63" t="str">
        <x:f t="shared" si="3"/>
        <x:v>OK</x:v>
      </x:c>
      <x:c r="R23" s="63" t="str">
        <x:f>IF(OR(ISBLANK('Raw Data'!J23),'Raw Data'!J23&lt;0),"Invalid Order Count","OK")</x:f>
        <x:v>OK</x:v>
      </x:c>
      <x:c r="S23" s="63" t="str">
        <x:f>IF(OR(ISBLANK('Raw Data'!K23),'Raw Data'!K23&lt;0),"Invalid Lifetime Value","OK")</x:f>
        <x:v>OK</x:v>
      </x:c>
      <x:c r="T23" s="63" t="str">
        <x:f t="shared" si="4"/>
        <x:v>OK</x:v>
      </x:c>
      <x:c r="U23" s="14" t="n">
        <x:f>IF(AND(C23&gt;1,COUNTIF($B$4:B23,B23)=1),1,0)</x:f>
        <x:v>0</x:v>
      </x:c>
      <x:c r="V23" s="14">
        <x:f t="shared" si="5"/>
        <x:v>0</x:v>
      </x:c>
      <x:c r="W23" s="63" t="str">
        <x:f t="shared" si="6"/>
        <x:v>Ready</x:v>
      </x:c>
      <x:c r="X23" s="63" t="str">
        <x:f t="shared" si="7"/>
        <x:v>Ready</x:v>
      </x:c>
      <x:c r="Y23" s="14" t="str">
        <x:f t="shared" si="8"/>
        <x:v>Record ready for administrative reporting</x:v>
      </x:c>
    </x:row>
    <x:row r="24" ht="27.950000762939453" customHeight="1">
      <x:c r="A24" s="17" t="n">
        <x:f>ROW('Raw Data'!A24)</x:f>
        <x:v>24</x:v>
      </x:c>
      <x:c r="B24" s="17" t="str">
        <x:f>'Raw Data'!A24</x:f>
        <x:v>CUST-0021</x:v>
      </x:c>
      <x:c r="C24" s="17">
        <x:f t="shared" si="0"/>
        <x:v>1</x:v>
      </x:c>
      <x:c r="D24" s="17" t="str">
        <x:f>PROPER(TRIM('Raw Data'!B24))</x:f>
        <x:v>Lucas Morgan</x:v>
      </x:c>
      <x:c r="E24" s="17" t="str">
        <x:f>TRIM('Raw Data'!C24)</x:f>
        <x:v>lucas.morgan@example.com</x:v>
      </x:c>
      <x:c r="F24" s="17" t="str">
        <x:f>TRIM('Raw Data'!D24)</x:f>
        <x:v>+1 202 555 1021</x:v>
      </x:c>
      <x:c r="G24" s="17" t="str">
        <x:f>IFERROR(VLOOKUP(UPPER(TRIM('Raw Data'!E24)),Mappings!$G$5:$H$10,2,FALSE),"Needs Review")</x:f>
        <x:v>United Kingdom</x:v>
      </x:c>
      <x:c r="H24" s="20" t="n">
        <x:f>IF('Raw Data'!F24="","",IF(ISNUMBER('Raw Data'!F24),'Raw Data'!F24,IFERROR(DATEVALUE('Raw Data'!F24),"")))</x:f>
        <x:v>45676</x:v>
      </x:c>
      <x:c r="I24" s="64" t="str">
        <x:f>IFERROR(VLOOKUP(UPPER(TRIM('Raw Data'!G24)),Mappings!$A$5:$B$7,2,FALSE),"Needs Review")</x:f>
        <x:v>Business</x:v>
      </x:c>
      <x:c r="J24" s="64" t="str">
        <x:f>IFERROR(VLOOKUP(UPPER(TRIM('Raw Data'!H24)),Mappings!$D$5:$E$7,2,FALSE),"Needs Review")</x:f>
        <x:v>Active</x:v>
      </x:c>
      <x:c r="K24" s="20" t="n">
        <x:f>IF('Raw Data'!I24="","",IF(ISNUMBER('Raw Data'!I24),'Raw Data'!I24,IFERROR(DATEVALUE('Raw Data'!I24),"")))</x:f>
        <x:v>45831</x:v>
      </x:c>
      <x:c r="L24" s="17" t="n">
        <x:f>IF(ISBLANK('Raw Data'!J24),"",'Raw Data'!J24)</x:f>
        <x:v>7</x:v>
      </x:c>
      <x:c r="M24" s="24" t="n">
        <x:f>IF(ISBLANK('Raw Data'!K24),"",'Raw Data'!K24)</x:f>
        <x:v>67.62</x:v>
      </x:c>
      <x:c r="N24" s="64" t="str">
        <x:f t="shared" si="1"/>
        <x:v>OK</x:v>
      </x:c>
      <x:c r="O24" s="64" t="str">
        <x:f t="shared" si="2"/>
        <x:v>OK</x:v>
      </x:c>
      <x:c r="P24" s="64" t="str">
        <x:f>IF(OR(AND('Raw Data'!F24&lt;&gt;"",H24=""),AND('Raw Data'!I24&lt;&gt;"",K24="")),"Invalid Date","OK")</x:f>
        <x:v>OK</x:v>
      </x:c>
      <x:c r="Q24" s="64" t="str">
        <x:f t="shared" si="3"/>
        <x:v>OK</x:v>
      </x:c>
      <x:c r="R24" s="64" t="str">
        <x:f>IF(OR(ISBLANK('Raw Data'!J24),'Raw Data'!J24&lt;0),"Invalid Order Count","OK")</x:f>
        <x:v>OK</x:v>
      </x:c>
      <x:c r="S24" s="64" t="str">
        <x:f>IF(OR(ISBLANK('Raw Data'!K24),'Raw Data'!K24&lt;0),"Invalid Lifetime Value","OK")</x:f>
        <x:v>OK</x:v>
      </x:c>
      <x:c r="T24" s="64" t="str">
        <x:f t="shared" si="4"/>
        <x:v>OK</x:v>
      </x:c>
      <x:c r="U24" s="17" t="n">
        <x:f>IF(AND(C24&gt;1,COUNTIF($B$4:B24,B24)=1),1,0)</x:f>
        <x:v>0</x:v>
      </x:c>
      <x:c r="V24" s="17">
        <x:f t="shared" si="5"/>
        <x:v>0</x:v>
      </x:c>
      <x:c r="W24" s="64" t="str">
        <x:f t="shared" si="6"/>
        <x:v>Ready</x:v>
      </x:c>
      <x:c r="X24" s="64" t="str">
        <x:f t="shared" si="7"/>
        <x:v>Ready</x:v>
      </x:c>
      <x:c r="Y24" s="17" t="str">
        <x:f t="shared" si="8"/>
        <x:v>Record ready for administrative reporting</x:v>
      </x:c>
    </x:row>
    <x:row r="25" ht="27.950000762939453" customHeight="1">
      <x:c r="A25" s="14" t="n">
        <x:f>ROW('Raw Data'!A25)</x:f>
        <x:v>25</x:v>
      </x:c>
      <x:c r="B25" s="14" t="str">
        <x:f>'Raw Data'!A25</x:f>
        <x:v>CUST-0022</x:v>
      </x:c>
      <x:c r="C25" s="14">
        <x:f t="shared" si="0"/>
        <x:v>1</x:v>
      </x:c>
      <x:c r="D25" s="14" t="str">
        <x:f>PROPER(TRIM('Raw Data'!B25))</x:f>
        <x:v>Marcus Brooks</x:v>
      </x:c>
      <x:c r="E25" s="14" t="str">
        <x:f>TRIM('Raw Data'!C25)</x:f>
        <x:v>marcus.brooks@example.com</x:v>
      </x:c>
      <x:c r="F25" s="14" t="str">
        <x:f>TRIM('Raw Data'!D25)</x:f>
        <x:v>+1 202 555 1022</x:v>
      </x:c>
      <x:c r="G25" s="14" t="str">
        <x:f>IFERROR(VLOOKUP(UPPER(TRIM('Raw Data'!E25)),Mappings!$G$5:$H$10,2,FALSE),"Needs Review")</x:f>
        <x:v>United States</x:v>
      </x:c>
      <x:c r="H25" s="19" t="n">
        <x:f>IF('Raw Data'!F25="","",IF(ISNUMBER('Raw Data'!F25),'Raw Data'!F25,IFERROR(DATEVALUE('Raw Data'!F25),"")))</x:f>
        <x:v>45685</x:v>
      </x:c>
      <x:c r="I25" s="63" t="str">
        <x:f>IFERROR(VLOOKUP(UPPER(TRIM('Raw Data'!G25)),Mappings!$A$5:$B$7,2,FALSE),"Needs Review")</x:f>
        <x:v>Business</x:v>
      </x:c>
      <x:c r="J25" s="63" t="str">
        <x:f>IFERROR(VLOOKUP(UPPER(TRIM('Raw Data'!H25)),Mappings!$D$5:$E$7,2,FALSE),"Needs Review")</x:f>
        <x:v>Active</x:v>
      </x:c>
      <x:c r="K25" s="19" t="n">
        <x:f>IF('Raw Data'!I25="","",IF(ISNUMBER('Raw Data'!I25),'Raw Data'!I25,IFERROR(DATEVALUE('Raw Data'!I25),"")))</x:f>
        <x:v>45821</x:v>
      </x:c>
      <x:c r="L25" s="14" t="n">
        <x:f>IF(ISBLANK('Raw Data'!J25),"",'Raw Data'!J25)</x:f>
        <x:v>7</x:v>
      </x:c>
      <x:c r="M25" s="23" t="n">
        <x:f>IF(ISBLANK('Raw Data'!K25),"",'Raw Data'!K25)</x:f>
        <x:v>732.27</x:v>
      </x:c>
      <x:c r="N25" s="63" t="str">
        <x:f t="shared" si="1"/>
        <x:v>OK</x:v>
      </x:c>
      <x:c r="O25" s="63" t="str">
        <x:f t="shared" si="2"/>
        <x:v>OK</x:v>
      </x:c>
      <x:c r="P25" s="63" t="str">
        <x:f>IF(OR(AND('Raw Data'!F25&lt;&gt;"",H25=""),AND('Raw Data'!I25&lt;&gt;"",K25="")),"Invalid Date","OK")</x:f>
        <x:v>OK</x:v>
      </x:c>
      <x:c r="Q25" s="63" t="str">
        <x:f t="shared" si="3"/>
        <x:v>OK</x:v>
      </x:c>
      <x:c r="R25" s="63" t="str">
        <x:f>IF(OR(ISBLANK('Raw Data'!J25),'Raw Data'!J25&lt;0),"Invalid Order Count","OK")</x:f>
        <x:v>OK</x:v>
      </x:c>
      <x:c r="S25" s="63" t="str">
        <x:f>IF(OR(ISBLANK('Raw Data'!K25),'Raw Data'!K25&lt;0),"Invalid Lifetime Value","OK")</x:f>
        <x:v>OK</x:v>
      </x:c>
      <x:c r="T25" s="63" t="str">
        <x:f t="shared" si="4"/>
        <x:v>OK</x:v>
      </x:c>
      <x:c r="U25" s="14" t="n">
        <x:f>IF(AND(C25&gt;1,COUNTIF($B$4:B25,B25)=1),1,0)</x:f>
        <x:v>0</x:v>
      </x:c>
      <x:c r="V25" s="14">
        <x:f t="shared" si="5"/>
        <x:v>0</x:v>
      </x:c>
      <x:c r="W25" s="63" t="str">
        <x:f t="shared" si="6"/>
        <x:v>Ready</x:v>
      </x:c>
      <x:c r="X25" s="63" t="str">
        <x:f t="shared" si="7"/>
        <x:v>Ready</x:v>
      </x:c>
      <x:c r="Y25" s="14" t="str">
        <x:f t="shared" si="8"/>
        <x:v>Record ready for administrative reporting</x:v>
      </x:c>
    </x:row>
    <x:row r="26" ht="27.950000762939453" customHeight="1">
      <x:c r="A26" s="17" t="n">
        <x:f>ROW('Raw Data'!A26)</x:f>
        <x:v>26</x:v>
      </x:c>
      <x:c r="B26" s="17" t="str">
        <x:f>'Raw Data'!A26</x:f>
        <x:v>CUST-0023</x:v>
      </x:c>
      <x:c r="C26" s="17">
        <x:f t="shared" si="0"/>
        <x:v>1</x:v>
      </x:c>
      <x:c r="D26" s="17" t="str">
        <x:f>PROPER(TRIM('Raw Data'!B26))</x:f>
        <x:v>Henry Turner</x:v>
      </x:c>
      <x:c r="E26" s="17" t="str">
        <x:f>TRIM('Raw Data'!C26)</x:f>
        <x:v>henry.turner@example.com</x:v>
      </x:c>
      <x:c r="F26" s="17" t="str">
        <x:f>TRIM('Raw Data'!D26)</x:f>
        <x:v>+1 202 555 1023</x:v>
      </x:c>
      <x:c r="G26" s="17" t="str">
        <x:f>IFERROR(VLOOKUP(UPPER(TRIM('Raw Data'!E26)),Mappings!$G$5:$H$10,2,FALSE),"Needs Review")</x:f>
        <x:v>Singapore</x:v>
      </x:c>
      <x:c r="H26" s="20" t="n">
        <x:f>IF('Raw Data'!F26="","",IF(ISNUMBER('Raw Data'!F26),'Raw Data'!F26,IFERROR(DATEVALUE('Raw Data'!F26),"")))</x:f>
        <x:v>45740</x:v>
      </x:c>
      <x:c r="I26" s="64" t="str">
        <x:f>IFERROR(VLOOKUP(UPPER(TRIM('Raw Data'!G26)),Mappings!$A$5:$B$7,2,FALSE),"Needs Review")</x:f>
        <x:v>VIP</x:v>
      </x:c>
      <x:c r="J26" s="64" t="str">
        <x:f>IFERROR(VLOOKUP(UPPER(TRIM('Raw Data'!H26)),Mappings!$D$5:$E$7,2,FALSE),"Needs Review")</x:f>
        <x:v>Prospect</x:v>
      </x:c>
      <x:c r="K26" s="20" t="n">
        <x:f>IF('Raw Data'!I26="","",IF(ISNUMBER('Raw Data'!I26),'Raw Data'!I26,IFERROR(DATEVALUE('Raw Data'!I26),"")))</x:f>
        <x:v>45866</x:v>
      </x:c>
      <x:c r="L26" s="17" t="n">
        <x:f>IF(ISBLANK('Raw Data'!J26),"",'Raw Data'!J26)</x:f>
        <x:v>7</x:v>
      </x:c>
      <x:c r="M26" s="24" t="n">
        <x:f>IF(ISBLANK('Raw Data'!K26),"",'Raw Data'!K26)</x:f>
        <x:v>1972.32</x:v>
      </x:c>
      <x:c r="N26" s="64" t="str">
        <x:f t="shared" si="1"/>
        <x:v>OK</x:v>
      </x:c>
      <x:c r="O26" s="64" t="str">
        <x:f t="shared" si="2"/>
        <x:v>OK</x:v>
      </x:c>
      <x:c r="P26" s="64" t="str">
        <x:f>IF(OR(AND('Raw Data'!F26&lt;&gt;"",H26=""),AND('Raw Data'!I26&lt;&gt;"",K26="")),"Invalid Date","OK")</x:f>
        <x:v>OK</x:v>
      </x:c>
      <x:c r="Q26" s="64" t="str">
        <x:f t="shared" si="3"/>
        <x:v>OK</x:v>
      </x:c>
      <x:c r="R26" s="64" t="str">
        <x:f>IF(OR(ISBLANK('Raw Data'!J26),'Raw Data'!J26&lt;0),"Invalid Order Count","OK")</x:f>
        <x:v>OK</x:v>
      </x:c>
      <x:c r="S26" s="64" t="str">
        <x:f>IF(OR(ISBLANK('Raw Data'!K26),'Raw Data'!K26&lt;0),"Invalid Lifetime Value","OK")</x:f>
        <x:v>OK</x:v>
      </x:c>
      <x:c r="T26" s="64" t="str">
        <x:f t="shared" si="4"/>
        <x:v>OK</x:v>
      </x:c>
      <x:c r="U26" s="17" t="n">
        <x:f>IF(AND(C26&gt;1,COUNTIF($B$4:B26,B26)=1),1,0)</x:f>
        <x:v>0</x:v>
      </x:c>
      <x:c r="V26" s="17">
        <x:f t="shared" si="5"/>
        <x:v>0</x:v>
      </x:c>
      <x:c r="W26" s="64" t="str">
        <x:f t="shared" si="6"/>
        <x:v>Ready</x:v>
      </x:c>
      <x:c r="X26" s="64" t="str">
        <x:f t="shared" si="7"/>
        <x:v>Ready</x:v>
      </x:c>
      <x:c r="Y26" s="17" t="str">
        <x:f t="shared" si="8"/>
        <x:v>Record ready for administrative reporting</x:v>
      </x:c>
    </x:row>
    <x:row r="27" ht="27.950000762939453" customHeight="1">
      <x:c r="A27" s="14" t="n">
        <x:f>ROW('Raw Data'!A27)</x:f>
        <x:v>27</x:v>
      </x:c>
      <x:c r="B27" s="14" t="str">
        <x:f>'Raw Data'!A27</x:f>
        <x:v>CUST-0024</x:v>
      </x:c>
      <x:c r="C27" s="14">
        <x:f t="shared" si="0"/>
        <x:v>1</x:v>
      </x:c>
      <x:c r="D27" s="14" t="str">
        <x:f>PROPER(TRIM('Raw Data'!B27))</x:f>
        <x:v>Liam Turner</x:v>
      </x:c>
      <x:c r="E27" s="14" t="str">
        <x:f>TRIM('Raw Data'!C27)</x:f>
        <x:v>liam.turner@example.com</x:v>
      </x:c>
      <x:c r="F27" s="14" t="str">
        <x:f>TRIM('Raw Data'!D27)</x:f>
        <x:v>+1 202 555 1024</x:v>
      </x:c>
      <x:c r="G27" s="14" t="str">
        <x:f>IFERROR(VLOOKUP(UPPER(TRIM('Raw Data'!E27)),Mappings!$G$5:$H$10,2,FALSE),"Needs Review")</x:f>
        <x:v>United States</x:v>
      </x:c>
      <x:c r="H27" s="19" t="n">
        <x:f>IF('Raw Data'!F27="","",IF(ISNUMBER('Raw Data'!F27),'Raw Data'!F27,IFERROR(DATEVALUE('Raw Data'!F27),"")))</x:f>
        <x:v>45710</x:v>
      </x:c>
      <x:c r="I27" s="63" t="str">
        <x:f>IFERROR(VLOOKUP(UPPER(TRIM('Raw Data'!G27)),Mappings!$A$5:$B$7,2,FALSE),"Needs Review")</x:f>
        <x:v>Business</x:v>
      </x:c>
      <x:c r="J27" s="63" t="str">
        <x:f>IFERROR(VLOOKUP(UPPER(TRIM('Raw Data'!H27)),Mappings!$D$5:$E$7,2,FALSE),"Needs Review")</x:f>
        <x:v>Inactive</x:v>
      </x:c>
      <x:c r="K27" s="19" t="n">
        <x:f>IF('Raw Data'!I27="","",IF(ISNUMBER('Raw Data'!I27),'Raw Data'!I27,IFERROR(DATEVALUE('Raw Data'!I27),"")))</x:f>
        <x:v>45823</x:v>
      </x:c>
      <x:c r="L27" s="14" t="n">
        <x:f>IF(ISBLANK('Raw Data'!J27),"",'Raw Data'!J27)</x:f>
        <x:v>13</x:v>
      </x:c>
      <x:c r="M27" s="23" t="n">
        <x:f>IF(ISBLANK('Raw Data'!K27),"",'Raw Data'!K27)</x:f>
        <x:v>1194.21</x:v>
      </x:c>
      <x:c r="N27" s="63" t="str">
        <x:f t="shared" si="1"/>
        <x:v>OK</x:v>
      </x:c>
      <x:c r="O27" s="63" t="str">
        <x:f t="shared" si="2"/>
        <x:v>OK</x:v>
      </x:c>
      <x:c r="P27" s="63" t="str">
        <x:f>IF(OR(AND('Raw Data'!F27&lt;&gt;"",H27=""),AND('Raw Data'!I27&lt;&gt;"",K27="")),"Invalid Date","OK")</x:f>
        <x:v>OK</x:v>
      </x:c>
      <x:c r="Q27" s="63" t="str">
        <x:f t="shared" si="3"/>
        <x:v>OK</x:v>
      </x:c>
      <x:c r="R27" s="63" t="str">
        <x:f>IF(OR(ISBLANK('Raw Data'!J27),'Raw Data'!J27&lt;0),"Invalid Order Count","OK")</x:f>
        <x:v>OK</x:v>
      </x:c>
      <x:c r="S27" s="63" t="str">
        <x:f>IF(OR(ISBLANK('Raw Data'!K27),'Raw Data'!K27&lt;0),"Invalid Lifetime Value","OK")</x:f>
        <x:v>OK</x:v>
      </x:c>
      <x:c r="T27" s="63" t="str">
        <x:f t="shared" si="4"/>
        <x:v>OK</x:v>
      </x:c>
      <x:c r="U27" s="14" t="n">
        <x:f>IF(AND(C27&gt;1,COUNTIF($B$4:B27,B27)=1),1,0)</x:f>
        <x:v>0</x:v>
      </x:c>
      <x:c r="V27" s="14">
        <x:f t="shared" si="5"/>
        <x:v>0</x:v>
      </x:c>
      <x:c r="W27" s="63" t="str">
        <x:f t="shared" si="6"/>
        <x:v>Ready</x:v>
      </x:c>
      <x:c r="X27" s="63" t="str">
        <x:f t="shared" si="7"/>
        <x:v>Ready</x:v>
      </x:c>
      <x:c r="Y27" s="14" t="str">
        <x:f t="shared" si="8"/>
        <x:v>Record ready for administrative reporting</x:v>
      </x:c>
    </x:row>
    <x:row r="28" ht="27.950000762939453" customHeight="1">
      <x:c r="A28" s="17" t="n">
        <x:f>ROW('Raw Data'!A28)</x:f>
        <x:v>28</x:v>
      </x:c>
      <x:c r="B28" s="17" t="str">
        <x:f>'Raw Data'!A28</x:f>
        <x:v>CUST-0025</x:v>
      </x:c>
      <x:c r="C28" s="17">
        <x:f t="shared" si="0"/>
        <x:v>1</x:v>
      </x:c>
      <x:c r="D28" s="17" t="str">
        <x:f>PROPER(TRIM('Raw Data'!B28))</x:f>
        <x:v>Marcus Reed</x:v>
      </x:c>
      <x:c r="E28" s="17" t="str">
        <x:f>TRIM('Raw Data'!C28)</x:f>
        <x:v>marcus.reed@example.com</x:v>
      </x:c>
      <x:c r="F28" s="17" t="str">
        <x:f>TRIM('Raw Data'!D28)</x:f>
        <x:v>+1 202 555 1025</x:v>
      </x:c>
      <x:c r="G28" s="17" t="str">
        <x:f>IFERROR(VLOOKUP(UPPER(TRIM('Raw Data'!E28)),Mappings!$G$5:$H$10,2,FALSE),"Needs Review")</x:f>
        <x:v>United States</x:v>
      </x:c>
      <x:c r="H28" s="20" t="n">
        <x:f>IF('Raw Data'!F28="","",IF(ISNUMBER('Raw Data'!F28),'Raw Data'!F28,IFERROR(DATEVALUE('Raw Data'!F28),"")))</x:f>
        <x:v>45862</x:v>
      </x:c>
      <x:c r="I28" s="64" t="str">
        <x:f>IFERROR(VLOOKUP(UPPER(TRIM('Raw Data'!G28)),Mappings!$A$5:$B$7,2,FALSE),"Needs Review")</x:f>
        <x:v>Business</x:v>
      </x:c>
      <x:c r="J28" s="64" t="str">
        <x:f>IFERROR(VLOOKUP(UPPER(TRIM('Raw Data'!H28)),Mappings!$D$5:$E$7,2,FALSE),"Needs Review")</x:f>
        <x:v>Active</x:v>
      </x:c>
      <x:c r="K28" s="20" t="n">
        <x:f>IF('Raw Data'!I28="","",IF(ISNUMBER('Raw Data'!I28),'Raw Data'!I28,IFERROR(DATEVALUE('Raw Data'!I28),"")))</x:f>
        <x:v>45930</x:v>
      </x:c>
      <x:c r="L28" s="17" t="n">
        <x:f>IF(ISBLANK('Raw Data'!J28),"",'Raw Data'!J28)</x:f>
        <x:v>6</x:v>
      </x:c>
      <x:c r="M28" s="24" t="n">
        <x:f>IF(ISBLANK('Raw Data'!K28),"",'Raw Data'!K28)</x:f>
        <x:v>516.01</x:v>
      </x:c>
      <x:c r="N28" s="64" t="str">
        <x:f t="shared" si="1"/>
        <x:v>OK</x:v>
      </x:c>
      <x:c r="O28" s="64" t="str">
        <x:f t="shared" si="2"/>
        <x:v>OK</x:v>
      </x:c>
      <x:c r="P28" s="64" t="str">
        <x:f>IF(OR(AND('Raw Data'!F28&lt;&gt;"",H28=""),AND('Raw Data'!I28&lt;&gt;"",K28="")),"Invalid Date","OK")</x:f>
        <x:v>OK</x:v>
      </x:c>
      <x:c r="Q28" s="64" t="str">
        <x:f t="shared" si="3"/>
        <x:v>OK</x:v>
      </x:c>
      <x:c r="R28" s="64" t="str">
        <x:f>IF(OR(ISBLANK('Raw Data'!J28),'Raw Data'!J28&lt;0),"Invalid Order Count","OK")</x:f>
        <x:v>OK</x:v>
      </x:c>
      <x:c r="S28" s="64" t="str">
        <x:f>IF(OR(ISBLANK('Raw Data'!K28),'Raw Data'!K28&lt;0),"Invalid Lifetime Value","OK")</x:f>
        <x:v>OK</x:v>
      </x:c>
      <x:c r="T28" s="64" t="str">
        <x:f t="shared" si="4"/>
        <x:v>OK</x:v>
      </x:c>
      <x:c r="U28" s="17" t="n">
        <x:f>IF(AND(C28&gt;1,COUNTIF($B$4:B28,B28)=1),1,0)</x:f>
        <x:v>0</x:v>
      </x:c>
      <x:c r="V28" s="17">
        <x:f t="shared" si="5"/>
        <x:v>0</x:v>
      </x:c>
      <x:c r="W28" s="64" t="str">
        <x:f t="shared" si="6"/>
        <x:v>Ready</x:v>
      </x:c>
      <x:c r="X28" s="64" t="str">
        <x:f t="shared" si="7"/>
        <x:v>Ready</x:v>
      </x:c>
      <x:c r="Y28" s="17" t="str">
        <x:f t="shared" si="8"/>
        <x:v>Record ready for administrative reporting</x:v>
      </x:c>
    </x:row>
    <x:row r="29" ht="27.950000762939453" customHeight="1">
      <x:c r="A29" s="14" t="n">
        <x:f>ROW('Raw Data'!A29)</x:f>
        <x:v>29</x:v>
      </x:c>
      <x:c r="B29" s="14" t="str">
        <x:f>'Raw Data'!A29</x:f>
        <x:v>CUST-0026</x:v>
      </x:c>
      <x:c r="C29" s="14">
        <x:f t="shared" si="0"/>
        <x:v>1</x:v>
      </x:c>
      <x:c r="D29" s="14" t="str">
        <x:f>PROPER(TRIM('Raw Data'!B29))</x:f>
        <x:v>Chloe Parker</x:v>
      </x:c>
      <x:c r="E29" s="14" t="str">
        <x:f>TRIM('Raw Data'!C29)</x:f>
        <x:v>chloe.parker@example.com</x:v>
      </x:c>
      <x:c r="F29" s="14" t="str">
        <x:f>TRIM('Raw Data'!D29)</x:f>
        <x:v>+1 202 555 1026</x:v>
      </x:c>
      <x:c r="G29" s="14" t="str">
        <x:f>IFERROR(VLOOKUP(UPPER(TRIM('Raw Data'!E29)),Mappings!$G$5:$H$10,2,FALSE),"Needs Review")</x:f>
        <x:v>Indonesia</x:v>
      </x:c>
      <x:c r="H29" s="19" t="n">
        <x:f>IF('Raw Data'!F29="","",IF(ISNUMBER('Raw Data'!F29),'Raw Data'!F29,IFERROR(DATEVALUE('Raw Data'!F29),"")))</x:f>
        <x:v>45725</x:v>
      </x:c>
      <x:c r="I29" s="63" t="str">
        <x:f>IFERROR(VLOOKUP(UPPER(TRIM('Raw Data'!G29)),Mappings!$A$5:$B$7,2,FALSE),"Needs Review")</x:f>
        <x:v>Business</x:v>
      </x:c>
      <x:c r="J29" s="63" t="str">
        <x:f>IFERROR(VLOOKUP(UPPER(TRIM('Raw Data'!H29)),Mappings!$D$5:$E$7,2,FALSE),"Needs Review")</x:f>
        <x:v>Active</x:v>
      </x:c>
      <x:c r="K29" s="19" t="n">
        <x:f>IF('Raw Data'!I29="","",IF(ISNUMBER('Raw Data'!I29),'Raw Data'!I29,IFERROR(DATEVALUE('Raw Data'!I29),"")))</x:f>
        <x:v>45749</x:v>
      </x:c>
      <x:c r="L29" s="14" t="n">
        <x:f>IF(ISBLANK('Raw Data'!J29),"",'Raw Data'!J29)</x:f>
        <x:v>14</x:v>
      </x:c>
      <x:c r="M29" s="23" t="n">
        <x:f>IF(ISBLANK('Raw Data'!K29),"",'Raw Data'!K29)</x:f>
        <x:v>2029.65</x:v>
      </x:c>
      <x:c r="N29" s="63" t="str">
        <x:f t="shared" si="1"/>
        <x:v>OK</x:v>
      </x:c>
      <x:c r="O29" s="63" t="str">
        <x:f t="shared" si="2"/>
        <x:v>OK</x:v>
      </x:c>
      <x:c r="P29" s="63" t="str">
        <x:f>IF(OR(AND('Raw Data'!F29&lt;&gt;"",H29=""),AND('Raw Data'!I29&lt;&gt;"",K29="")),"Invalid Date","OK")</x:f>
        <x:v>OK</x:v>
      </x:c>
      <x:c r="Q29" s="63" t="str">
        <x:f t="shared" si="3"/>
        <x:v>OK</x:v>
      </x:c>
      <x:c r="R29" s="63" t="str">
        <x:f>IF(OR(ISBLANK('Raw Data'!J29),'Raw Data'!J29&lt;0),"Invalid Order Count","OK")</x:f>
        <x:v>OK</x:v>
      </x:c>
      <x:c r="S29" s="63" t="str">
        <x:f>IF(OR(ISBLANK('Raw Data'!K29),'Raw Data'!K29&lt;0),"Invalid Lifetime Value","OK")</x:f>
        <x:v>OK</x:v>
      </x:c>
      <x:c r="T29" s="63" t="str">
        <x:f t="shared" si="4"/>
        <x:v>OK</x:v>
      </x:c>
      <x:c r="U29" s="14" t="n">
        <x:f>IF(AND(C29&gt;1,COUNTIF($B$4:B29,B29)=1),1,0)</x:f>
        <x:v>0</x:v>
      </x:c>
      <x:c r="V29" s="14">
        <x:f t="shared" si="5"/>
        <x:v>0</x:v>
      </x:c>
      <x:c r="W29" s="63" t="str">
        <x:f t="shared" si="6"/>
        <x:v>Ready</x:v>
      </x:c>
      <x:c r="X29" s="63" t="str">
        <x:f t="shared" si="7"/>
        <x:v>Ready</x:v>
      </x:c>
      <x:c r="Y29" s="14" t="str">
        <x:f t="shared" si="8"/>
        <x:v>Record ready for administrative reporting</x:v>
      </x:c>
    </x:row>
    <x:row r="30" ht="27.950000762939453" customHeight="1">
      <x:c r="A30" s="17" t="n">
        <x:f>ROW('Raw Data'!A30)</x:f>
        <x:v>30</x:v>
      </x:c>
      <x:c r="B30" s="17" t="str">
        <x:f>'Raw Data'!A30</x:f>
        <x:v>CUST-0027</x:v>
      </x:c>
      <x:c r="C30" s="17">
        <x:f t="shared" si="0"/>
        <x:v>1</x:v>
      </x:c>
      <x:c r="D30" s="17" t="str">
        <x:f>PROPER(TRIM('Raw Data'!B30))</x:f>
        <x:v>Leo Reed</x:v>
      </x:c>
      <x:c r="E30" s="17" t="str">
        <x:f>TRIM('Raw Data'!C30)</x:f>
        <x:v>leo.reed@example.com</x:v>
      </x:c>
      <x:c r="F30" s="17" t="str">
        <x:f>TRIM('Raw Data'!D30)</x:f>
        <x:v>+1 202 555 1027</x:v>
      </x:c>
      <x:c r="G30" s="17" t="str">
        <x:f>IFERROR(VLOOKUP(UPPER(TRIM('Raw Data'!E30)),Mappings!$G$5:$H$10,2,FALSE),"Needs Review")</x:f>
        <x:v>United States</x:v>
      </x:c>
      <x:c r="H30" s="20" t="n">
        <x:f>IF('Raw Data'!F30="","",IF(ISNUMBER('Raw Data'!F30),'Raw Data'!F30,IFERROR(DATEVALUE('Raw Data'!F30),"")))</x:f>
        <x:v>45979</x:v>
      </x:c>
      <x:c r="I30" s="64" t="str">
        <x:f>IFERROR(VLOOKUP(UPPER(TRIM('Raw Data'!G30)),Mappings!$A$5:$B$7,2,FALSE),"Needs Review")</x:f>
        <x:v>Retail</x:v>
      </x:c>
      <x:c r="J30" s="64" t="str">
        <x:f>IFERROR(VLOOKUP(UPPER(TRIM('Raw Data'!H30)),Mappings!$D$5:$E$7,2,FALSE),"Needs Review")</x:f>
        <x:v>Active</x:v>
      </x:c>
      <x:c r="K30" s="20" t="n">
        <x:f>IF('Raw Data'!I30="","",IF(ISNUMBER('Raw Data'!I30),'Raw Data'!I30,IFERROR(DATEVALUE('Raw Data'!I30),"")))</x:f>
        <x:v>46044</x:v>
      </x:c>
      <x:c r="L30" s="17" t="n">
        <x:f>IF(ISBLANK('Raw Data'!J30),"",'Raw Data'!J30)</x:f>
        <x:v>5</x:v>
      </x:c>
      <x:c r="M30" s="24" t="n">
        <x:f>IF(ISBLANK('Raw Data'!K30),"",'Raw Data'!K30)</x:f>
        <x:v>1045.71</x:v>
      </x:c>
      <x:c r="N30" s="64" t="str">
        <x:f t="shared" si="1"/>
        <x:v>OK</x:v>
      </x:c>
      <x:c r="O30" s="64" t="str">
        <x:f t="shared" si="2"/>
        <x:v>OK</x:v>
      </x:c>
      <x:c r="P30" s="64" t="str">
        <x:f>IF(OR(AND('Raw Data'!F30&lt;&gt;"",H30=""),AND('Raw Data'!I30&lt;&gt;"",K30="")),"Invalid Date","OK")</x:f>
        <x:v>OK</x:v>
      </x:c>
      <x:c r="Q30" s="64" t="str">
        <x:f t="shared" si="3"/>
        <x:v>OK</x:v>
      </x:c>
      <x:c r="R30" s="64" t="str">
        <x:f>IF(OR(ISBLANK('Raw Data'!J30),'Raw Data'!J30&lt;0),"Invalid Order Count","OK")</x:f>
        <x:v>OK</x:v>
      </x:c>
      <x:c r="S30" s="64" t="str">
        <x:f>IF(OR(ISBLANK('Raw Data'!K30),'Raw Data'!K30&lt;0),"Invalid Lifetime Value","OK")</x:f>
        <x:v>OK</x:v>
      </x:c>
      <x:c r="T30" s="64" t="str">
        <x:f t="shared" si="4"/>
        <x:v>OK</x:v>
      </x:c>
      <x:c r="U30" s="17" t="n">
        <x:f>IF(AND(C30&gt;1,COUNTIF($B$4:B30,B30)=1),1,0)</x:f>
        <x:v>0</x:v>
      </x:c>
      <x:c r="V30" s="17">
        <x:f t="shared" si="5"/>
        <x:v>0</x:v>
      </x:c>
      <x:c r="W30" s="64" t="str">
        <x:f t="shared" si="6"/>
        <x:v>Ready</x:v>
      </x:c>
      <x:c r="X30" s="64" t="str">
        <x:f t="shared" si="7"/>
        <x:v>Ready</x:v>
      </x:c>
      <x:c r="Y30" s="17" t="str">
        <x:f t="shared" si="8"/>
        <x:v>Record ready for administrative reporting</x:v>
      </x:c>
    </x:row>
    <x:row r="31" ht="27.950000762939453" customHeight="1">
      <x:c r="A31" s="14" t="n">
        <x:f>ROW('Raw Data'!A31)</x:f>
        <x:v>31</x:v>
      </x:c>
      <x:c r="B31" s="14" t="str">
        <x:f>'Raw Data'!A31</x:f>
        <x:v>CUST-0028</x:v>
      </x:c>
      <x:c r="C31" s="14">
        <x:f t="shared" si="0"/>
        <x:v>2</x:v>
      </x:c>
      <x:c r="D31" s="14" t="str">
        <x:f>PROPER(TRIM('Raw Data'!B31))</x:f>
        <x:v>Henry Turner</x:v>
      </x:c>
      <x:c r="E31" s="14" t="str">
        <x:f>TRIM('Raw Data'!C31)</x:f>
        <x:v>henry.turner@example.com</x:v>
      </x:c>
      <x:c r="F31" s="14" t="str">
        <x:f>TRIM('Raw Data'!D31)</x:f>
        <x:v>+1 202 555 1028</x:v>
      </x:c>
      <x:c r="G31" s="14" t="str">
        <x:f>IFERROR(VLOOKUP(UPPER(TRIM('Raw Data'!E31)),Mappings!$G$5:$H$10,2,FALSE),"Needs Review")</x:f>
        <x:v>Australia</x:v>
      </x:c>
      <x:c r="H31" s="19" t="n">
        <x:f>IF('Raw Data'!F31="","",IF(ISNUMBER('Raw Data'!F31),'Raw Data'!F31,IFERROR(DATEVALUE('Raw Data'!F31),"")))</x:f>
        <x:v>45663</x:v>
      </x:c>
      <x:c r="I31" s="63" t="str">
        <x:f>IFERROR(VLOOKUP(UPPER(TRIM('Raw Data'!G31)),Mappings!$A$5:$B$7,2,FALSE),"Needs Review")</x:f>
        <x:v>Business</x:v>
      </x:c>
      <x:c r="J31" s="63" t="str">
        <x:f>IFERROR(VLOOKUP(UPPER(TRIM('Raw Data'!H31)),Mappings!$D$5:$E$7,2,FALSE),"Needs Review")</x:f>
        <x:v>Active</x:v>
      </x:c>
      <x:c r="K31" s="19" t="n">
        <x:f>IF('Raw Data'!I31="","",IF(ISNUMBER('Raw Data'!I31),'Raw Data'!I31,IFERROR(DATEVALUE('Raw Data'!I31),"")))</x:f>
        <x:v>45767</x:v>
      </x:c>
      <x:c r="L31" s="14" t="n">
        <x:f>IF(ISBLANK('Raw Data'!J31),"",'Raw Data'!J31)</x:f>
        <x:v>8</x:v>
      </x:c>
      <x:c r="M31" s="23" t="n">
        <x:f>IF(ISBLANK('Raw Data'!K31),"",'Raw Data'!K31)</x:f>
        <x:v>2319.97</x:v>
      </x:c>
      <x:c r="N31" s="63" t="str">
        <x:f t="shared" si="1"/>
        <x:v>OK</x:v>
      </x:c>
      <x:c r="O31" s="63" t="str">
        <x:f t="shared" si="2"/>
        <x:v>OK</x:v>
      </x:c>
      <x:c r="P31" s="63" t="str">
        <x:f>IF(OR(AND('Raw Data'!F31&lt;&gt;"",H31=""),AND('Raw Data'!I31&lt;&gt;"",K31="")),"Invalid Date","OK")</x:f>
        <x:v>OK</x:v>
      </x:c>
      <x:c r="Q31" s="63" t="str">
        <x:f t="shared" si="3"/>
        <x:v>OK</x:v>
      </x:c>
      <x:c r="R31" s="63" t="str">
        <x:f>IF(OR(ISBLANK('Raw Data'!J31),'Raw Data'!J31&lt;0),"Invalid Order Count","OK")</x:f>
        <x:v>OK</x:v>
      </x:c>
      <x:c r="S31" s="63" t="str">
        <x:f>IF(OR(ISBLANK('Raw Data'!K31),'Raw Data'!K31&lt;0),"Invalid Lifetime Value","OK")</x:f>
        <x:v>OK</x:v>
      </x:c>
      <x:c r="T31" s="63" t="str">
        <x:f t="shared" si="4"/>
        <x:v>Duplicate Customer ID</x:v>
      </x:c>
      <x:c r="U31" s="14" t="n">
        <x:f>IF(AND(C31&gt;1,COUNTIF($B$4:B31,B31)=1),1,0)</x:f>
        <x:v>1</x:v>
      </x:c>
      <x:c r="V31" s="14">
        <x:f t="shared" si="5"/>
        <x:v>1</x:v>
      </x:c>
      <x:c r="W31" s="63" t="str">
        <x:f t="shared" si="6"/>
        <x:v>Duplicate Customer ID</x:v>
      </x:c>
      <x:c r="X31" s="63" t="str">
        <x:f t="shared" si="7"/>
        <x:v>Needs Review</x:v>
      </x:c>
      <x:c r="Y31" s="14" t="str">
        <x:f t="shared" si="8"/>
        <x:v>Compare duplicate rows and confirm the valid source record</x:v>
      </x:c>
    </x:row>
    <x:row r="32" ht="27.950000762939453" customHeight="1">
      <x:c r="A32" s="17" t="n">
        <x:f>ROW('Raw Data'!A32)</x:f>
        <x:v>32</x:v>
      </x:c>
      <x:c r="B32" s="17" t="str">
        <x:f>'Raw Data'!A32</x:f>
        <x:v>CUST-0029</x:v>
      </x:c>
      <x:c r="C32" s="17">
        <x:f t="shared" si="0"/>
        <x:v>1</x:v>
      </x:c>
      <x:c r="D32" s="17" t="str">
        <x:f>PROPER(TRIM('Raw Data'!B32))</x:f>
        <x:v>Chloe Foster</x:v>
      </x:c>
      <x:c r="E32" s="17" t="str">
        <x:f>TRIM('Raw Data'!C32)</x:f>
        <x:v>chloe.foster@example.com</x:v>
      </x:c>
      <x:c r="F32" s="17" t="str">
        <x:f>TRIM('Raw Data'!D32)</x:f>
        <x:v>+1 202 555 1029</x:v>
      </x:c>
      <x:c r="G32" s="17" t="str">
        <x:f>IFERROR(VLOOKUP(UPPER(TRIM('Raw Data'!E32)),Mappings!$G$5:$H$10,2,FALSE),"Needs Review")</x:f>
        <x:v>Australia</x:v>
      </x:c>
      <x:c r="H32" s="20" t="n">
        <x:f>IF('Raw Data'!F32="","",IF(ISNUMBER('Raw Data'!F32),'Raw Data'!F32,IFERROR(DATEVALUE('Raw Data'!F32),"")))</x:f>
        <x:v>46015</x:v>
      </x:c>
      <x:c r="I32" s="64" t="str">
        <x:f>IFERROR(VLOOKUP(UPPER(TRIM('Raw Data'!G32)),Mappings!$A$5:$B$7,2,FALSE),"Needs Review")</x:f>
        <x:v>VIP</x:v>
      </x:c>
      <x:c r="J32" s="64" t="str">
        <x:f>IFERROR(VLOOKUP(UPPER(TRIM('Raw Data'!H32)),Mappings!$D$5:$E$7,2,FALSE),"Needs Review")</x:f>
        <x:v>Prospect</x:v>
      </x:c>
      <x:c r="K32" s="20" t="n">
        <x:f>IF('Raw Data'!I32="","",IF(ISNUMBER('Raw Data'!I32),'Raw Data'!I32,IFERROR(DATEVALUE('Raw Data'!I32),"")))</x:f>
        <x:v>46144</x:v>
      </x:c>
      <x:c r="L32" s="17" t="n">
        <x:f>IF(ISBLANK('Raw Data'!J32),"",'Raw Data'!J32)</x:f>
        <x:v>4</x:v>
      </x:c>
      <x:c r="M32" s="24" t="n">
        <x:f>IF(ISBLANK('Raw Data'!K32),"",'Raw Data'!K32)</x:f>
        <x:v>515.25</x:v>
      </x:c>
      <x:c r="N32" s="64" t="str">
        <x:f t="shared" si="1"/>
        <x:v>OK</x:v>
      </x:c>
      <x:c r="O32" s="64" t="str">
        <x:f t="shared" si="2"/>
        <x:v>OK</x:v>
      </x:c>
      <x:c r="P32" s="64" t="str">
        <x:f>IF(OR(AND('Raw Data'!F32&lt;&gt;"",H32=""),AND('Raw Data'!I32&lt;&gt;"",K32="")),"Invalid Date","OK")</x:f>
        <x:v>OK</x:v>
      </x:c>
      <x:c r="Q32" s="64" t="str">
        <x:f t="shared" si="3"/>
        <x:v>OK</x:v>
      </x:c>
      <x:c r="R32" s="64" t="str">
        <x:f>IF(OR(ISBLANK('Raw Data'!J32),'Raw Data'!J32&lt;0),"Invalid Order Count","OK")</x:f>
        <x:v>OK</x:v>
      </x:c>
      <x:c r="S32" s="64" t="str">
        <x:f>IF(OR(ISBLANK('Raw Data'!K32),'Raw Data'!K32&lt;0),"Invalid Lifetime Value","OK")</x:f>
        <x:v>OK</x:v>
      </x:c>
      <x:c r="T32" s="64" t="str">
        <x:f t="shared" si="4"/>
        <x:v>OK</x:v>
      </x:c>
      <x:c r="U32" s="17" t="n">
        <x:f>IF(AND(C32&gt;1,COUNTIF($B$4:B32,B32)=1),1,0)</x:f>
        <x:v>0</x:v>
      </x:c>
      <x:c r="V32" s="17">
        <x:f t="shared" si="5"/>
        <x:v>0</x:v>
      </x:c>
      <x:c r="W32" s="64" t="str">
        <x:f t="shared" si="6"/>
        <x:v>Ready</x:v>
      </x:c>
      <x:c r="X32" s="64" t="str">
        <x:f t="shared" si="7"/>
        <x:v>Ready</x:v>
      </x:c>
      <x:c r="Y32" s="17" t="str">
        <x:f t="shared" si="8"/>
        <x:v>Record ready for administrative reporting</x:v>
      </x:c>
    </x:row>
    <x:row r="33" ht="27.950000762939453" customHeight="1">
      <x:c r="A33" s="14" t="n">
        <x:f>ROW('Raw Data'!A33)</x:f>
        <x:v>33</x:v>
      </x:c>
      <x:c r="B33" s="14" t="str">
        <x:f>'Raw Data'!A33</x:f>
        <x:v>CUST-0030</x:v>
      </x:c>
      <x:c r="C33" s="14">
        <x:f t="shared" si="0"/>
        <x:v>1</x:v>
      </x:c>
      <x:c r="D33" s="14" t="str">
        <x:f>PROPER(TRIM('Raw Data'!B33))</x:f>
        <x:v>Nora Carter</x:v>
      </x:c>
      <x:c r="E33" s="14" t="str">
        <x:f>TRIM('Raw Data'!C33)</x:f>
        <x:v>nora.carter@example.com</x:v>
      </x:c>
      <x:c r="F33" s="14" t="str">
        <x:f>TRIM('Raw Data'!D33)</x:f>
        <x:v>+1 202 555 1030</x:v>
      </x:c>
      <x:c r="G33" s="14" t="str">
        <x:f>IFERROR(VLOOKUP(UPPER(TRIM('Raw Data'!E33)),Mappings!$G$5:$H$10,2,FALSE),"Needs Review")</x:f>
        <x:v>Singapore</x:v>
      </x:c>
      <x:c r="H33" s="19" t="n">
        <x:f>IF('Raw Data'!F33="","",IF(ISNUMBER('Raw Data'!F33),'Raw Data'!F33,IFERROR(DATEVALUE('Raw Data'!F33),"")))</x:f>
        <x:v>46009</x:v>
      </x:c>
      <x:c r="I33" s="63" t="str">
        <x:f>IFERROR(VLOOKUP(UPPER(TRIM('Raw Data'!G33)),Mappings!$A$5:$B$7,2,FALSE),"Needs Review")</x:f>
        <x:v>Retail</x:v>
      </x:c>
      <x:c r="J33" s="63" t="str">
        <x:f>IFERROR(VLOOKUP(UPPER(TRIM('Raw Data'!H33)),Mappings!$D$5:$E$7,2,FALSE),"Needs Review")</x:f>
        <x:v>Prospect</x:v>
      </x:c>
      <x:c r="K33" s="19" t="n">
        <x:f>IF('Raw Data'!I33="","",IF(ISNUMBER('Raw Data'!I33),'Raw Data'!I33,IFERROR(DATEVALUE('Raw Data'!I33),"")))</x:f>
        <x:v>46094</x:v>
      </x:c>
      <x:c r="L33" s="14" t="n">
        <x:f>IF(ISBLANK('Raw Data'!J33),"",'Raw Data'!J33)</x:f>
        <x:v>1</x:v>
      </x:c>
      <x:c r="M33" s="23" t="n">
        <x:f>IF(ISBLANK('Raw Data'!K33),"",'Raw Data'!K33)</x:f>
        <x:v>-125</x:v>
      </x:c>
      <x:c r="N33" s="63" t="str">
        <x:f t="shared" si="1"/>
        <x:v>OK</x:v>
      </x:c>
      <x:c r="O33" s="63" t="str">
        <x:f t="shared" si="2"/>
        <x:v>OK</x:v>
      </x:c>
      <x:c r="P33" s="63" t="str">
        <x:f>IF(OR(AND('Raw Data'!F33&lt;&gt;"",H33=""),AND('Raw Data'!I33&lt;&gt;"",K33="")),"Invalid Date","OK")</x:f>
        <x:v>OK</x:v>
      </x:c>
      <x:c r="Q33" s="63" t="str">
        <x:f t="shared" si="3"/>
        <x:v>OK</x:v>
      </x:c>
      <x:c r="R33" s="63" t="str">
        <x:f>IF(OR(ISBLANK('Raw Data'!J33),'Raw Data'!J33&lt;0),"Invalid Order Count","OK")</x:f>
        <x:v>OK</x:v>
      </x:c>
      <x:c r="S33" s="63" t="str">
        <x:f>IF(OR(ISBLANK('Raw Data'!K33),'Raw Data'!K33&lt;0),"Invalid Lifetime Value","OK")</x:f>
        <x:v>Invalid Lifetime Value</x:v>
      </x:c>
      <x:c r="T33" s="63" t="str">
        <x:f t="shared" si="4"/>
        <x:v>OK</x:v>
      </x:c>
      <x:c r="U33" s="14" t="n">
        <x:f>IF(AND(C33&gt;1,COUNTIF($B$4:B33,B33)=1),1,0)</x:f>
        <x:v>0</x:v>
      </x:c>
      <x:c r="V33" s="14">
        <x:f t="shared" si="5"/>
        <x:v>1</x:v>
      </x:c>
      <x:c r="W33" s="63" t="str">
        <x:f t="shared" si="6"/>
        <x:v>Invalid Lifetime Value</x:v>
      </x:c>
      <x:c r="X33" s="63" t="str">
        <x:f t="shared" si="7"/>
        <x:v>Needs Review</x:v>
      </x:c>
      <x:c r="Y33" s="14" t="str">
        <x:f t="shared" si="8"/>
        <x:v>Verify numeric value against the source record</x:v>
      </x:c>
    </x:row>
    <x:row r="34" ht="27.950000762939453" customHeight="1">
      <x:c r="A34" s="17" t="n">
        <x:f>ROW('Raw Data'!A34)</x:f>
        <x:v>34</x:v>
      </x:c>
      <x:c r="B34" s="17" t="str">
        <x:f>'Raw Data'!A34</x:f>
        <x:v>CUST-0031</x:v>
      </x:c>
      <x:c r="C34" s="17">
        <x:f t="shared" si="0"/>
        <x:v>1</x:v>
      </x:c>
      <x:c r="D34" s="17" t="str">
        <x:f>PROPER(TRIM('Raw Data'!B34))</x:f>
        <x:v>Henry Rivera</x:v>
      </x:c>
      <x:c r="E34" s="17" t="str">
        <x:f>TRIM('Raw Data'!C34)</x:f>
        <x:v>henry.rivera@example.com</x:v>
      </x:c>
      <x:c r="F34" s="17" t="str">
        <x:f>TRIM('Raw Data'!D34)</x:f>
        <x:v>+1 202 555 1031</x:v>
      </x:c>
      <x:c r="G34" s="17" t="str">
        <x:f>IFERROR(VLOOKUP(UPPER(TRIM('Raw Data'!E34)),Mappings!$G$5:$H$10,2,FALSE),"Needs Review")</x:f>
        <x:v>Singapore</x:v>
      </x:c>
      <x:c r="H34" s="20" t="n">
        <x:f>IF('Raw Data'!F34="","",IF(ISNUMBER('Raw Data'!F34),'Raw Data'!F34,IFERROR(DATEVALUE('Raw Data'!F34),"")))</x:f>
        <x:v>45718</x:v>
      </x:c>
      <x:c r="I34" s="64" t="str">
        <x:f>IFERROR(VLOOKUP(UPPER(TRIM('Raw Data'!G34)),Mappings!$A$5:$B$7,2,FALSE),"Needs Review")</x:f>
        <x:v>VIP</x:v>
      </x:c>
      <x:c r="J34" s="64" t="str">
        <x:f>IFERROR(VLOOKUP(UPPER(TRIM('Raw Data'!H34)),Mappings!$D$5:$E$7,2,FALSE),"Needs Review")</x:f>
        <x:v>Active</x:v>
      </x:c>
      <x:c r="K34" s="20" t="n">
        <x:f>IF('Raw Data'!I34="","",IF(ISNUMBER('Raw Data'!I34),'Raw Data'!I34,IFERROR(DATEVALUE('Raw Data'!I34),"")))</x:f>
        <x:v>45770</x:v>
      </x:c>
      <x:c r="L34" s="17" t="n">
        <x:f>IF(ISBLANK('Raw Data'!J34),"",'Raw Data'!J34)</x:f>
        <x:v>2</x:v>
      </x:c>
      <x:c r="M34" s="24" t="n">
        <x:f>IF(ISBLANK('Raw Data'!K34),"",'Raw Data'!K34)</x:f>
        <x:v>1507.84</x:v>
      </x:c>
      <x:c r="N34" s="64" t="str">
        <x:f t="shared" si="1"/>
        <x:v>OK</x:v>
      </x:c>
      <x:c r="O34" s="64" t="str">
        <x:f t="shared" si="2"/>
        <x:v>OK</x:v>
      </x:c>
      <x:c r="P34" s="64" t="str">
        <x:f>IF(OR(AND('Raw Data'!F34&lt;&gt;"",H34=""),AND('Raw Data'!I34&lt;&gt;"",K34="")),"Invalid Date","OK")</x:f>
        <x:v>OK</x:v>
      </x:c>
      <x:c r="Q34" s="64" t="str">
        <x:f t="shared" si="3"/>
        <x:v>OK</x:v>
      </x:c>
      <x:c r="R34" s="64" t="str">
        <x:f>IF(OR(ISBLANK('Raw Data'!J34),'Raw Data'!J34&lt;0),"Invalid Order Count","OK")</x:f>
        <x:v>OK</x:v>
      </x:c>
      <x:c r="S34" s="64" t="str">
        <x:f>IF(OR(ISBLANK('Raw Data'!K34),'Raw Data'!K34&lt;0),"Invalid Lifetime Value","OK")</x:f>
        <x:v>OK</x:v>
      </x:c>
      <x:c r="T34" s="64" t="str">
        <x:f t="shared" si="4"/>
        <x:v>OK</x:v>
      </x:c>
      <x:c r="U34" s="17" t="n">
        <x:f>IF(AND(C34&gt;1,COUNTIF($B$4:B34,B34)=1),1,0)</x:f>
        <x:v>0</x:v>
      </x:c>
      <x:c r="V34" s="17">
        <x:f t="shared" si="5"/>
        <x:v>0</x:v>
      </x:c>
      <x:c r="W34" s="64" t="str">
        <x:f t="shared" si="6"/>
        <x:v>Ready</x:v>
      </x:c>
      <x:c r="X34" s="64" t="str">
        <x:f t="shared" si="7"/>
        <x:v>Ready</x:v>
      </x:c>
      <x:c r="Y34" s="17" t="str">
        <x:f t="shared" si="8"/>
        <x:v>Record ready for administrative reporting</x:v>
      </x:c>
    </x:row>
    <x:row r="35" ht="27.950000762939453" customHeight="1">
      <x:c r="A35" s="14" t="n">
        <x:f>ROW('Raw Data'!A35)</x:f>
        <x:v>35</x:v>
      </x:c>
      <x:c r="B35" s="14" t="str">
        <x:f>'Raw Data'!A35</x:f>
        <x:v>CUST-0032</x:v>
      </x:c>
      <x:c r="C35" s="14">
        <x:f t="shared" si="0"/>
        <x:v>1</x:v>
      </x:c>
      <x:c r="D35" s="14" t="str">
        <x:f>PROPER(TRIM('Raw Data'!B35))</x:f>
        <x:v>Lucas Collins</x:v>
      </x:c>
      <x:c r="E35" s="14" t="str">
        <x:f>TRIM('Raw Data'!C35)</x:f>
        <x:v>lucas.collins@example.com</x:v>
      </x:c>
      <x:c r="F35" s="14" t="str">
        <x:f>TRIM('Raw Data'!D35)</x:f>
        <x:v>+1 202 555 1032</x:v>
      </x:c>
      <x:c r="G35" s="14" t="str">
        <x:f>IFERROR(VLOOKUP(UPPER(TRIM('Raw Data'!E35)),Mappings!$G$5:$H$10,2,FALSE),"Needs Review")</x:f>
        <x:v>United States</x:v>
      </x:c>
      <x:c r="H35" s="19" t="n">
        <x:f>IF('Raw Data'!F35="","",IF(ISNUMBER('Raw Data'!F35),'Raw Data'!F35,IFERROR(DATEVALUE('Raw Data'!F35),"")))</x:f>
        <x:v>45938</x:v>
      </x:c>
      <x:c r="I35" s="63" t="str">
        <x:f>IFERROR(VLOOKUP(UPPER(TRIM('Raw Data'!G35)),Mappings!$A$5:$B$7,2,FALSE),"Needs Review")</x:f>
        <x:v>VIP</x:v>
      </x:c>
      <x:c r="J35" s="63" t="str">
        <x:f>IFERROR(VLOOKUP(UPPER(TRIM('Raw Data'!H35)),Mappings!$D$5:$E$7,2,FALSE),"Needs Review")</x:f>
        <x:v>Prospect</x:v>
      </x:c>
      <x:c r="K35" s="19" t="str">
        <x:f>IF('Raw Data'!I35="","",IF(ISNUMBER('Raw Data'!I35),'Raw Data'!I35,IFERROR(DATEVALUE('Raw Data'!I35),"")))</x:f>
      </x:c>
      <x:c r="L35" s="14" t="n">
        <x:f>IF(ISBLANK('Raw Data'!J35),"",'Raw Data'!J35)</x:f>
        <x:v>2</x:v>
      </x:c>
      <x:c r="M35" s="23" t="n">
        <x:f>IF(ISBLANK('Raw Data'!K35),"",'Raw Data'!K35)</x:f>
        <x:v>1077.1</x:v>
      </x:c>
      <x:c r="N35" s="63" t="str">
        <x:f t="shared" si="1"/>
        <x:v>OK</x:v>
      </x:c>
      <x:c r="O35" s="63" t="str">
        <x:f t="shared" si="2"/>
        <x:v>OK</x:v>
      </x:c>
      <x:c r="P35" s="63" t="str">
        <x:f>IF(OR(AND('Raw Data'!F35&lt;&gt;"",H35=""),AND('Raw Data'!I35&lt;&gt;"",K35="")),"Invalid Date","OK")</x:f>
        <x:v>Invalid Date</x:v>
      </x:c>
      <x:c r="Q35" s="63" t="str">
        <x:f t="shared" si="3"/>
        <x:v>OK</x:v>
      </x:c>
      <x:c r="R35" s="63" t="str">
        <x:f>IF(OR(ISBLANK('Raw Data'!J35),'Raw Data'!J35&lt;0),"Invalid Order Count","OK")</x:f>
        <x:v>OK</x:v>
      </x:c>
      <x:c r="S35" s="63" t="str">
        <x:f>IF(OR(ISBLANK('Raw Data'!K35),'Raw Data'!K35&lt;0),"Invalid Lifetime Value","OK")</x:f>
        <x:v>OK</x:v>
      </x:c>
      <x:c r="T35" s="63" t="str">
        <x:f t="shared" si="4"/>
        <x:v>OK</x:v>
      </x:c>
      <x:c r="U35" s="14" t="n">
        <x:f>IF(AND(C35&gt;1,COUNTIF($B$4:B35,B35)=1),1,0)</x:f>
        <x:v>0</x:v>
      </x:c>
      <x:c r="V35" s="14">
        <x:f t="shared" si="5"/>
        <x:v>1</x:v>
      </x:c>
      <x:c r="W35" s="63" t="str">
        <x:f t="shared" si="6"/>
        <x:v>Invalid Date</x:v>
      </x:c>
      <x:c r="X35" s="63" t="str">
        <x:f t="shared" si="7"/>
        <x:v>Needs Review</x:v>
      </x:c>
      <x:c r="Y35" s="14" t="str">
        <x:f t="shared" si="8"/>
        <x:v>Request missing or corrected customer information</x:v>
      </x:c>
    </x:row>
    <x:row r="36" ht="27.950000762939453" customHeight="1">
      <x:c r="A36" s="17" t="n">
        <x:f>ROW('Raw Data'!A36)</x:f>
        <x:v>36</x:v>
      </x:c>
      <x:c r="B36" s="17" t="str">
        <x:f>'Raw Data'!A36</x:f>
        <x:v>CUST-0033</x:v>
      </x:c>
      <x:c r="C36" s="17" t="n">
        <x:f t="shared" ref="C36:C63" si="9">COUNTIF($B$4:$B$63,B36)</x:f>
        <x:v>1</x:v>
      </x:c>
      <x:c r="D36" s="17" t="str">
        <x:f>PROPER(TRIM('Raw Data'!B36))</x:f>
        <x:v>Zoe Young</x:v>
      </x:c>
      <x:c r="E36" s="17" t="str">
        <x:f>TRIM('Raw Data'!C36)</x:f>
        <x:v>zoe.young@example.com</x:v>
      </x:c>
      <x:c r="F36" s="17" t="str">
        <x:f>TRIM('Raw Data'!D36)</x:f>
        <x:v>+1 202 555 1033</x:v>
      </x:c>
      <x:c r="G36" s="17" t="str">
        <x:f>IFERROR(VLOOKUP(UPPER(TRIM('Raw Data'!E36)),Mappings!$G$5:$H$10,2,FALSE),"Needs Review")</x:f>
        <x:v>Singapore</x:v>
      </x:c>
      <x:c r="H36" s="20" t="n">
        <x:f>IF('Raw Data'!F36="","",IF(ISNUMBER('Raw Data'!F36),'Raw Data'!F36,IFERROR(DATEVALUE('Raw Data'!F36),"")))</x:f>
        <x:v>45817</x:v>
      </x:c>
      <x:c r="I36" s="64" t="str">
        <x:f>IFERROR(VLOOKUP(UPPER(TRIM('Raw Data'!G36)),Mappings!$A$5:$B$7,2,FALSE),"Needs Review")</x:f>
        <x:v>Retail</x:v>
      </x:c>
      <x:c r="J36" s="64" t="str">
        <x:f>IFERROR(VLOOKUP(UPPER(TRIM('Raw Data'!H36)),Mappings!$D$5:$E$7,2,FALSE),"Needs Review")</x:f>
        <x:v>Prospect</x:v>
      </x:c>
      <x:c r="K36" s="20" t="n">
        <x:f>IF('Raw Data'!I36="","",IF(ISNUMBER('Raw Data'!I36),'Raw Data'!I36,IFERROR(DATEVALUE('Raw Data'!I36),"")))</x:f>
        <x:v>45902</x:v>
      </x:c>
      <x:c r="L36" s="17" t="n">
        <x:f>IF(ISBLANK('Raw Data'!J36),"",'Raw Data'!J36)</x:f>
        <x:v>7</x:v>
      </x:c>
      <x:c r="M36" s="24" t="n">
        <x:f>IF(ISBLANK('Raw Data'!K36),"",'Raw Data'!K36)</x:f>
        <x:v>700.76</x:v>
      </x:c>
      <x:c r="N36" s="64" t="str">
        <x:f t="shared" ref="N36:N63" si="10">IF(E36="","Missing Email","OK")</x:f>
        <x:v>OK</x:v>
      </x:c>
      <x:c r="O36" s="64" t="str">
        <x:f t="shared" ref="O36:O63" si="11">IF(F36="","Missing Phone",IF(LEFT(F36,1)="+","OK","Invalid Phone"))</x:f>
        <x:v>OK</x:v>
      </x:c>
      <x:c r="P36" s="64" t="str">
        <x:f>IF(OR(AND('Raw Data'!F36&lt;&gt;"",H36=""),AND('Raw Data'!I36&lt;&gt;"",K36="")),"Invalid Date","OK")</x:f>
        <x:v>OK</x:v>
      </x:c>
      <x:c r="Q36" s="64" t="str">
        <x:f t="shared" ref="Q36:Q63" si="12">IF(I36="Needs Review","Invalid Segment","OK")</x:f>
        <x:v>OK</x:v>
      </x:c>
      <x:c r="R36" s="64" t="str">
        <x:f>IF(OR(ISBLANK('Raw Data'!J36),'Raw Data'!J36&lt;0),"Invalid Order Count","OK")</x:f>
        <x:v>OK</x:v>
      </x:c>
      <x:c r="S36" s="64" t="str">
        <x:f>IF(OR(ISBLANK('Raw Data'!K36),'Raw Data'!K36&lt;0),"Invalid Lifetime Value","OK")</x:f>
        <x:v>OK</x:v>
      </x:c>
      <x:c r="T36" s="64" t="str">
        <x:f t="shared" ref="T36:T63" si="13">IF(C36&gt;1,"Duplicate Customer ID","OK")</x:f>
        <x:v>OK</x:v>
      </x:c>
      <x:c r="U36" s="17" t="n">
        <x:f>IF(AND(C36&gt;1,COUNTIF($B$4:B36,B36)=1),1,0)</x:f>
        <x:v>0</x:v>
      </x:c>
      <x:c r="V36" s="17" t="n">
        <x:f t="shared" ref="V36:V63" si="14">IF(N36&lt;&gt;"OK",1,0)+IF(O36&lt;&gt;"OK",1,0)+IF(P36&lt;&gt;"OK",1,0)+IF(Q36&lt;&gt;"OK",1,0)+IF(R36&lt;&gt;"OK",1,0)+IF(S36&lt;&gt;"OK",1,0)+IF(T36&lt;&gt;"OK",1,0)</x:f>
        <x:v>0</x:v>
      </x:c>
      <x:c r="W36" s="64" t="str">
        <x:f t="shared" ref="W36:W63" si="15">IF(N36&lt;&gt;"OK",N36,IF(O36&lt;&gt;"OK",O36,IF(P36&lt;&gt;"OK",P36,IF(Q36&lt;&gt;"OK",Q36,IF(R36&lt;&gt;"OK",R36,IF(S36&lt;&gt;"OK",S36,IF(T36&lt;&gt;"OK",T36,"Ready")))))))</x:f>
        <x:v>Ready</x:v>
      </x:c>
      <x:c r="X36" s="64" t="str">
        <x:f t="shared" ref="X36:X63" si="16">IF(V36=0,"Ready","Needs Review")</x:f>
        <x:v>Ready</x:v>
      </x:c>
      <x:c r="Y36" s="17" t="str">
        <x:f t="shared" ref="Y36:Y63" si="17">IF(X36="Ready","Record ready for administrative reporting",IF(W36="Duplicate Customer ID","Compare duplicate rows and confirm the valid source record",IF(W36="Invalid Segment","Request segment confirmation in writing",IF(OR(W36="Invalid Order Count",W36="Invalid Lifetime Value"),"Verify numeric value against the source record","Request missing or corrected customer information"))))</x:f>
        <x:v>Record ready for administrative reporting</x:v>
      </x:c>
    </x:row>
    <x:row r="37" ht="27.950000762939453" customHeight="1">
      <x:c r="A37" s="14" t="n">
        <x:f>ROW('Raw Data'!A37)</x:f>
        <x:v>37</x:v>
      </x:c>
      <x:c r="B37" s="14" t="str">
        <x:f>'Raw Data'!A37</x:f>
        <x:v>CUST-0034</x:v>
      </x:c>
      <x:c r="C37" s="14">
        <x:f t="shared" si="9"/>
        <x:v>1</x:v>
      </x:c>
      <x:c r="D37" s="14" t="str">
        <x:f>PROPER(TRIM('Raw Data'!B37))</x:f>
        <x:v>Maya Foster</x:v>
      </x:c>
      <x:c r="E37" s="14" t="str">
        <x:f>TRIM('Raw Data'!C37)</x:f>
        <x:v>maya.foster@example.com</x:v>
      </x:c>
      <x:c r="F37" s="14" t="str">
        <x:f>TRIM('Raw Data'!D37)</x:f>
        <x:v>+1 202 555 1034</x:v>
      </x:c>
      <x:c r="G37" s="14" t="str">
        <x:f>IFERROR(VLOOKUP(UPPER(TRIM('Raw Data'!E37)),Mappings!$G$5:$H$10,2,FALSE),"Needs Review")</x:f>
        <x:v>Australia</x:v>
      </x:c>
      <x:c r="H37" s="19" t="n">
        <x:f>IF('Raw Data'!F37="","",IF(ISNUMBER('Raw Data'!F37),'Raw Data'!F37,IFERROR(DATEVALUE('Raw Data'!F37),"")))</x:f>
        <x:v>45833</x:v>
      </x:c>
      <x:c r="I37" s="63" t="str">
        <x:f>IFERROR(VLOOKUP(UPPER(TRIM('Raw Data'!G37)),Mappings!$A$5:$B$7,2,FALSE),"Needs Review")</x:f>
        <x:v>Retail</x:v>
      </x:c>
      <x:c r="J37" s="63" t="str">
        <x:f>IFERROR(VLOOKUP(UPPER(TRIM('Raw Data'!H37)),Mappings!$D$5:$E$7,2,FALSE),"Needs Review")</x:f>
        <x:v>Active</x:v>
      </x:c>
      <x:c r="K37" s="19" t="n">
        <x:f>IF('Raw Data'!I37="","",IF(ISNUMBER('Raw Data'!I37),'Raw Data'!I37,IFERROR(DATEVALUE('Raw Data'!I37),"")))</x:f>
        <x:v>45955</x:v>
      </x:c>
      <x:c r="L37" s="14" t="str">
        <x:f>IF(ISBLANK('Raw Data'!J37),"",'Raw Data'!J37)</x:f>
      </x:c>
      <x:c r="M37" s="23" t="n">
        <x:f>IF(ISBLANK('Raw Data'!K37),"",'Raw Data'!K37)</x:f>
        <x:v>2490.44</x:v>
      </x:c>
      <x:c r="N37" s="63" t="str">
        <x:f t="shared" si="10"/>
        <x:v>OK</x:v>
      </x:c>
      <x:c r="O37" s="63" t="str">
        <x:f t="shared" si="11"/>
        <x:v>OK</x:v>
      </x:c>
      <x:c r="P37" s="63" t="str">
        <x:f>IF(OR(AND('Raw Data'!F37&lt;&gt;"",H37=""),AND('Raw Data'!I37&lt;&gt;"",K37="")),"Invalid Date","OK")</x:f>
        <x:v>OK</x:v>
      </x:c>
      <x:c r="Q37" s="63" t="str">
        <x:f t="shared" si="12"/>
        <x:v>OK</x:v>
      </x:c>
      <x:c r="R37" s="63" t="str">
        <x:f>IF(OR(ISBLANK('Raw Data'!J37),'Raw Data'!J37&lt;0),"Invalid Order Count","OK")</x:f>
        <x:v>Invalid Order Count</x:v>
      </x:c>
      <x:c r="S37" s="63" t="str">
        <x:f>IF(OR(ISBLANK('Raw Data'!K37),'Raw Data'!K37&lt;0),"Invalid Lifetime Value","OK")</x:f>
        <x:v>OK</x:v>
      </x:c>
      <x:c r="T37" s="63" t="str">
        <x:f t="shared" si="13"/>
        <x:v>OK</x:v>
      </x:c>
      <x:c r="U37" s="14" t="n">
        <x:f>IF(AND(C37&gt;1,COUNTIF($B$4:B37,B37)=1),1,0)</x:f>
        <x:v>0</x:v>
      </x:c>
      <x:c r="V37" s="14">
        <x:f t="shared" si="14"/>
        <x:v>1</x:v>
      </x:c>
      <x:c r="W37" s="63" t="str">
        <x:f t="shared" si="15"/>
        <x:v>Invalid Order Count</x:v>
      </x:c>
      <x:c r="X37" s="63" t="str">
        <x:f t="shared" si="16"/>
        <x:v>Needs Review</x:v>
      </x:c>
      <x:c r="Y37" s="14" t="str">
        <x:f t="shared" si="17"/>
        <x:v>Verify numeric value against the source record</x:v>
      </x:c>
    </x:row>
    <x:row r="38" ht="27.950000762939453" customHeight="1">
      <x:c r="A38" s="17" t="n">
        <x:f>ROW('Raw Data'!A38)</x:f>
        <x:v>38</x:v>
      </x:c>
      <x:c r="B38" s="17" t="str">
        <x:f>'Raw Data'!A38</x:f>
        <x:v>CUST-0035</x:v>
      </x:c>
      <x:c r="C38" s="17">
        <x:f t="shared" si="9"/>
        <x:v>1</x:v>
      </x:c>
      <x:c r="D38" s="17" t="str">
        <x:f>PROPER(TRIM('Raw Data'!B38))</x:f>
        <x:v>Sofia Gray</x:v>
      </x:c>
      <x:c r="E38" s="17" t="str">
        <x:f>TRIM('Raw Data'!C38)</x:f>
        <x:v>sofia.gray@example.com</x:v>
      </x:c>
      <x:c r="F38" s="17" t="str">
        <x:f>TRIM('Raw Data'!D38)</x:f>
        <x:v>+1 202 555 1035</x:v>
      </x:c>
      <x:c r="G38" s="17" t="str">
        <x:f>IFERROR(VLOOKUP(UPPER(TRIM('Raw Data'!E38)),Mappings!$G$5:$H$10,2,FALSE),"Needs Review")</x:f>
        <x:v>Canada</x:v>
      </x:c>
      <x:c r="H38" s="20" t="n">
        <x:f>IF('Raw Data'!F38="","",IF(ISNUMBER('Raw Data'!F38),'Raw Data'!F38,IFERROR(DATEVALUE('Raw Data'!F38),"")))</x:f>
        <x:v>45909</x:v>
      </x:c>
      <x:c r="I38" s="64" t="str">
        <x:f>IFERROR(VLOOKUP(UPPER(TRIM('Raw Data'!G38)),Mappings!$A$5:$B$7,2,FALSE),"Needs Review")</x:f>
        <x:v>Retail</x:v>
      </x:c>
      <x:c r="J38" s="64" t="str">
        <x:f>IFERROR(VLOOKUP(UPPER(TRIM('Raw Data'!H38)),Mappings!$D$5:$E$7,2,FALSE),"Needs Review")</x:f>
        <x:v>Inactive</x:v>
      </x:c>
      <x:c r="K38" s="20" t="n">
        <x:f>IF('Raw Data'!I38="","",IF(ISNUMBER('Raw Data'!I38),'Raw Data'!I38,IFERROR(DATEVALUE('Raw Data'!I38),"")))</x:f>
        <x:v>45931</x:v>
      </x:c>
      <x:c r="L38" s="17" t="n">
        <x:f>IF(ISBLANK('Raw Data'!J38),"",'Raw Data'!J38)</x:f>
        <x:v>7</x:v>
      </x:c>
      <x:c r="M38" s="24" t="n">
        <x:f>IF(ISBLANK('Raw Data'!K38),"",'Raw Data'!K38)</x:f>
        <x:v>955.34</x:v>
      </x:c>
      <x:c r="N38" s="64" t="str">
        <x:f t="shared" si="10"/>
        <x:v>OK</x:v>
      </x:c>
      <x:c r="O38" s="64" t="str">
        <x:f t="shared" si="11"/>
        <x:v>OK</x:v>
      </x:c>
      <x:c r="P38" s="64" t="str">
        <x:f>IF(OR(AND('Raw Data'!F38&lt;&gt;"",H38=""),AND('Raw Data'!I38&lt;&gt;"",K38="")),"Invalid Date","OK")</x:f>
        <x:v>OK</x:v>
      </x:c>
      <x:c r="Q38" s="64" t="str">
        <x:f t="shared" si="12"/>
        <x:v>OK</x:v>
      </x:c>
      <x:c r="R38" s="64" t="str">
        <x:f>IF(OR(ISBLANK('Raw Data'!J38),'Raw Data'!J38&lt;0),"Invalid Order Count","OK")</x:f>
        <x:v>OK</x:v>
      </x:c>
      <x:c r="S38" s="64" t="str">
        <x:f>IF(OR(ISBLANK('Raw Data'!K38),'Raw Data'!K38&lt;0),"Invalid Lifetime Value","OK")</x:f>
        <x:v>OK</x:v>
      </x:c>
      <x:c r="T38" s="64" t="str">
        <x:f t="shared" si="13"/>
        <x:v>OK</x:v>
      </x:c>
      <x:c r="U38" s="17" t="n">
        <x:f>IF(AND(C38&gt;1,COUNTIF($B$4:B38,B38)=1),1,0)</x:f>
        <x:v>0</x:v>
      </x:c>
      <x:c r="V38" s="17">
        <x:f t="shared" si="14"/>
        <x:v>0</x:v>
      </x:c>
      <x:c r="W38" s="64" t="str">
        <x:f t="shared" si="15"/>
        <x:v>Ready</x:v>
      </x:c>
      <x:c r="X38" s="64" t="str">
        <x:f t="shared" si="16"/>
        <x:v>Ready</x:v>
      </x:c>
      <x:c r="Y38" s="17" t="str">
        <x:f t="shared" si="17"/>
        <x:v>Record ready for administrative reporting</x:v>
      </x:c>
    </x:row>
    <x:row r="39" ht="27.950000762939453" customHeight="1">
      <x:c r="A39" s="14" t="n">
        <x:f>ROW('Raw Data'!A39)</x:f>
        <x:v>39</x:v>
      </x:c>
      <x:c r="B39" s="14" t="str">
        <x:f>'Raw Data'!A39</x:f>
        <x:v>CUST-0036</x:v>
      </x:c>
      <x:c r="C39" s="14">
        <x:f t="shared" si="9"/>
        <x:v>1</x:v>
      </x:c>
      <x:c r="D39" s="14" t="str">
        <x:f>PROPER(TRIM('Raw Data'!B39))</x:f>
        <x:v>Ethan Murphy</x:v>
      </x:c>
      <x:c r="E39" s="14" t="str">
        <x:f>TRIM('Raw Data'!C39)</x:f>
        <x:v>ethan.murphy@example.com</x:v>
      </x:c>
      <x:c r="F39" s="14" t="str">
        <x:f>TRIM('Raw Data'!D39)</x:f>
        <x:v>+1 202 555 1036</x:v>
      </x:c>
      <x:c r="G39" s="14" t="str">
        <x:f>IFERROR(VLOOKUP(UPPER(TRIM('Raw Data'!E39)),Mappings!$G$5:$H$10,2,FALSE),"Needs Review")</x:f>
        <x:v>Singapore</x:v>
      </x:c>
      <x:c r="H39" s="19" t="n">
        <x:f>IF('Raw Data'!F39="","",IF(ISNUMBER('Raw Data'!F39),'Raw Data'!F39,IFERROR(DATEVALUE('Raw Data'!F39),"")))</x:f>
        <x:v>46001</x:v>
      </x:c>
      <x:c r="I39" s="63" t="str">
        <x:f>IFERROR(VLOOKUP(UPPER(TRIM('Raw Data'!G39)),Mappings!$A$5:$B$7,2,FALSE),"Needs Review")</x:f>
        <x:v>VIP</x:v>
      </x:c>
      <x:c r="J39" s="63" t="str">
        <x:f>IFERROR(VLOOKUP(UPPER(TRIM('Raw Data'!H39)),Mappings!$D$5:$E$7,2,FALSE),"Needs Review")</x:f>
        <x:v>Prospect</x:v>
      </x:c>
      <x:c r="K39" s="19" t="n">
        <x:f>IF('Raw Data'!I39="","",IF(ISNUMBER('Raw Data'!I39),'Raw Data'!I39,IFERROR(DATEVALUE('Raw Data'!I39),"")))</x:f>
        <x:v>46141</x:v>
      </x:c>
      <x:c r="L39" s="14" t="n">
        <x:f>IF(ISBLANK('Raw Data'!J39),"",'Raw Data'!J39)</x:f>
        <x:v>0</x:v>
      </x:c>
      <x:c r="M39" s="23" t="n">
        <x:f>IF(ISBLANK('Raw Data'!K39),"",'Raw Data'!K39)</x:f>
        <x:v>1686.26</x:v>
      </x:c>
      <x:c r="N39" s="63" t="str">
        <x:f t="shared" si="10"/>
        <x:v>OK</x:v>
      </x:c>
      <x:c r="O39" s="63" t="str">
        <x:f t="shared" si="11"/>
        <x:v>OK</x:v>
      </x:c>
      <x:c r="P39" s="63" t="str">
        <x:f>IF(OR(AND('Raw Data'!F39&lt;&gt;"",H39=""),AND('Raw Data'!I39&lt;&gt;"",K39="")),"Invalid Date","OK")</x:f>
        <x:v>OK</x:v>
      </x:c>
      <x:c r="Q39" s="63" t="str">
        <x:f t="shared" si="12"/>
        <x:v>OK</x:v>
      </x:c>
      <x:c r="R39" s="63" t="str">
        <x:f>IF(OR(ISBLANK('Raw Data'!J39),'Raw Data'!J39&lt;0),"Invalid Order Count","OK")</x:f>
        <x:v>OK</x:v>
      </x:c>
      <x:c r="S39" s="63" t="str">
        <x:f>IF(OR(ISBLANK('Raw Data'!K39),'Raw Data'!K39&lt;0),"Invalid Lifetime Value","OK")</x:f>
        <x:v>OK</x:v>
      </x:c>
      <x:c r="T39" s="63" t="str">
        <x:f t="shared" si="13"/>
        <x:v>OK</x:v>
      </x:c>
      <x:c r="U39" s="14" t="n">
        <x:f>IF(AND(C39&gt;1,COUNTIF($B$4:B39,B39)=1),1,0)</x:f>
        <x:v>0</x:v>
      </x:c>
      <x:c r="V39" s="14">
        <x:f t="shared" si="14"/>
        <x:v>0</x:v>
      </x:c>
      <x:c r="W39" s="63" t="str">
        <x:f t="shared" si="15"/>
        <x:v>Ready</x:v>
      </x:c>
      <x:c r="X39" s="63" t="str">
        <x:f t="shared" si="16"/>
        <x:v>Ready</x:v>
      </x:c>
      <x:c r="Y39" s="14" t="str">
        <x:f t="shared" si="17"/>
        <x:v>Record ready for administrative reporting</x:v>
      </x:c>
    </x:row>
    <x:row r="40" ht="27.950000762939453" customHeight="1">
      <x:c r="A40" s="17" t="n">
        <x:f>ROW('Raw Data'!A40)</x:f>
        <x:v>40</x:v>
      </x:c>
      <x:c r="B40" s="17" t="str">
        <x:f>'Raw Data'!A40</x:f>
        <x:v>CUST-0037</x:v>
      </x:c>
      <x:c r="C40" s="17">
        <x:f t="shared" si="9"/>
        <x:v>1</x:v>
      </x:c>
      <x:c r="D40" s="17" t="str">
        <x:f>PROPER(TRIM('Raw Data'!B40))</x:f>
        <x:v>Leo Foster</x:v>
      </x:c>
      <x:c r="E40" s="17" t="str">
        <x:f>TRIM('Raw Data'!C40)</x:f>
        <x:v>leo.foster@example.com</x:v>
      </x:c>
      <x:c r="F40" s="17" t="str">
        <x:f>TRIM('Raw Data'!D40)</x:f>
        <x:v>+1 202 555 1037</x:v>
      </x:c>
      <x:c r="G40" s="17" t="str">
        <x:f>IFERROR(VLOOKUP(UPPER(TRIM('Raw Data'!E40)),Mappings!$G$5:$H$10,2,FALSE),"Needs Review")</x:f>
        <x:v>Indonesia</x:v>
      </x:c>
      <x:c r="H40" s="20" t="n">
        <x:f>IF('Raw Data'!F40="","",IF(ISNUMBER('Raw Data'!F40),'Raw Data'!F40,IFERROR(DATEVALUE('Raw Data'!F40),"")))</x:f>
        <x:v>45693</x:v>
      </x:c>
      <x:c r="I40" s="64" t="str">
        <x:f>IFERROR(VLOOKUP(UPPER(TRIM('Raw Data'!G40)),Mappings!$A$5:$B$7,2,FALSE),"Needs Review")</x:f>
        <x:v>Business</x:v>
      </x:c>
      <x:c r="J40" s="64" t="str">
        <x:f>IFERROR(VLOOKUP(UPPER(TRIM('Raw Data'!H40)),Mappings!$D$5:$E$7,2,FALSE),"Needs Review")</x:f>
        <x:v>Active</x:v>
      </x:c>
      <x:c r="K40" s="20" t="n">
        <x:f>IF('Raw Data'!I40="","",IF(ISNUMBER('Raw Data'!I40),'Raw Data'!I40,IFERROR(DATEVALUE('Raw Data'!I40),"")))</x:f>
        <x:v>45725</x:v>
      </x:c>
      <x:c r="L40" s="17" t="n">
        <x:f>IF(ISBLANK('Raw Data'!J40),"",'Raw Data'!J40)</x:f>
        <x:v>17</x:v>
      </x:c>
      <x:c r="M40" s="24" t="n">
        <x:f>IF(ISBLANK('Raw Data'!K40),"",'Raw Data'!K40)</x:f>
        <x:v>430.85</x:v>
      </x:c>
      <x:c r="N40" s="64" t="str">
        <x:f t="shared" si="10"/>
        <x:v>OK</x:v>
      </x:c>
      <x:c r="O40" s="64" t="str">
        <x:f t="shared" si="11"/>
        <x:v>OK</x:v>
      </x:c>
      <x:c r="P40" s="64" t="str">
        <x:f>IF(OR(AND('Raw Data'!F40&lt;&gt;"",H40=""),AND('Raw Data'!I40&lt;&gt;"",K40="")),"Invalid Date","OK")</x:f>
        <x:v>OK</x:v>
      </x:c>
      <x:c r="Q40" s="64" t="str">
        <x:f t="shared" si="12"/>
        <x:v>OK</x:v>
      </x:c>
      <x:c r="R40" s="64" t="str">
        <x:f>IF(OR(ISBLANK('Raw Data'!J40),'Raw Data'!J40&lt;0),"Invalid Order Count","OK")</x:f>
        <x:v>OK</x:v>
      </x:c>
      <x:c r="S40" s="64" t="str">
        <x:f>IF(OR(ISBLANK('Raw Data'!K40),'Raw Data'!K40&lt;0),"Invalid Lifetime Value","OK")</x:f>
        <x:v>OK</x:v>
      </x:c>
      <x:c r="T40" s="64" t="str">
        <x:f t="shared" si="13"/>
        <x:v>OK</x:v>
      </x:c>
      <x:c r="U40" s="17" t="n">
        <x:f>IF(AND(C40&gt;1,COUNTIF($B$4:B40,B40)=1),1,0)</x:f>
        <x:v>0</x:v>
      </x:c>
      <x:c r="V40" s="17">
        <x:f t="shared" si="14"/>
        <x:v>0</x:v>
      </x:c>
      <x:c r="W40" s="64" t="str">
        <x:f t="shared" si="15"/>
        <x:v>Ready</x:v>
      </x:c>
      <x:c r="X40" s="64" t="str">
        <x:f t="shared" si="16"/>
        <x:v>Ready</x:v>
      </x:c>
      <x:c r="Y40" s="17" t="str">
        <x:f t="shared" si="17"/>
        <x:v>Record ready for administrative reporting</x:v>
      </x:c>
    </x:row>
    <x:row r="41" ht="27.950000762939453" customHeight="1">
      <x:c r="A41" s="14" t="n">
        <x:f>ROW('Raw Data'!A41)</x:f>
        <x:v>41</x:v>
      </x:c>
      <x:c r="B41" s="14" t="str">
        <x:f>'Raw Data'!A41</x:f>
        <x:v>CUST-0038</x:v>
      </x:c>
      <x:c r="C41" s="14">
        <x:f t="shared" si="9"/>
        <x:v>1</x:v>
      </x:c>
      <x:c r="D41" s="14" t="str">
        <x:f>PROPER(TRIM('Raw Data'!B41))</x:f>
        <x:v>Ryan King</x:v>
      </x:c>
      <x:c r="E41" s="14" t="str">
        <x:f>TRIM('Raw Data'!C41)</x:f>
        <x:v>ryan.king@example.com</x:v>
      </x:c>
      <x:c r="F41" s="14" t="str">
        <x:f>TRIM('Raw Data'!D41)</x:f>
        <x:v>+1 202 555 1038</x:v>
      </x:c>
      <x:c r="G41" s="14" t="str">
        <x:f>IFERROR(VLOOKUP(UPPER(TRIM('Raw Data'!E41)),Mappings!$G$5:$H$10,2,FALSE),"Needs Review")</x:f>
        <x:v>Canada</x:v>
      </x:c>
      <x:c r="H41" s="19" t="n">
        <x:f>IF('Raw Data'!F41="","",IF(ISNUMBER('Raw Data'!F41),'Raw Data'!F41,IFERROR(DATEVALUE('Raw Data'!F41),"")))</x:f>
        <x:v>46002</x:v>
      </x:c>
      <x:c r="I41" s="63" t="str">
        <x:f>IFERROR(VLOOKUP(UPPER(TRIM('Raw Data'!G41)),Mappings!$A$5:$B$7,2,FALSE),"Needs Review")</x:f>
        <x:v>Retail</x:v>
      </x:c>
      <x:c r="J41" s="63" t="str">
        <x:f>IFERROR(VLOOKUP(UPPER(TRIM('Raw Data'!H41)),Mappings!$D$5:$E$7,2,FALSE),"Needs Review")</x:f>
        <x:v>Prospect</x:v>
      </x:c>
      <x:c r="K41" s="19" t="n">
        <x:f>IF('Raw Data'!I41="","",IF(ISNUMBER('Raw Data'!I41),'Raw Data'!I41,IFERROR(DATEVALUE('Raw Data'!I41),"")))</x:f>
        <x:v>46169</x:v>
      </x:c>
      <x:c r="L41" s="14" t="n">
        <x:f>IF(ISBLANK('Raw Data'!J41),"",'Raw Data'!J41)</x:f>
        <x:v>8</x:v>
      </x:c>
      <x:c r="M41" s="23" t="n">
        <x:f>IF(ISBLANK('Raw Data'!K41),"",'Raw Data'!K41)</x:f>
        <x:v>1288.25</x:v>
      </x:c>
      <x:c r="N41" s="63" t="str">
        <x:f t="shared" si="10"/>
        <x:v>OK</x:v>
      </x:c>
      <x:c r="O41" s="63" t="str">
        <x:f t="shared" si="11"/>
        <x:v>OK</x:v>
      </x:c>
      <x:c r="P41" s="63" t="str">
        <x:f>IF(OR(AND('Raw Data'!F41&lt;&gt;"",H41=""),AND('Raw Data'!I41&lt;&gt;"",K41="")),"Invalid Date","OK")</x:f>
        <x:v>OK</x:v>
      </x:c>
      <x:c r="Q41" s="63" t="str">
        <x:f t="shared" si="12"/>
        <x:v>OK</x:v>
      </x:c>
      <x:c r="R41" s="63" t="str">
        <x:f>IF(OR(ISBLANK('Raw Data'!J41),'Raw Data'!J41&lt;0),"Invalid Order Count","OK")</x:f>
        <x:v>OK</x:v>
      </x:c>
      <x:c r="S41" s="63" t="str">
        <x:f>IF(OR(ISBLANK('Raw Data'!K41),'Raw Data'!K41&lt;0),"Invalid Lifetime Value","OK")</x:f>
        <x:v>OK</x:v>
      </x:c>
      <x:c r="T41" s="63" t="str">
        <x:f t="shared" si="13"/>
        <x:v>OK</x:v>
      </x:c>
      <x:c r="U41" s="14" t="n">
        <x:f>IF(AND(C41&gt;1,COUNTIF($B$4:B41,B41)=1),1,0)</x:f>
        <x:v>0</x:v>
      </x:c>
      <x:c r="V41" s="14">
        <x:f t="shared" si="14"/>
        <x:v>0</x:v>
      </x:c>
      <x:c r="W41" s="63" t="str">
        <x:f t="shared" si="15"/>
        <x:v>Ready</x:v>
      </x:c>
      <x:c r="X41" s="63" t="str">
        <x:f t="shared" si="16"/>
        <x:v>Ready</x:v>
      </x:c>
      <x:c r="Y41" s="14" t="str">
        <x:f t="shared" si="17"/>
        <x:v>Record ready for administrative reporting</x:v>
      </x:c>
    </x:row>
    <x:row r="42" ht="27.950000762939453" customHeight="1">
      <x:c r="A42" s="17" t="n">
        <x:f>ROW('Raw Data'!A42)</x:f>
        <x:v>42</x:v>
      </x:c>
      <x:c r="B42" s="17" t="str">
        <x:f>'Raw Data'!A42</x:f>
        <x:v>CUST-0039</x:v>
      </x:c>
      <x:c r="C42" s="17">
        <x:f t="shared" si="9"/>
        <x:v>1</x:v>
      </x:c>
      <x:c r="D42" s="17" t="str">
        <x:f>PROPER(TRIM('Raw Data'!B42))</x:f>
        <x:v>Amelia Carter</x:v>
      </x:c>
      <x:c r="E42" s="17" t="str">
        <x:f>TRIM('Raw Data'!C42)</x:f>
        <x:v>amelia.carter@example.com</x:v>
      </x:c>
      <x:c r="F42" s="17" t="str">
        <x:f>TRIM('Raw Data'!D42)</x:f>
        <x:v>+1 202 555 1039</x:v>
      </x:c>
      <x:c r="G42" s="17" t="str">
        <x:f>IFERROR(VLOOKUP(UPPER(TRIM('Raw Data'!E42)),Mappings!$G$5:$H$10,2,FALSE),"Needs Review")</x:f>
        <x:v>United States</x:v>
      </x:c>
      <x:c r="H42" s="20" t="n">
        <x:f>IF('Raw Data'!F42="","",IF(ISNUMBER('Raw Data'!F42),'Raw Data'!F42,IFERROR(DATEVALUE('Raw Data'!F42),"")))</x:f>
        <x:v>45975</x:v>
      </x:c>
      <x:c r="I42" s="64" t="str">
        <x:f>IFERROR(VLOOKUP(UPPER(TRIM('Raw Data'!G42)),Mappings!$A$5:$B$7,2,FALSE),"Needs Review")</x:f>
        <x:v>Needs Review</x:v>
      </x:c>
      <x:c r="J42" s="64" t="str">
        <x:f>IFERROR(VLOOKUP(UPPER(TRIM('Raw Data'!H42)),Mappings!$D$5:$E$7,2,FALSE),"Needs Review")</x:f>
        <x:v>Active</x:v>
      </x:c>
      <x:c r="K42" s="20" t="n">
        <x:f>IF('Raw Data'!I42="","",IF(ISNUMBER('Raw Data'!I42),'Raw Data'!I42,IFERROR(DATEVALUE('Raw Data'!I42),"")))</x:f>
        <x:v>45980</x:v>
      </x:c>
      <x:c r="L42" s="17" t="n">
        <x:f>IF(ISBLANK('Raw Data'!J42),"",'Raw Data'!J42)</x:f>
        <x:v>10</x:v>
      </x:c>
      <x:c r="M42" s="24" t="n">
        <x:f>IF(ISBLANK('Raw Data'!K42),"",'Raw Data'!K42)</x:f>
        <x:v>1939.24</x:v>
      </x:c>
      <x:c r="N42" s="64" t="str">
        <x:f t="shared" si="10"/>
        <x:v>OK</x:v>
      </x:c>
      <x:c r="O42" s="64" t="str">
        <x:f t="shared" si="11"/>
        <x:v>OK</x:v>
      </x:c>
      <x:c r="P42" s="64" t="str">
        <x:f>IF(OR(AND('Raw Data'!F42&lt;&gt;"",H42=""),AND('Raw Data'!I42&lt;&gt;"",K42="")),"Invalid Date","OK")</x:f>
        <x:v>OK</x:v>
      </x:c>
      <x:c r="Q42" s="64" t="str">
        <x:f t="shared" si="12"/>
        <x:v>Invalid Segment</x:v>
      </x:c>
      <x:c r="R42" s="64" t="str">
        <x:f>IF(OR(ISBLANK('Raw Data'!J42),'Raw Data'!J42&lt;0),"Invalid Order Count","OK")</x:f>
        <x:v>OK</x:v>
      </x:c>
      <x:c r="S42" s="64" t="str">
        <x:f>IF(OR(ISBLANK('Raw Data'!K42),'Raw Data'!K42&lt;0),"Invalid Lifetime Value","OK")</x:f>
        <x:v>OK</x:v>
      </x:c>
      <x:c r="T42" s="64" t="str">
        <x:f t="shared" si="13"/>
        <x:v>OK</x:v>
      </x:c>
      <x:c r="U42" s="17" t="n">
        <x:f>IF(AND(C42&gt;1,COUNTIF($B$4:B42,B42)=1),1,0)</x:f>
        <x:v>0</x:v>
      </x:c>
      <x:c r="V42" s="17">
        <x:f t="shared" si="14"/>
        <x:v>1</x:v>
      </x:c>
      <x:c r="W42" s="64" t="str">
        <x:f t="shared" si="15"/>
        <x:v>Invalid Segment</x:v>
      </x:c>
      <x:c r="X42" s="64" t="str">
        <x:f t="shared" si="16"/>
        <x:v>Needs Review</x:v>
      </x:c>
      <x:c r="Y42" s="17" t="str">
        <x:f t="shared" si="17"/>
        <x:v>Request segment confirmation in writing</x:v>
      </x:c>
    </x:row>
    <x:row r="43" ht="27.950000762939453" customHeight="1">
      <x:c r="A43" s="14" t="n">
        <x:f>ROW('Raw Data'!A43)</x:f>
        <x:v>43</x:v>
      </x:c>
      <x:c r="B43" s="14" t="str">
        <x:f>'Raw Data'!A43</x:f>
        <x:v>CUST-0040</x:v>
      </x:c>
      <x:c r="C43" s="14">
        <x:f t="shared" si="9"/>
        <x:v>1</x:v>
      </x:c>
      <x:c r="D43" s="14" t="str">
        <x:f>PROPER(TRIM('Raw Data'!B43))</x:f>
        <x:v>Amelia Hayes</x:v>
      </x:c>
      <x:c r="E43" s="14" t="str">
        <x:f>TRIM('Raw Data'!C43)</x:f>
        <x:v>amelia.hayes@example.com</x:v>
      </x:c>
      <x:c r="F43" s="14" t="str">
        <x:f>TRIM('Raw Data'!D43)</x:f>
        <x:v>+1 202 555 1040</x:v>
      </x:c>
      <x:c r="G43" s="14" t="str">
        <x:f>IFERROR(VLOOKUP(UPPER(TRIM('Raw Data'!E43)),Mappings!$G$5:$H$10,2,FALSE),"Needs Review")</x:f>
        <x:v>Indonesia</x:v>
      </x:c>
      <x:c r="H43" s="19" t="n">
        <x:f>IF('Raw Data'!F43="","",IF(ISNUMBER('Raw Data'!F43),'Raw Data'!F43,IFERROR(DATEVALUE('Raw Data'!F43),"")))</x:f>
        <x:v>45887</x:v>
      </x:c>
      <x:c r="I43" s="63" t="str">
        <x:f>IFERROR(VLOOKUP(UPPER(TRIM('Raw Data'!G43)),Mappings!$A$5:$B$7,2,FALSE),"Needs Review")</x:f>
        <x:v>VIP</x:v>
      </x:c>
      <x:c r="J43" s="63" t="str">
        <x:f>IFERROR(VLOOKUP(UPPER(TRIM('Raw Data'!H43)),Mappings!$D$5:$E$7,2,FALSE),"Needs Review")</x:f>
        <x:v>Inactive</x:v>
      </x:c>
      <x:c r="K43" s="19" t="n">
        <x:f>IF('Raw Data'!I43="","",IF(ISNUMBER('Raw Data'!I43),'Raw Data'!I43,IFERROR(DATEVALUE('Raw Data'!I43),"")))</x:f>
        <x:v>46035</x:v>
      </x:c>
      <x:c r="L43" s="14" t="n">
        <x:f>IF(ISBLANK('Raw Data'!J43),"",'Raw Data'!J43)</x:f>
        <x:v>0</x:v>
      </x:c>
      <x:c r="M43" s="23" t="n">
        <x:f>IF(ISBLANK('Raw Data'!K43),"",'Raw Data'!K43)</x:f>
        <x:v>324.09</x:v>
      </x:c>
      <x:c r="N43" s="63" t="str">
        <x:f t="shared" si="10"/>
        <x:v>OK</x:v>
      </x:c>
      <x:c r="O43" s="63" t="str">
        <x:f t="shared" si="11"/>
        <x:v>OK</x:v>
      </x:c>
      <x:c r="P43" s="63" t="str">
        <x:f>IF(OR(AND('Raw Data'!F43&lt;&gt;"",H43=""),AND('Raw Data'!I43&lt;&gt;"",K43="")),"Invalid Date","OK")</x:f>
        <x:v>OK</x:v>
      </x:c>
      <x:c r="Q43" s="63" t="str">
        <x:f t="shared" si="12"/>
        <x:v>OK</x:v>
      </x:c>
      <x:c r="R43" s="63" t="str">
        <x:f>IF(OR(ISBLANK('Raw Data'!J43),'Raw Data'!J43&lt;0),"Invalid Order Count","OK")</x:f>
        <x:v>OK</x:v>
      </x:c>
      <x:c r="S43" s="63" t="str">
        <x:f>IF(OR(ISBLANK('Raw Data'!K43),'Raw Data'!K43&lt;0),"Invalid Lifetime Value","OK")</x:f>
        <x:v>OK</x:v>
      </x:c>
      <x:c r="T43" s="63" t="str">
        <x:f t="shared" si="13"/>
        <x:v>OK</x:v>
      </x:c>
      <x:c r="U43" s="14" t="n">
        <x:f>IF(AND(C43&gt;1,COUNTIF($B$4:B43,B43)=1),1,0)</x:f>
        <x:v>0</x:v>
      </x:c>
      <x:c r="V43" s="14">
        <x:f t="shared" si="14"/>
        <x:v>0</x:v>
      </x:c>
      <x:c r="W43" s="63" t="str">
        <x:f t="shared" si="15"/>
        <x:v>Ready</x:v>
      </x:c>
      <x:c r="X43" s="63" t="str">
        <x:f t="shared" si="16"/>
        <x:v>Ready</x:v>
      </x:c>
      <x:c r="Y43" s="14" t="str">
        <x:f t="shared" si="17"/>
        <x:v>Record ready for administrative reporting</x:v>
      </x:c>
    </x:row>
    <x:row r="44" ht="27.950000762939453" customHeight="1">
      <x:c r="A44" s="17" t="n">
        <x:f>ROW('Raw Data'!A44)</x:f>
        <x:v>44</x:v>
      </x:c>
      <x:c r="B44" s="17" t="str">
        <x:f>'Raw Data'!A44</x:f>
        <x:v>CUST-0041</x:v>
      </x:c>
      <x:c r="C44" s="17">
        <x:f t="shared" si="9"/>
        <x:v>1</x:v>
      </x:c>
      <x:c r="D44" s="17" t="str">
        <x:f>PROPER(TRIM('Raw Data'!B44))</x:f>
        <x:v>Maya Gray</x:v>
      </x:c>
      <x:c r="E44" s="17" t="str">
        <x:f>TRIM('Raw Data'!C44)</x:f>
        <x:v>maya.gray@example.com</x:v>
      </x:c>
      <x:c r="F44" s="17" t="str">
        <x:f>TRIM('Raw Data'!D44)</x:f>
        <x:v>+1 202 555 1041</x:v>
      </x:c>
      <x:c r="G44" s="17" t="str">
        <x:f>IFERROR(VLOOKUP(UPPER(TRIM('Raw Data'!E44)),Mappings!$G$5:$H$10,2,FALSE),"Needs Review")</x:f>
        <x:v>United States</x:v>
      </x:c>
      <x:c r="H44" s="20" t="n">
        <x:f>IF('Raw Data'!F44="","",IF(ISNUMBER('Raw Data'!F44),'Raw Data'!F44,IFERROR(DATEVALUE('Raw Data'!F44),"")))</x:f>
        <x:v>45827</x:v>
      </x:c>
      <x:c r="I44" s="64" t="str">
        <x:f>IFERROR(VLOOKUP(UPPER(TRIM('Raw Data'!G44)),Mappings!$A$5:$B$7,2,FALSE),"Needs Review")</x:f>
        <x:v>VIP</x:v>
      </x:c>
      <x:c r="J44" s="64" t="str">
        <x:f>IFERROR(VLOOKUP(UPPER(TRIM('Raw Data'!H44)),Mappings!$D$5:$E$7,2,FALSE),"Needs Review")</x:f>
        <x:v>Inactive</x:v>
      </x:c>
      <x:c r="K44" s="20" t="n">
        <x:f>IF('Raw Data'!I44="","",IF(ISNUMBER('Raw Data'!I44),'Raw Data'!I44,IFERROR(DATEVALUE('Raw Data'!I44),"")))</x:f>
        <x:v>45942</x:v>
      </x:c>
      <x:c r="L44" s="17" t="n">
        <x:f>IF(ISBLANK('Raw Data'!J44),"",'Raw Data'!J44)</x:f>
        <x:v>4</x:v>
      </x:c>
      <x:c r="M44" s="24" t="n">
        <x:f>IF(ISBLANK('Raw Data'!K44),"",'Raw Data'!K44)</x:f>
        <x:v>152.48</x:v>
      </x:c>
      <x:c r="N44" s="64" t="str">
        <x:f t="shared" si="10"/>
        <x:v>OK</x:v>
      </x:c>
      <x:c r="O44" s="64" t="str">
        <x:f t="shared" si="11"/>
        <x:v>OK</x:v>
      </x:c>
      <x:c r="P44" s="64" t="str">
        <x:f>IF(OR(AND('Raw Data'!F44&lt;&gt;"",H44=""),AND('Raw Data'!I44&lt;&gt;"",K44="")),"Invalid Date","OK")</x:f>
        <x:v>OK</x:v>
      </x:c>
      <x:c r="Q44" s="64" t="str">
        <x:f t="shared" si="12"/>
        <x:v>OK</x:v>
      </x:c>
      <x:c r="R44" s="64" t="str">
        <x:f>IF(OR(ISBLANK('Raw Data'!J44),'Raw Data'!J44&lt;0),"Invalid Order Count","OK")</x:f>
        <x:v>OK</x:v>
      </x:c>
      <x:c r="S44" s="64" t="str">
        <x:f>IF(OR(ISBLANK('Raw Data'!K44),'Raw Data'!K44&lt;0),"Invalid Lifetime Value","OK")</x:f>
        <x:v>OK</x:v>
      </x:c>
      <x:c r="T44" s="64" t="str">
        <x:f t="shared" si="13"/>
        <x:v>OK</x:v>
      </x:c>
      <x:c r="U44" s="17" t="n">
        <x:f>IF(AND(C44&gt;1,COUNTIF($B$4:B44,B44)=1),1,0)</x:f>
        <x:v>0</x:v>
      </x:c>
      <x:c r="V44" s="17">
        <x:f t="shared" si="14"/>
        <x:v>0</x:v>
      </x:c>
      <x:c r="W44" s="64" t="str">
        <x:f t="shared" si="15"/>
        <x:v>Ready</x:v>
      </x:c>
      <x:c r="X44" s="64" t="str">
        <x:f t="shared" si="16"/>
        <x:v>Ready</x:v>
      </x:c>
      <x:c r="Y44" s="17" t="str">
        <x:f t="shared" si="17"/>
        <x:v>Record ready for administrative reporting</x:v>
      </x:c>
    </x:row>
    <x:row r="45" ht="27.950000762939453" customHeight="1">
      <x:c r="A45" s="14" t="n">
        <x:f>ROW('Raw Data'!A45)</x:f>
        <x:v>45</x:v>
      </x:c>
      <x:c r="B45" s="14" t="str">
        <x:f>'Raw Data'!A45</x:f>
        <x:v>CUST-0042</x:v>
      </x:c>
      <x:c r="C45" s="14">
        <x:f t="shared" si="9"/>
        <x:v>1</x:v>
      </x:c>
      <x:c r="D45" s="14" t="str">
        <x:f>PROPER(TRIM('Raw Data'!B45))</x:f>
        <x:v>Noah Carter</x:v>
      </x:c>
      <x:c r="E45" s="14" t="str">
        <x:f>TRIM('Raw Data'!C45)</x:f>
        <x:v>noah.carter@example.com</x:v>
      </x:c>
      <x:c r="F45" s="14" t="str">
        <x:f>TRIM('Raw Data'!D45)</x:f>
        <x:v>+1 202 555 1042</x:v>
      </x:c>
      <x:c r="G45" s="14" t="str">
        <x:f>IFERROR(VLOOKUP(UPPER(TRIM('Raw Data'!E45)),Mappings!$G$5:$H$10,2,FALSE),"Needs Review")</x:f>
        <x:v>United Kingdom</x:v>
      </x:c>
      <x:c r="H45" s="19" t="n">
        <x:f>IF('Raw Data'!F45="","",IF(ISNUMBER('Raw Data'!F45),'Raw Data'!F45,IFERROR(DATEVALUE('Raw Data'!F45),"")))</x:f>
        <x:v>45769</x:v>
      </x:c>
      <x:c r="I45" s="63" t="str">
        <x:f>IFERROR(VLOOKUP(UPPER(TRIM('Raw Data'!G45)),Mappings!$A$5:$B$7,2,FALSE),"Needs Review")</x:f>
        <x:v>Retail</x:v>
      </x:c>
      <x:c r="J45" s="63" t="str">
        <x:f>IFERROR(VLOOKUP(UPPER(TRIM('Raw Data'!H45)),Mappings!$D$5:$E$7,2,FALSE),"Needs Review")</x:f>
        <x:v>Prospect</x:v>
      </x:c>
      <x:c r="K45" s="19" t="n">
        <x:f>IF('Raw Data'!I45="","",IF(ISNUMBER('Raw Data'!I45),'Raw Data'!I45,IFERROR(DATEVALUE('Raw Data'!I45),"")))</x:f>
        <x:v>45800</x:v>
      </x:c>
      <x:c r="L45" s="14" t="n">
        <x:f>IF(ISBLANK('Raw Data'!J45),"",'Raw Data'!J45)</x:f>
        <x:v>11</x:v>
      </x:c>
      <x:c r="M45" s="23" t="n">
        <x:f>IF(ISBLANK('Raw Data'!K45),"",'Raw Data'!K45)</x:f>
        <x:v>1961.28</x:v>
      </x:c>
      <x:c r="N45" s="63" t="str">
        <x:f t="shared" si="10"/>
        <x:v>OK</x:v>
      </x:c>
      <x:c r="O45" s="63" t="str">
        <x:f t="shared" si="11"/>
        <x:v>OK</x:v>
      </x:c>
      <x:c r="P45" s="63" t="str">
        <x:f>IF(OR(AND('Raw Data'!F45&lt;&gt;"",H45=""),AND('Raw Data'!I45&lt;&gt;"",K45="")),"Invalid Date","OK")</x:f>
        <x:v>OK</x:v>
      </x:c>
      <x:c r="Q45" s="63" t="str">
        <x:f t="shared" si="12"/>
        <x:v>OK</x:v>
      </x:c>
      <x:c r="R45" s="63" t="str">
        <x:f>IF(OR(ISBLANK('Raw Data'!J45),'Raw Data'!J45&lt;0),"Invalid Order Count","OK")</x:f>
        <x:v>OK</x:v>
      </x:c>
      <x:c r="S45" s="63" t="str">
        <x:f>IF(OR(ISBLANK('Raw Data'!K45),'Raw Data'!K45&lt;0),"Invalid Lifetime Value","OK")</x:f>
        <x:v>OK</x:v>
      </x:c>
      <x:c r="T45" s="63" t="str">
        <x:f t="shared" si="13"/>
        <x:v>OK</x:v>
      </x:c>
      <x:c r="U45" s="14" t="n">
        <x:f>IF(AND(C45&gt;1,COUNTIF($B$4:B45,B45)=1),1,0)</x:f>
        <x:v>0</x:v>
      </x:c>
      <x:c r="V45" s="14">
        <x:f t="shared" si="14"/>
        <x:v>0</x:v>
      </x:c>
      <x:c r="W45" s="63" t="str">
        <x:f t="shared" si="15"/>
        <x:v>Ready</x:v>
      </x:c>
      <x:c r="X45" s="63" t="str">
        <x:f t="shared" si="16"/>
        <x:v>Ready</x:v>
      </x:c>
      <x:c r="Y45" s="14" t="str">
        <x:f t="shared" si="17"/>
        <x:v>Record ready for administrative reporting</x:v>
      </x:c>
    </x:row>
    <x:row r="46" ht="27.950000762939453" customHeight="1">
      <x:c r="A46" s="17" t="n">
        <x:f>ROW('Raw Data'!A46)</x:f>
        <x:v>46</x:v>
      </x:c>
      <x:c r="B46" s="17" t="str">
        <x:f>'Raw Data'!A46</x:f>
        <x:v>CUST-0043</x:v>
      </x:c>
      <x:c r="C46" s="17">
        <x:f t="shared" si="9"/>
        <x:v>1</x:v>
      </x:c>
      <x:c r="D46" s="17" t="str">
        <x:f>PROPER(TRIM('Raw Data'!B46))</x:f>
        <x:v>Liam King</x:v>
      </x:c>
      <x:c r="E46" s="17" t="str">
        <x:f>TRIM('Raw Data'!C46)</x:f>
        <x:v>liam.king@example.com</x:v>
      </x:c>
      <x:c r="F46" s="17" t="str">
        <x:f>TRIM('Raw Data'!D46)</x:f>
        <x:v>+1 202 555 1043</x:v>
      </x:c>
      <x:c r="G46" s="17" t="str">
        <x:f>IFERROR(VLOOKUP(UPPER(TRIM('Raw Data'!E46)),Mappings!$G$5:$H$10,2,FALSE),"Needs Review")</x:f>
        <x:v>Indonesia</x:v>
      </x:c>
      <x:c r="H46" s="20" t="n">
        <x:f>IF('Raw Data'!F46="","",IF(ISNUMBER('Raw Data'!F46),'Raw Data'!F46,IFERROR(DATEVALUE('Raw Data'!F46),"")))</x:f>
        <x:v>45724</x:v>
      </x:c>
      <x:c r="I46" s="64" t="str">
        <x:f>IFERROR(VLOOKUP(UPPER(TRIM('Raw Data'!G46)),Mappings!$A$5:$B$7,2,FALSE),"Needs Review")</x:f>
        <x:v>Retail</x:v>
      </x:c>
      <x:c r="J46" s="64" t="str">
        <x:f>IFERROR(VLOOKUP(UPPER(TRIM('Raw Data'!H46)),Mappings!$D$5:$E$7,2,FALSE),"Needs Review")</x:f>
        <x:v>Active</x:v>
      </x:c>
      <x:c r="K46" s="20" t="n">
        <x:f>IF('Raw Data'!I46="","",IF(ISNUMBER('Raw Data'!I46),'Raw Data'!I46,IFERROR(DATEVALUE('Raw Data'!I46),"")))</x:f>
        <x:v>45834</x:v>
      </x:c>
      <x:c r="L46" s="17" t="n">
        <x:f>IF(ISBLANK('Raw Data'!J46),"",'Raw Data'!J46)</x:f>
        <x:v>0</x:v>
      </x:c>
      <x:c r="M46" s="24" t="n">
        <x:f>IF(ISBLANK('Raw Data'!K46),"",'Raw Data'!K46)</x:f>
        <x:v>489.43</x:v>
      </x:c>
      <x:c r="N46" s="64" t="str">
        <x:f t="shared" si="10"/>
        <x:v>OK</x:v>
      </x:c>
      <x:c r="O46" s="64" t="str">
        <x:f t="shared" si="11"/>
        <x:v>OK</x:v>
      </x:c>
      <x:c r="P46" s="64" t="str">
        <x:f>IF(OR(AND('Raw Data'!F46&lt;&gt;"",H46=""),AND('Raw Data'!I46&lt;&gt;"",K46="")),"Invalid Date","OK")</x:f>
        <x:v>OK</x:v>
      </x:c>
      <x:c r="Q46" s="64" t="str">
        <x:f t="shared" si="12"/>
        <x:v>OK</x:v>
      </x:c>
      <x:c r="R46" s="64" t="str">
        <x:f>IF(OR(ISBLANK('Raw Data'!J46),'Raw Data'!J46&lt;0),"Invalid Order Count","OK")</x:f>
        <x:v>OK</x:v>
      </x:c>
      <x:c r="S46" s="64" t="str">
        <x:f>IF(OR(ISBLANK('Raw Data'!K46),'Raw Data'!K46&lt;0),"Invalid Lifetime Value","OK")</x:f>
        <x:v>OK</x:v>
      </x:c>
      <x:c r="T46" s="64" t="str">
        <x:f t="shared" si="13"/>
        <x:v>OK</x:v>
      </x:c>
      <x:c r="U46" s="17" t="n">
        <x:f>IF(AND(C46&gt;1,COUNTIF($B$4:B46,B46)=1),1,0)</x:f>
        <x:v>0</x:v>
      </x:c>
      <x:c r="V46" s="17">
        <x:f t="shared" si="14"/>
        <x:v>0</x:v>
      </x:c>
      <x:c r="W46" s="64" t="str">
        <x:f t="shared" si="15"/>
        <x:v>Ready</x:v>
      </x:c>
      <x:c r="X46" s="64" t="str">
        <x:f t="shared" si="16"/>
        <x:v>Ready</x:v>
      </x:c>
      <x:c r="Y46" s="17" t="str">
        <x:f t="shared" si="17"/>
        <x:v>Record ready for administrative reporting</x:v>
      </x:c>
    </x:row>
    <x:row r="47" ht="27.950000762939453" customHeight="1">
      <x:c r="A47" s="14" t="n">
        <x:f>ROW('Raw Data'!A47)</x:f>
        <x:v>47</x:v>
      </x:c>
      <x:c r="B47" s="14" t="str">
        <x:f>'Raw Data'!A47</x:f>
        <x:v>CUST-0044</x:v>
      </x:c>
      <x:c r="C47" s="14">
        <x:f t="shared" si="9"/>
        <x:v>1</x:v>
      </x:c>
      <x:c r="D47" s="14" t="str">
        <x:f>PROPER(TRIM('Raw Data'!B47))</x:f>
        <x:v>Olivia Bailey</x:v>
      </x:c>
      <x:c r="E47" s="14" t="str">
        <x:f>TRIM('Raw Data'!C47)</x:f>
        <x:v>olivia.bailey@example.com</x:v>
      </x:c>
      <x:c r="F47" s="14" t="str">
        <x:f>TRIM('Raw Data'!D47)</x:f>
        <x:v>+1 202 555 1044</x:v>
      </x:c>
      <x:c r="G47" s="14" t="str">
        <x:f>IFERROR(VLOOKUP(UPPER(TRIM('Raw Data'!E47)),Mappings!$G$5:$H$10,2,FALSE),"Needs Review")</x:f>
        <x:v>Indonesia</x:v>
      </x:c>
      <x:c r="H47" s="19" t="n">
        <x:f>IF('Raw Data'!F47="","",IF(ISNUMBER('Raw Data'!F47),'Raw Data'!F47,IFERROR(DATEVALUE('Raw Data'!F47),"")))</x:f>
        <x:v>46017</x:v>
      </x:c>
      <x:c r="I47" s="63" t="str">
        <x:f>IFERROR(VLOOKUP(UPPER(TRIM('Raw Data'!G47)),Mappings!$A$5:$B$7,2,FALSE),"Needs Review")</x:f>
        <x:v>Retail</x:v>
      </x:c>
      <x:c r="J47" s="63" t="str">
        <x:f>IFERROR(VLOOKUP(UPPER(TRIM('Raw Data'!H47)),Mappings!$D$5:$E$7,2,FALSE),"Needs Review")</x:f>
        <x:v>Inactive</x:v>
      </x:c>
      <x:c r="K47" s="19" t="n">
        <x:f>IF('Raw Data'!I47="","",IF(ISNUMBER('Raw Data'!I47),'Raw Data'!I47,IFERROR(DATEVALUE('Raw Data'!I47),"")))</x:f>
        <x:v>46062</x:v>
      </x:c>
      <x:c r="L47" s="14" t="n">
        <x:f>IF(ISBLANK('Raw Data'!J47),"",'Raw Data'!J47)</x:f>
        <x:v>3</x:v>
      </x:c>
      <x:c r="M47" s="23" t="n">
        <x:f>IF(ISBLANK('Raw Data'!K47),"",'Raw Data'!K47)</x:f>
        <x:v>987.23</x:v>
      </x:c>
      <x:c r="N47" s="63" t="str">
        <x:f t="shared" si="10"/>
        <x:v>OK</x:v>
      </x:c>
      <x:c r="O47" s="63" t="str">
        <x:f t="shared" si="11"/>
        <x:v>OK</x:v>
      </x:c>
      <x:c r="P47" s="63" t="str">
        <x:f>IF(OR(AND('Raw Data'!F47&lt;&gt;"",H47=""),AND('Raw Data'!I47&lt;&gt;"",K47="")),"Invalid Date","OK")</x:f>
        <x:v>OK</x:v>
      </x:c>
      <x:c r="Q47" s="63" t="str">
        <x:f t="shared" si="12"/>
        <x:v>OK</x:v>
      </x:c>
      <x:c r="R47" s="63" t="str">
        <x:f>IF(OR(ISBLANK('Raw Data'!J47),'Raw Data'!J47&lt;0),"Invalid Order Count","OK")</x:f>
        <x:v>OK</x:v>
      </x:c>
      <x:c r="S47" s="63" t="str">
        <x:f>IF(OR(ISBLANK('Raw Data'!K47),'Raw Data'!K47&lt;0),"Invalid Lifetime Value","OK")</x:f>
        <x:v>OK</x:v>
      </x:c>
      <x:c r="T47" s="63" t="str">
        <x:f t="shared" si="13"/>
        <x:v>OK</x:v>
      </x:c>
      <x:c r="U47" s="14" t="n">
        <x:f>IF(AND(C47&gt;1,COUNTIF($B$4:B47,B47)=1),1,0)</x:f>
        <x:v>0</x:v>
      </x:c>
      <x:c r="V47" s="14">
        <x:f t="shared" si="14"/>
        <x:v>0</x:v>
      </x:c>
      <x:c r="W47" s="63" t="str">
        <x:f t="shared" si="15"/>
        <x:v>Ready</x:v>
      </x:c>
      <x:c r="X47" s="63" t="str">
        <x:f t="shared" si="16"/>
        <x:v>Ready</x:v>
      </x:c>
      <x:c r="Y47" s="14" t="str">
        <x:f t="shared" si="17"/>
        <x:v>Record ready for administrative reporting</x:v>
      </x:c>
    </x:row>
    <x:row r="48" ht="27.950000762939453" customHeight="1">
      <x:c r="A48" s="17" t="n">
        <x:f>ROW('Raw Data'!A48)</x:f>
        <x:v>48</x:v>
      </x:c>
      <x:c r="B48" s="17" t="str">
        <x:f>'Raw Data'!A48</x:f>
        <x:v>CUST-0045</x:v>
      </x:c>
      <x:c r="C48" s="17">
        <x:f t="shared" si="9"/>
        <x:v>1</x:v>
      </x:c>
      <x:c r="D48" s="17" t="str">
        <x:f>PROPER(TRIM('Raw Data'!B48))</x:f>
        <x:v>Marcus Bell</x:v>
      </x:c>
      <x:c r="E48" s="17" t="str">
        <x:f>TRIM('Raw Data'!C48)</x:f>
        <x:v>marcus.bell@example.com</x:v>
      </x:c>
      <x:c r="F48" s="17" t="str">
        <x:f>TRIM('Raw Data'!D48)</x:f>
        <x:v>+1 202 555 1045</x:v>
      </x:c>
      <x:c r="G48" s="17" t="str">
        <x:f>IFERROR(VLOOKUP(UPPER(TRIM('Raw Data'!E48)),Mappings!$G$5:$H$10,2,FALSE),"Needs Review")</x:f>
        <x:v>Canada</x:v>
      </x:c>
      <x:c r="H48" s="20" t="n">
        <x:f>IF('Raw Data'!F48="","",IF(ISNUMBER('Raw Data'!F48),'Raw Data'!F48,IFERROR(DATEVALUE('Raw Data'!F48),"")))</x:f>
        <x:v>45774</x:v>
      </x:c>
      <x:c r="I48" s="64" t="str">
        <x:f>IFERROR(VLOOKUP(UPPER(TRIM('Raw Data'!G48)),Mappings!$A$5:$B$7,2,FALSE),"Needs Review")</x:f>
        <x:v>Business</x:v>
      </x:c>
      <x:c r="J48" s="64" t="str">
        <x:f>IFERROR(VLOOKUP(UPPER(TRIM('Raw Data'!H48)),Mappings!$D$5:$E$7,2,FALSE),"Needs Review")</x:f>
        <x:v>Inactive</x:v>
      </x:c>
      <x:c r="K48" s="20" t="n">
        <x:f>IF('Raw Data'!I48="","",IF(ISNUMBER('Raw Data'!I48),'Raw Data'!I48,IFERROR(DATEVALUE('Raw Data'!I48),"")))</x:f>
        <x:v>45857</x:v>
      </x:c>
      <x:c r="L48" s="17" t="n">
        <x:f>IF(ISBLANK('Raw Data'!J48),"",'Raw Data'!J48)</x:f>
        <x:v>-2</x:v>
      </x:c>
      <x:c r="M48" s="24" t="n">
        <x:f>IF(ISBLANK('Raw Data'!K48),"",'Raw Data'!K48)</x:f>
        <x:v>596.16</x:v>
      </x:c>
      <x:c r="N48" s="64" t="str">
        <x:f t="shared" si="10"/>
        <x:v>OK</x:v>
      </x:c>
      <x:c r="O48" s="64" t="str">
        <x:f t="shared" si="11"/>
        <x:v>OK</x:v>
      </x:c>
      <x:c r="P48" s="64" t="str">
        <x:f>IF(OR(AND('Raw Data'!F48&lt;&gt;"",H48=""),AND('Raw Data'!I48&lt;&gt;"",K48="")),"Invalid Date","OK")</x:f>
        <x:v>OK</x:v>
      </x:c>
      <x:c r="Q48" s="64" t="str">
        <x:f t="shared" si="12"/>
        <x:v>OK</x:v>
      </x:c>
      <x:c r="R48" s="64" t="str">
        <x:f>IF(OR(ISBLANK('Raw Data'!J48),'Raw Data'!J48&lt;0),"Invalid Order Count","OK")</x:f>
        <x:v>Invalid Order Count</x:v>
      </x:c>
      <x:c r="S48" s="64" t="str">
        <x:f>IF(OR(ISBLANK('Raw Data'!K48),'Raw Data'!K48&lt;0),"Invalid Lifetime Value","OK")</x:f>
        <x:v>OK</x:v>
      </x:c>
      <x:c r="T48" s="64" t="str">
        <x:f t="shared" si="13"/>
        <x:v>OK</x:v>
      </x:c>
      <x:c r="U48" s="17" t="n">
        <x:f>IF(AND(C48&gt;1,COUNTIF($B$4:B48,B48)=1),1,0)</x:f>
        <x:v>0</x:v>
      </x:c>
      <x:c r="V48" s="17">
        <x:f t="shared" si="14"/>
        <x:v>1</x:v>
      </x:c>
      <x:c r="W48" s="64" t="str">
        <x:f t="shared" si="15"/>
        <x:v>Invalid Order Count</x:v>
      </x:c>
      <x:c r="X48" s="64" t="str">
        <x:f t="shared" si="16"/>
        <x:v>Needs Review</x:v>
      </x:c>
      <x:c r="Y48" s="17" t="str">
        <x:f t="shared" si="17"/>
        <x:v>Verify numeric value against the source record</x:v>
      </x:c>
    </x:row>
    <x:row r="49" ht="27.950000762939453" customHeight="1">
      <x:c r="A49" s="14" t="n">
        <x:f>ROW('Raw Data'!A49)</x:f>
        <x:v>49</x:v>
      </x:c>
      <x:c r="B49" s="14" t="str">
        <x:f>'Raw Data'!A49</x:f>
        <x:v>CUST-0046</x:v>
      </x:c>
      <x:c r="C49" s="14">
        <x:f t="shared" si="9"/>
        <x:v>1</x:v>
      </x:c>
      <x:c r="D49" s="14" t="str">
        <x:f>PROPER(TRIM('Raw Data'!B49))</x:f>
        <x:v>Nora Collins</x:v>
      </x:c>
      <x:c r="E49" s="14" t="str">
        <x:f>TRIM('Raw Data'!C49)</x:f>
        <x:v>nora.collins@example.com</x:v>
      </x:c>
      <x:c r="F49" s="14" t="str">
        <x:f>TRIM('Raw Data'!D49)</x:f>
        <x:v>+1 202 555 1046</x:v>
      </x:c>
      <x:c r="G49" s="14" t="str">
        <x:f>IFERROR(VLOOKUP(UPPER(TRIM('Raw Data'!E49)),Mappings!$G$5:$H$10,2,FALSE),"Needs Review")</x:f>
        <x:v>United Kingdom</x:v>
      </x:c>
      <x:c r="H49" s="19" t="n">
        <x:f>IF('Raw Data'!F49="","",IF(ISNUMBER('Raw Data'!F49),'Raw Data'!F49,IFERROR(DATEVALUE('Raw Data'!F49),"")))</x:f>
        <x:v>45805</x:v>
      </x:c>
      <x:c r="I49" s="63" t="str">
        <x:f>IFERROR(VLOOKUP(UPPER(TRIM('Raw Data'!G49)),Mappings!$A$5:$B$7,2,FALSE),"Needs Review")</x:f>
        <x:v>Retail</x:v>
      </x:c>
      <x:c r="J49" s="63" t="str">
        <x:f>IFERROR(VLOOKUP(UPPER(TRIM('Raw Data'!H49)),Mappings!$D$5:$E$7,2,FALSE),"Needs Review")</x:f>
        <x:v>Inactive</x:v>
      </x:c>
      <x:c r="K49" s="19" t="n">
        <x:f>IF('Raw Data'!I49="","",IF(ISNUMBER('Raw Data'!I49),'Raw Data'!I49,IFERROR(DATEVALUE('Raw Data'!I49),"")))</x:f>
        <x:v>45899</x:v>
      </x:c>
      <x:c r="L49" s="14" t="n">
        <x:f>IF(ISBLANK('Raw Data'!J49),"",'Raw Data'!J49)</x:f>
        <x:v>16</x:v>
      </x:c>
      <x:c r="M49" s="23" t="n">
        <x:f>IF(ISBLANK('Raw Data'!K49),"",'Raw Data'!K49)</x:f>
        <x:v>1029.21</x:v>
      </x:c>
      <x:c r="N49" s="63" t="str">
        <x:f t="shared" si="10"/>
        <x:v>OK</x:v>
      </x:c>
      <x:c r="O49" s="63" t="str">
        <x:f t="shared" si="11"/>
        <x:v>OK</x:v>
      </x:c>
      <x:c r="P49" s="63" t="str">
        <x:f>IF(OR(AND('Raw Data'!F49&lt;&gt;"",H49=""),AND('Raw Data'!I49&lt;&gt;"",K49="")),"Invalid Date","OK")</x:f>
        <x:v>OK</x:v>
      </x:c>
      <x:c r="Q49" s="63" t="str">
        <x:f t="shared" si="12"/>
        <x:v>OK</x:v>
      </x:c>
      <x:c r="R49" s="63" t="str">
        <x:f>IF(OR(ISBLANK('Raw Data'!J49),'Raw Data'!J49&lt;0),"Invalid Order Count","OK")</x:f>
        <x:v>OK</x:v>
      </x:c>
      <x:c r="S49" s="63" t="str">
        <x:f>IF(OR(ISBLANK('Raw Data'!K49),'Raw Data'!K49&lt;0),"Invalid Lifetime Value","OK")</x:f>
        <x:v>OK</x:v>
      </x:c>
      <x:c r="T49" s="63" t="str">
        <x:f t="shared" si="13"/>
        <x:v>OK</x:v>
      </x:c>
      <x:c r="U49" s="14" t="n">
        <x:f>IF(AND(C49&gt;1,COUNTIF($B$4:B49,B49)=1),1,0)</x:f>
        <x:v>0</x:v>
      </x:c>
      <x:c r="V49" s="14">
        <x:f t="shared" si="14"/>
        <x:v>0</x:v>
      </x:c>
      <x:c r="W49" s="63" t="str">
        <x:f t="shared" si="15"/>
        <x:v>Ready</x:v>
      </x:c>
      <x:c r="X49" s="63" t="str">
        <x:f t="shared" si="16"/>
        <x:v>Ready</x:v>
      </x:c>
      <x:c r="Y49" s="14" t="str">
        <x:f t="shared" si="17"/>
        <x:v>Record ready for administrative reporting</x:v>
      </x:c>
    </x:row>
    <x:row r="50" ht="27.950000762939453" customHeight="1">
      <x:c r="A50" s="17" t="n">
        <x:f>ROW('Raw Data'!A50)</x:f>
        <x:v>50</x:v>
      </x:c>
      <x:c r="B50" s="17" t="str">
        <x:f>'Raw Data'!A50</x:f>
        <x:v>CUST-0047</x:v>
      </x:c>
      <x:c r="C50" s="17">
        <x:f t="shared" si="9"/>
        <x:v>1</x:v>
      </x:c>
      <x:c r="D50" s="17" t="str">
        <x:f>PROPER(TRIM('Raw Data'!B50))</x:f>
        <x:v>Leo Mitchell</x:v>
      </x:c>
      <x:c r="E50" s="17" t="str">
        <x:f>TRIM('Raw Data'!C50)</x:f>
        <x:v>leo.mitchell@example.com</x:v>
      </x:c>
      <x:c r="F50" s="17" t="str">
        <x:f>TRIM('Raw Data'!D50)</x:f>
        <x:v>+1 202 555 1047</x:v>
      </x:c>
      <x:c r="G50" s="17" t="str">
        <x:f>IFERROR(VLOOKUP(UPPER(TRIM('Raw Data'!E50)),Mappings!$G$5:$H$10,2,FALSE),"Needs Review")</x:f>
        <x:v>United States</x:v>
      </x:c>
      <x:c r="H50" s="20" t="n">
        <x:f>IF('Raw Data'!F50="","",IF(ISNUMBER('Raw Data'!F50),'Raw Data'!F50,IFERROR(DATEVALUE('Raw Data'!F50),"")))</x:f>
        <x:v>45697</x:v>
      </x:c>
      <x:c r="I50" s="64" t="str">
        <x:f>IFERROR(VLOOKUP(UPPER(TRIM('Raw Data'!G50)),Mappings!$A$5:$B$7,2,FALSE),"Needs Review")</x:f>
        <x:v>Retail</x:v>
      </x:c>
      <x:c r="J50" s="64" t="str">
        <x:f>IFERROR(VLOOKUP(UPPER(TRIM('Raw Data'!H50)),Mappings!$D$5:$E$7,2,FALSE),"Needs Review")</x:f>
        <x:v>Prospect</x:v>
      </x:c>
      <x:c r="K50" s="20" t="n">
        <x:f>IF('Raw Data'!I50="","",IF(ISNUMBER('Raw Data'!I50),'Raw Data'!I50,IFERROR(DATEVALUE('Raw Data'!I50),"")))</x:f>
        <x:v>45769</x:v>
      </x:c>
      <x:c r="L50" s="17" t="n">
        <x:f>IF(ISBLANK('Raw Data'!J50),"",'Raw Data'!J50)</x:f>
        <x:v>1</x:v>
      </x:c>
      <x:c r="M50" s="24" t="n">
        <x:f>IF(ISBLANK('Raw Data'!K50),"",'Raw Data'!K50)</x:f>
        <x:v>315.59</x:v>
      </x:c>
      <x:c r="N50" s="64" t="str">
        <x:f t="shared" si="10"/>
        <x:v>OK</x:v>
      </x:c>
      <x:c r="O50" s="64" t="str">
        <x:f t="shared" si="11"/>
        <x:v>OK</x:v>
      </x:c>
      <x:c r="P50" s="64" t="str">
        <x:f>IF(OR(AND('Raw Data'!F50&lt;&gt;"",H50=""),AND('Raw Data'!I50&lt;&gt;"",K50="")),"Invalid Date","OK")</x:f>
        <x:v>OK</x:v>
      </x:c>
      <x:c r="Q50" s="64" t="str">
        <x:f t="shared" si="12"/>
        <x:v>OK</x:v>
      </x:c>
      <x:c r="R50" s="64" t="str">
        <x:f>IF(OR(ISBLANK('Raw Data'!J50),'Raw Data'!J50&lt;0),"Invalid Order Count","OK")</x:f>
        <x:v>OK</x:v>
      </x:c>
      <x:c r="S50" s="64" t="str">
        <x:f>IF(OR(ISBLANK('Raw Data'!K50),'Raw Data'!K50&lt;0),"Invalid Lifetime Value","OK")</x:f>
        <x:v>OK</x:v>
      </x:c>
      <x:c r="T50" s="64" t="str">
        <x:f t="shared" si="13"/>
        <x:v>OK</x:v>
      </x:c>
      <x:c r="U50" s="17" t="n">
        <x:f>IF(AND(C50&gt;1,COUNTIF($B$4:B50,B50)=1),1,0)</x:f>
        <x:v>0</x:v>
      </x:c>
      <x:c r="V50" s="17">
        <x:f t="shared" si="14"/>
        <x:v>0</x:v>
      </x:c>
      <x:c r="W50" s="64" t="str">
        <x:f t="shared" si="15"/>
        <x:v>Ready</x:v>
      </x:c>
      <x:c r="X50" s="64" t="str">
        <x:f t="shared" si="16"/>
        <x:v>Ready</x:v>
      </x:c>
      <x:c r="Y50" s="17" t="str">
        <x:f t="shared" si="17"/>
        <x:v>Record ready for administrative reporting</x:v>
      </x:c>
    </x:row>
    <x:row r="51" ht="27.950000762939453" customHeight="1">
      <x:c r="A51" s="14" t="n">
        <x:f>ROW('Raw Data'!A51)</x:f>
        <x:v>51</x:v>
      </x:c>
      <x:c r="B51" s="14" t="str">
        <x:f>'Raw Data'!A51</x:f>
        <x:v>CUST-0048</x:v>
      </x:c>
      <x:c r="C51" s="14">
        <x:f t="shared" si="9"/>
        <x:v>1</x:v>
      </x:c>
      <x:c r="D51" s="14" t="str">
        <x:f>PROPER(TRIM('Raw Data'!B51))</x:f>
        <x:v>Liam Ward</x:v>
      </x:c>
      <x:c r="E51" s="14" t="str">
        <x:f>TRIM('Raw Data'!C51)</x:f>
        <x:v>liam.ward@example.com</x:v>
      </x:c>
      <x:c r="F51" s="14" t="str">
        <x:f>TRIM('Raw Data'!D51)</x:f>
        <x:v>+1 202 555 1048</x:v>
      </x:c>
      <x:c r="G51" s="14" t="str">
        <x:f>IFERROR(VLOOKUP(UPPER(TRIM('Raw Data'!E51)),Mappings!$G$5:$H$10,2,FALSE),"Needs Review")</x:f>
        <x:v>Indonesia</x:v>
      </x:c>
      <x:c r="H51" s="19" t="n">
        <x:f>IF('Raw Data'!F51="","",IF(ISNUMBER('Raw Data'!F51),'Raw Data'!F51,IFERROR(DATEVALUE('Raw Data'!F51),"")))</x:f>
        <x:v>45822</x:v>
      </x:c>
      <x:c r="I51" s="63" t="str">
        <x:f>IFERROR(VLOOKUP(UPPER(TRIM('Raw Data'!G51)),Mappings!$A$5:$B$7,2,FALSE),"Needs Review")</x:f>
        <x:v>VIP</x:v>
      </x:c>
      <x:c r="J51" s="63" t="str">
        <x:f>IFERROR(VLOOKUP(UPPER(TRIM('Raw Data'!H51)),Mappings!$D$5:$E$7,2,FALSE),"Needs Review")</x:f>
        <x:v>Prospect</x:v>
      </x:c>
      <x:c r="K51" s="19" t="n">
        <x:f>IF('Raw Data'!I51="","",IF(ISNUMBER('Raw Data'!I51),'Raw Data'!I51,IFERROR(DATEVALUE('Raw Data'!I51),"")))</x:f>
        <x:v>45856</x:v>
      </x:c>
      <x:c r="L51" s="14" t="n">
        <x:f>IF(ISBLANK('Raw Data'!J51),"",'Raw Data'!J51)</x:f>
        <x:v>12</x:v>
      </x:c>
      <x:c r="M51" s="23" t="n">
        <x:f>IF(ISBLANK('Raw Data'!K51),"",'Raw Data'!K51)</x:f>
        <x:v>2253.79</x:v>
      </x:c>
      <x:c r="N51" s="63" t="str">
        <x:f t="shared" si="10"/>
        <x:v>OK</x:v>
      </x:c>
      <x:c r="O51" s="63" t="str">
        <x:f t="shared" si="11"/>
        <x:v>OK</x:v>
      </x:c>
      <x:c r="P51" s="63" t="str">
        <x:f>IF(OR(AND('Raw Data'!F51&lt;&gt;"",H51=""),AND('Raw Data'!I51&lt;&gt;"",K51="")),"Invalid Date","OK")</x:f>
        <x:v>OK</x:v>
      </x:c>
      <x:c r="Q51" s="63" t="str">
        <x:f t="shared" si="12"/>
        <x:v>OK</x:v>
      </x:c>
      <x:c r="R51" s="63" t="str">
        <x:f>IF(OR(ISBLANK('Raw Data'!J51),'Raw Data'!J51&lt;0),"Invalid Order Count","OK")</x:f>
        <x:v>OK</x:v>
      </x:c>
      <x:c r="S51" s="63" t="str">
        <x:f>IF(OR(ISBLANK('Raw Data'!K51),'Raw Data'!K51&lt;0),"Invalid Lifetime Value","OK")</x:f>
        <x:v>OK</x:v>
      </x:c>
      <x:c r="T51" s="63" t="str">
        <x:f t="shared" si="13"/>
        <x:v>OK</x:v>
      </x:c>
      <x:c r="U51" s="14" t="n">
        <x:f>IF(AND(C51&gt;1,COUNTIF($B$4:B51,B51)=1),1,0)</x:f>
        <x:v>0</x:v>
      </x:c>
      <x:c r="V51" s="14">
        <x:f t="shared" si="14"/>
        <x:v>0</x:v>
      </x:c>
      <x:c r="W51" s="63" t="str">
        <x:f t="shared" si="15"/>
        <x:v>Ready</x:v>
      </x:c>
      <x:c r="X51" s="63" t="str">
        <x:f t="shared" si="16"/>
        <x:v>Ready</x:v>
      </x:c>
      <x:c r="Y51" s="14" t="str">
        <x:f t="shared" si="17"/>
        <x:v>Record ready for administrative reporting</x:v>
      </x:c>
    </x:row>
    <x:row r="52" ht="27.950000762939453" customHeight="1">
      <x:c r="A52" s="17" t="n">
        <x:f>ROW('Raw Data'!A52)</x:f>
        <x:v>52</x:v>
      </x:c>
      <x:c r="B52" s="17" t="str">
        <x:f>'Raw Data'!A52</x:f>
        <x:v>CUST-0049</x:v>
      </x:c>
      <x:c r="C52" s="17">
        <x:f t="shared" si="9"/>
        <x:v>1</x:v>
      </x:c>
      <x:c r="D52" s="17" t="str">
        <x:f>PROPER(TRIM('Raw Data'!B52))</x:f>
        <x:v>Nora Cooper</x:v>
      </x:c>
      <x:c r="E52" s="17" t="str">
        <x:f>TRIM('Raw Data'!C52)</x:f>
        <x:v>nora.cooper@example.com</x:v>
      </x:c>
      <x:c r="F52" s="17" t="str">
        <x:f>TRIM('Raw Data'!D52)</x:f>
        <x:v>+1 202 555 1049</x:v>
      </x:c>
      <x:c r="G52" s="17" t="str">
        <x:f>IFERROR(VLOOKUP(UPPER(TRIM('Raw Data'!E52)),Mappings!$G$5:$H$10,2,FALSE),"Needs Review")</x:f>
        <x:v>United States</x:v>
      </x:c>
      <x:c r="H52" s="20" t="n">
        <x:f>IF('Raw Data'!F52="","",IF(ISNUMBER('Raw Data'!F52),'Raw Data'!F52,IFERROR(DATEVALUE('Raw Data'!F52),"")))</x:f>
        <x:v>46005</x:v>
      </x:c>
      <x:c r="I52" s="64" t="str">
        <x:f>IFERROR(VLOOKUP(UPPER(TRIM('Raw Data'!G52)),Mappings!$A$5:$B$7,2,FALSE),"Needs Review")</x:f>
        <x:v>Retail</x:v>
      </x:c>
      <x:c r="J52" s="64" t="str">
        <x:f>IFERROR(VLOOKUP(UPPER(TRIM('Raw Data'!H52)),Mappings!$D$5:$E$7,2,FALSE),"Needs Review")</x:f>
        <x:v>Prospect</x:v>
      </x:c>
      <x:c r="K52" s="20" t="n">
        <x:f>IF('Raw Data'!I52="","",IF(ISNUMBER('Raw Data'!I52),'Raw Data'!I52,IFERROR(DATEVALUE('Raw Data'!I52),"")))</x:f>
        <x:v>46147</x:v>
      </x:c>
      <x:c r="L52" s="17" t="n">
        <x:f>IF(ISBLANK('Raw Data'!J52),"",'Raw Data'!J52)</x:f>
        <x:v>6</x:v>
      </x:c>
      <x:c r="M52" s="24" t="n">
        <x:f>IF(ISBLANK('Raw Data'!K52),"",'Raw Data'!K52)</x:f>
        <x:v>942.34</x:v>
      </x:c>
      <x:c r="N52" s="64" t="str">
        <x:f t="shared" si="10"/>
        <x:v>OK</x:v>
      </x:c>
      <x:c r="O52" s="64" t="str">
        <x:f t="shared" si="11"/>
        <x:v>OK</x:v>
      </x:c>
      <x:c r="P52" s="64" t="str">
        <x:f>IF(OR(AND('Raw Data'!F52&lt;&gt;"",H52=""),AND('Raw Data'!I52&lt;&gt;"",K52="")),"Invalid Date","OK")</x:f>
        <x:v>OK</x:v>
      </x:c>
      <x:c r="Q52" s="64" t="str">
        <x:f t="shared" si="12"/>
        <x:v>OK</x:v>
      </x:c>
      <x:c r="R52" s="64" t="str">
        <x:f>IF(OR(ISBLANK('Raw Data'!J52),'Raw Data'!J52&lt;0),"Invalid Order Count","OK")</x:f>
        <x:v>OK</x:v>
      </x:c>
      <x:c r="S52" s="64" t="str">
        <x:f>IF(OR(ISBLANK('Raw Data'!K52),'Raw Data'!K52&lt;0),"Invalid Lifetime Value","OK")</x:f>
        <x:v>OK</x:v>
      </x:c>
      <x:c r="T52" s="64" t="str">
        <x:f t="shared" si="13"/>
        <x:v>OK</x:v>
      </x:c>
      <x:c r="U52" s="17" t="n">
        <x:f>IF(AND(C52&gt;1,COUNTIF($B$4:B52,B52)=1),1,0)</x:f>
        <x:v>0</x:v>
      </x:c>
      <x:c r="V52" s="17">
        <x:f t="shared" si="14"/>
        <x:v>0</x:v>
      </x:c>
      <x:c r="W52" s="64" t="str">
        <x:f t="shared" si="15"/>
        <x:v>Ready</x:v>
      </x:c>
      <x:c r="X52" s="64" t="str">
        <x:f t="shared" si="16"/>
        <x:v>Ready</x:v>
      </x:c>
      <x:c r="Y52" s="17" t="str">
        <x:f t="shared" si="17"/>
        <x:v>Record ready for administrative reporting</x:v>
      </x:c>
    </x:row>
    <x:row r="53" ht="27.950000762939453" customHeight="1">
      <x:c r="A53" s="14" t="n">
        <x:f>ROW('Raw Data'!A53)</x:f>
        <x:v>53</x:v>
      </x:c>
      <x:c r="B53" s="14" t="str">
        <x:f>'Raw Data'!A53</x:f>
        <x:v>CUST-0050</x:v>
      </x:c>
      <x:c r="C53" s="14">
        <x:f t="shared" si="9"/>
        <x:v>1</x:v>
      </x:c>
      <x:c r="D53" s="14" t="str">
        <x:f>PROPER(TRIM('Raw Data'!B53))</x:f>
        <x:v>Sofia Mitchell</x:v>
      </x:c>
      <x:c r="E53" s="14" t="str">
        <x:f>TRIM('Raw Data'!C53)</x:f>
        <x:v>sofia.mitchell@example.com</x:v>
      </x:c>
      <x:c r="F53" s="14" t="str">
        <x:f>TRIM('Raw Data'!D53)</x:f>
        <x:v>+1 202 555 1050</x:v>
      </x:c>
      <x:c r="G53" s="14" t="str">
        <x:f>IFERROR(VLOOKUP(UPPER(TRIM('Raw Data'!E53)),Mappings!$G$5:$H$10,2,FALSE),"Needs Review")</x:f>
        <x:v>Singapore</x:v>
      </x:c>
      <x:c r="H53" s="19" t="n">
        <x:f>IF('Raw Data'!F53="","",IF(ISNUMBER('Raw Data'!F53),'Raw Data'!F53,IFERROR(DATEVALUE('Raw Data'!F53),"")))</x:f>
        <x:v>45830</x:v>
      </x:c>
      <x:c r="I53" s="63" t="str">
        <x:f>IFERROR(VLOOKUP(UPPER(TRIM('Raw Data'!G53)),Mappings!$A$5:$B$7,2,FALSE),"Needs Review")</x:f>
        <x:v>Retail</x:v>
      </x:c>
      <x:c r="J53" s="63" t="str">
        <x:f>IFERROR(VLOOKUP(UPPER(TRIM('Raw Data'!H53)),Mappings!$D$5:$E$7,2,FALSE),"Needs Review")</x:f>
        <x:v>Prospect</x:v>
      </x:c>
      <x:c r="K53" s="19" t="n">
        <x:f>IF('Raw Data'!I53="","",IF(ISNUMBER('Raw Data'!I53),'Raw Data'!I53,IFERROR(DATEVALUE('Raw Data'!I53),"")))</x:f>
        <x:v>45911</x:v>
      </x:c>
      <x:c r="L53" s="14" t="n">
        <x:f>IF(ISBLANK('Raw Data'!J53),"",'Raw Data'!J53)</x:f>
        <x:v>16</x:v>
      </x:c>
      <x:c r="M53" s="23" t="n">
        <x:f>IF(ISBLANK('Raw Data'!K53),"",'Raw Data'!K53)</x:f>
        <x:v>807.75</x:v>
      </x:c>
      <x:c r="N53" s="63" t="str">
        <x:f t="shared" si="10"/>
        <x:v>OK</x:v>
      </x:c>
      <x:c r="O53" s="63" t="str">
        <x:f t="shared" si="11"/>
        <x:v>OK</x:v>
      </x:c>
      <x:c r="P53" s="63" t="str">
        <x:f>IF(OR(AND('Raw Data'!F53&lt;&gt;"",H53=""),AND('Raw Data'!I53&lt;&gt;"",K53="")),"Invalid Date","OK")</x:f>
        <x:v>OK</x:v>
      </x:c>
      <x:c r="Q53" s="63" t="str">
        <x:f t="shared" si="12"/>
        <x:v>OK</x:v>
      </x:c>
      <x:c r="R53" s="63" t="str">
        <x:f>IF(OR(ISBLANK('Raw Data'!J53),'Raw Data'!J53&lt;0),"Invalid Order Count","OK")</x:f>
        <x:v>OK</x:v>
      </x:c>
      <x:c r="S53" s="63" t="str">
        <x:f>IF(OR(ISBLANK('Raw Data'!K53),'Raw Data'!K53&lt;0),"Invalid Lifetime Value","OK")</x:f>
        <x:v>OK</x:v>
      </x:c>
      <x:c r="T53" s="63" t="str">
        <x:f t="shared" si="13"/>
        <x:v>OK</x:v>
      </x:c>
      <x:c r="U53" s="14" t="n">
        <x:f>IF(AND(C53&gt;1,COUNTIF($B$4:B53,B53)=1),1,0)</x:f>
        <x:v>0</x:v>
      </x:c>
      <x:c r="V53" s="14">
        <x:f t="shared" si="14"/>
        <x:v>0</x:v>
      </x:c>
      <x:c r="W53" s="63" t="str">
        <x:f t="shared" si="15"/>
        <x:v>Ready</x:v>
      </x:c>
      <x:c r="X53" s="63" t="str">
        <x:f t="shared" si="16"/>
        <x:v>Ready</x:v>
      </x:c>
      <x:c r="Y53" s="14" t="str">
        <x:f t="shared" si="17"/>
        <x:v>Record ready for administrative reporting</x:v>
      </x:c>
    </x:row>
    <x:row r="54" ht="27.950000762939453" customHeight="1">
      <x:c r="A54" s="17" t="n">
        <x:f>ROW('Raw Data'!A54)</x:f>
        <x:v>54</x:v>
      </x:c>
      <x:c r="B54" s="17" t="str">
        <x:f>'Raw Data'!A54</x:f>
        <x:v>CUST-0051</x:v>
      </x:c>
      <x:c r="C54" s="17">
        <x:f t="shared" si="9"/>
        <x:v>1</x:v>
      </x:c>
      <x:c r="D54" s="17" t="str">
        <x:f>PROPER(TRIM('Raw Data'!B54))</x:f>
        <x:v>Liam Mitchell</x:v>
      </x:c>
      <x:c r="E54" s="17" t="str">
        <x:f>TRIM('Raw Data'!C54)</x:f>
        <x:v>liam.mitchell@example.com</x:v>
      </x:c>
      <x:c r="F54" s="17" t="str">
        <x:f>TRIM('Raw Data'!D54)</x:f>
        <x:v>+1 202 555 1051</x:v>
      </x:c>
      <x:c r="G54" s="17" t="str">
        <x:f>IFERROR(VLOOKUP(UPPER(TRIM('Raw Data'!E54)),Mappings!$G$5:$H$10,2,FALSE),"Needs Review")</x:f>
        <x:v>Australia</x:v>
      </x:c>
      <x:c r="H54" s="20" t="n">
        <x:f>IF('Raw Data'!F54="","",IF(ISNUMBER('Raw Data'!F54),'Raw Data'!F54,IFERROR(DATEVALUE('Raw Data'!F54),"")))</x:f>
        <x:v>46001</x:v>
      </x:c>
      <x:c r="I54" s="64" t="str">
        <x:f>IFERROR(VLOOKUP(UPPER(TRIM('Raw Data'!G54)),Mappings!$A$5:$B$7,2,FALSE),"Needs Review")</x:f>
        <x:v>VIP</x:v>
      </x:c>
      <x:c r="J54" s="64" t="str">
        <x:f>IFERROR(VLOOKUP(UPPER(TRIM('Raw Data'!H54)),Mappings!$D$5:$E$7,2,FALSE),"Needs Review")</x:f>
        <x:v>Active</x:v>
      </x:c>
      <x:c r="K54" s="20" t="n">
        <x:f>IF('Raw Data'!I54="","",IF(ISNUMBER('Raw Data'!I54),'Raw Data'!I54,IFERROR(DATEVALUE('Raw Data'!I54),"")))</x:f>
        <x:v>46055</x:v>
      </x:c>
      <x:c r="L54" s="17" t="n">
        <x:f>IF(ISBLANK('Raw Data'!J54),"",'Raw Data'!J54)</x:f>
        <x:v>13</x:v>
      </x:c>
      <x:c r="M54" s="24" t="n">
        <x:f>IF(ISBLANK('Raw Data'!K54),"",'Raw Data'!K54)</x:f>
        <x:v>1679.08</x:v>
      </x:c>
      <x:c r="N54" s="64" t="str">
        <x:f t="shared" si="10"/>
        <x:v>OK</x:v>
      </x:c>
      <x:c r="O54" s="64" t="str">
        <x:f t="shared" si="11"/>
        <x:v>OK</x:v>
      </x:c>
      <x:c r="P54" s="64" t="str">
        <x:f>IF(OR(AND('Raw Data'!F54&lt;&gt;"",H54=""),AND('Raw Data'!I54&lt;&gt;"",K54="")),"Invalid Date","OK")</x:f>
        <x:v>OK</x:v>
      </x:c>
      <x:c r="Q54" s="64" t="str">
        <x:f t="shared" si="12"/>
        <x:v>OK</x:v>
      </x:c>
      <x:c r="R54" s="64" t="str">
        <x:f>IF(OR(ISBLANK('Raw Data'!J54),'Raw Data'!J54&lt;0),"Invalid Order Count","OK")</x:f>
        <x:v>OK</x:v>
      </x:c>
      <x:c r="S54" s="64" t="str">
        <x:f>IF(OR(ISBLANK('Raw Data'!K54),'Raw Data'!K54&lt;0),"Invalid Lifetime Value","OK")</x:f>
        <x:v>OK</x:v>
      </x:c>
      <x:c r="T54" s="64" t="str">
        <x:f t="shared" si="13"/>
        <x:v>OK</x:v>
      </x:c>
      <x:c r="U54" s="17" t="n">
        <x:f>IF(AND(C54&gt;1,COUNTIF($B$4:B54,B54)=1),1,0)</x:f>
        <x:v>0</x:v>
      </x:c>
      <x:c r="V54" s="17">
        <x:f t="shared" si="14"/>
        <x:v>0</x:v>
      </x:c>
      <x:c r="W54" s="64" t="str">
        <x:f t="shared" si="15"/>
        <x:v>Ready</x:v>
      </x:c>
      <x:c r="X54" s="64" t="str">
        <x:f t="shared" si="16"/>
        <x:v>Ready</x:v>
      </x:c>
      <x:c r="Y54" s="17" t="str">
        <x:f t="shared" si="17"/>
        <x:v>Record ready for administrative reporting</x:v>
      </x:c>
    </x:row>
    <x:row r="55" ht="27.950000762939453" customHeight="1">
      <x:c r="A55" s="14" t="n">
        <x:f>ROW('Raw Data'!A55)</x:f>
        <x:v>55</x:v>
      </x:c>
      <x:c r="B55" s="14" t="str">
        <x:f>'Raw Data'!A55</x:f>
        <x:v>CUST-0052</x:v>
      </x:c>
      <x:c r="C55" s="14">
        <x:f t="shared" si="9"/>
        <x:v>1</x:v>
      </x:c>
      <x:c r="D55" s="14" t="str">
        <x:f>PROPER(TRIM('Raw Data'!B55))</x:f>
        <x:v>Emma Hayes</x:v>
      </x:c>
      <x:c r="E55" s="14" t="str">
        <x:f>TRIM('Raw Data'!C55)</x:f>
        <x:v>emma.hayes@example.com</x:v>
      </x:c>
      <x:c r="F55" s="14" t="str">
        <x:f>TRIM('Raw Data'!D55)</x:f>
        <x:v>+1 202 555 1052</x:v>
      </x:c>
      <x:c r="G55" s="14" t="str">
        <x:f>IFERROR(VLOOKUP(UPPER(TRIM('Raw Data'!E55)),Mappings!$G$5:$H$10,2,FALSE),"Needs Review")</x:f>
        <x:v>Singapore</x:v>
      </x:c>
      <x:c r="H55" s="19" t="n">
        <x:f>IF('Raw Data'!F55="","",IF(ISNUMBER('Raw Data'!F55),'Raw Data'!F55,IFERROR(DATEVALUE('Raw Data'!F55),"")))</x:f>
        <x:v>45940</x:v>
      </x:c>
      <x:c r="I55" s="63" t="str">
        <x:f>IFERROR(VLOOKUP(UPPER(TRIM('Raw Data'!G55)),Mappings!$A$5:$B$7,2,FALSE),"Needs Review")</x:f>
        <x:v>Needs Review</x:v>
      </x:c>
      <x:c r="J55" s="63" t="str">
        <x:f>IFERROR(VLOOKUP(UPPER(TRIM('Raw Data'!H55)),Mappings!$D$5:$E$7,2,FALSE),"Needs Review")</x:f>
        <x:v>Prospect</x:v>
      </x:c>
      <x:c r="K55" s="19" t="n">
        <x:f>IF('Raw Data'!I55="","",IF(ISNUMBER('Raw Data'!I55),'Raw Data'!I55,IFERROR(DATEVALUE('Raw Data'!I55),"")))</x:f>
        <x:v>45945</x:v>
      </x:c>
      <x:c r="L55" s="14" t="n">
        <x:f>IF(ISBLANK('Raw Data'!J55),"",'Raw Data'!J55)</x:f>
        <x:v>9</x:v>
      </x:c>
      <x:c r="M55" s="23" t="n">
        <x:f>IF(ISBLANK('Raw Data'!K55),"",'Raw Data'!K55)</x:f>
        <x:v>752.94</x:v>
      </x:c>
      <x:c r="N55" s="63" t="str">
        <x:f t="shared" si="10"/>
        <x:v>OK</x:v>
      </x:c>
      <x:c r="O55" s="63" t="str">
        <x:f t="shared" si="11"/>
        <x:v>OK</x:v>
      </x:c>
      <x:c r="P55" s="63" t="str">
        <x:f>IF(OR(AND('Raw Data'!F55&lt;&gt;"",H55=""),AND('Raw Data'!I55&lt;&gt;"",K55="")),"Invalid Date","OK")</x:f>
        <x:v>OK</x:v>
      </x:c>
      <x:c r="Q55" s="63" t="str">
        <x:f t="shared" si="12"/>
        <x:v>Invalid Segment</x:v>
      </x:c>
      <x:c r="R55" s="63" t="str">
        <x:f>IF(OR(ISBLANK('Raw Data'!J55),'Raw Data'!J55&lt;0),"Invalid Order Count","OK")</x:f>
        <x:v>OK</x:v>
      </x:c>
      <x:c r="S55" s="63" t="str">
        <x:f>IF(OR(ISBLANK('Raw Data'!K55),'Raw Data'!K55&lt;0),"Invalid Lifetime Value","OK")</x:f>
        <x:v>OK</x:v>
      </x:c>
      <x:c r="T55" s="63" t="str">
        <x:f t="shared" si="13"/>
        <x:v>OK</x:v>
      </x:c>
      <x:c r="U55" s="14" t="n">
        <x:f>IF(AND(C55&gt;1,COUNTIF($B$4:B55,B55)=1),1,0)</x:f>
        <x:v>0</x:v>
      </x:c>
      <x:c r="V55" s="14">
        <x:f t="shared" si="14"/>
        <x:v>1</x:v>
      </x:c>
      <x:c r="W55" s="63" t="str">
        <x:f t="shared" si="15"/>
        <x:v>Invalid Segment</x:v>
      </x:c>
      <x:c r="X55" s="63" t="str">
        <x:f t="shared" si="16"/>
        <x:v>Needs Review</x:v>
      </x:c>
      <x:c r="Y55" s="14" t="str">
        <x:f t="shared" si="17"/>
        <x:v>Request segment confirmation in writing</x:v>
      </x:c>
    </x:row>
    <x:row r="56" ht="27.950000762939453" customHeight="1">
      <x:c r="A56" s="17" t="n">
        <x:f>ROW('Raw Data'!A56)</x:f>
        <x:v>56</x:v>
      </x:c>
      <x:c r="B56" s="17" t="str">
        <x:f>'Raw Data'!A56</x:f>
        <x:v>CUST-0013</x:v>
      </x:c>
      <x:c r="C56" s="17">
        <x:f t="shared" si="9"/>
        <x:v>2</x:v>
      </x:c>
      <x:c r="D56" s="17" t="str">
        <x:f>PROPER(TRIM('Raw Data'!B56))</x:f>
        <x:v>Liam King</x:v>
      </x:c>
      <x:c r="E56" s="17" t="str">
        <x:f>TRIM('Raw Data'!C56)</x:f>
        <x:v>liam.king@example.com</x:v>
      </x:c>
      <x:c r="F56" s="17" t="str">
        <x:f>TRIM('Raw Data'!D56)</x:f>
        <x:v>+1 202 555 1013</x:v>
      </x:c>
      <x:c r="G56" s="17" t="str">
        <x:f>IFERROR(VLOOKUP(UPPER(TRIM('Raw Data'!E56)),Mappings!$G$5:$H$10,2,FALSE),"Needs Review")</x:f>
        <x:v>United States</x:v>
      </x:c>
      <x:c r="H56" s="20" t="n">
        <x:f>IF('Raw Data'!F56="","",IF(ISNUMBER('Raw Data'!F56),'Raw Data'!F56,IFERROR(DATEVALUE('Raw Data'!F56),"")))</x:f>
        <x:v>45851</x:v>
      </x:c>
      <x:c r="I56" s="64" t="str">
        <x:f>IFERROR(VLOOKUP(UPPER(TRIM('Raw Data'!G56)),Mappings!$A$5:$B$7,2,FALSE),"Needs Review")</x:f>
        <x:v>VIP</x:v>
      </x:c>
      <x:c r="J56" s="64" t="str">
        <x:f>IFERROR(VLOOKUP(UPPER(TRIM('Raw Data'!H56)),Mappings!$D$5:$E$7,2,FALSE),"Needs Review")</x:f>
        <x:v>Inactive</x:v>
      </x:c>
      <x:c r="K56" s="20" t="n">
        <x:f>IF('Raw Data'!I56="","",IF(ISNUMBER('Raw Data'!I56),'Raw Data'!I56,IFERROR(DATEVALUE('Raw Data'!I56),"")))</x:f>
        <x:v>45991</x:v>
      </x:c>
      <x:c r="L56" s="17" t="n">
        <x:f>IF(ISBLANK('Raw Data'!J56),"",'Raw Data'!J56)</x:f>
        <x:v>9</x:v>
      </x:c>
      <x:c r="M56" s="24" t="n">
        <x:f>IF(ISBLANK('Raw Data'!K56),"",'Raw Data'!K56)</x:f>
        <x:v>2429.14</x:v>
      </x:c>
      <x:c r="N56" s="64" t="str">
        <x:f t="shared" si="10"/>
        <x:v>OK</x:v>
      </x:c>
      <x:c r="O56" s="64" t="str">
        <x:f t="shared" si="11"/>
        <x:v>OK</x:v>
      </x:c>
      <x:c r="P56" s="64" t="str">
        <x:f>IF(OR(AND('Raw Data'!F56&lt;&gt;"",H56=""),AND('Raw Data'!I56&lt;&gt;"",K56="")),"Invalid Date","OK")</x:f>
        <x:v>OK</x:v>
      </x:c>
      <x:c r="Q56" s="64" t="str">
        <x:f t="shared" si="12"/>
        <x:v>OK</x:v>
      </x:c>
      <x:c r="R56" s="64" t="str">
        <x:f>IF(OR(ISBLANK('Raw Data'!J56),'Raw Data'!J56&lt;0),"Invalid Order Count","OK")</x:f>
        <x:v>OK</x:v>
      </x:c>
      <x:c r="S56" s="64" t="str">
        <x:f>IF(OR(ISBLANK('Raw Data'!K56),'Raw Data'!K56&lt;0),"Invalid Lifetime Value","OK")</x:f>
        <x:v>OK</x:v>
      </x:c>
      <x:c r="T56" s="64" t="str">
        <x:f t="shared" si="13"/>
        <x:v>Duplicate Customer ID</x:v>
      </x:c>
      <x:c r="U56" s="17" t="n">
        <x:f>IF(AND(C56&gt;1,COUNTIF($B$4:B56,B56)=1),1,0)</x:f>
        <x:v>0</x:v>
      </x:c>
      <x:c r="V56" s="17">
        <x:f t="shared" si="14"/>
        <x:v>1</x:v>
      </x:c>
      <x:c r="W56" s="64" t="str">
        <x:f t="shared" si="15"/>
        <x:v>Duplicate Customer ID</x:v>
      </x:c>
      <x:c r="X56" s="64" t="str">
        <x:f t="shared" si="16"/>
        <x:v>Needs Review</x:v>
      </x:c>
      <x:c r="Y56" s="17" t="str">
        <x:f t="shared" si="17"/>
        <x:v>Compare duplicate rows and confirm the valid source record</x:v>
      </x:c>
    </x:row>
    <x:row r="57" ht="27.950000762939453" customHeight="1">
      <x:c r="A57" s="14" t="n">
        <x:f>ROW('Raw Data'!A57)</x:f>
        <x:v>57</x:v>
      </x:c>
      <x:c r="B57" s="14" t="str">
        <x:f>'Raw Data'!A57</x:f>
        <x:v>CUST-0054</x:v>
      </x:c>
      <x:c r="C57" s="14">
        <x:f t="shared" si="9"/>
        <x:v>1</x:v>
      </x:c>
      <x:c r="D57" s="14" t="str">
        <x:f>PROPER(TRIM('Raw Data'!B57))</x:f>
        <x:v>Ethan Morgan</x:v>
      </x:c>
      <x:c r="E57" s="14" t="str">
        <x:f>TRIM('Raw Data'!C57)</x:f>
        <x:v>ethan.morgan@example.com</x:v>
      </x:c>
      <x:c r="F57" s="14" t="str">
        <x:f>TRIM('Raw Data'!D57)</x:f>
        <x:v>+1 202 555 1054</x:v>
      </x:c>
      <x:c r="G57" s="14" t="str">
        <x:f>IFERROR(VLOOKUP(UPPER(TRIM('Raw Data'!E57)),Mappings!$G$5:$H$10,2,FALSE),"Needs Review")</x:f>
        <x:v>United Kingdom</x:v>
      </x:c>
      <x:c r="H57" s="19" t="n">
        <x:f>IF('Raw Data'!F57="","",IF(ISNUMBER('Raw Data'!F57),'Raw Data'!F57,IFERROR(DATEVALUE('Raw Data'!F57),"")))</x:f>
        <x:v>45922</x:v>
      </x:c>
      <x:c r="I57" s="63" t="str">
        <x:f>IFERROR(VLOOKUP(UPPER(TRIM('Raw Data'!G57)),Mappings!$A$5:$B$7,2,FALSE),"Needs Review")</x:f>
        <x:v>VIP</x:v>
      </x:c>
      <x:c r="J57" s="63" t="str">
        <x:f>IFERROR(VLOOKUP(UPPER(TRIM('Raw Data'!H57)),Mappings!$D$5:$E$7,2,FALSE),"Needs Review")</x:f>
        <x:v>Prospect</x:v>
      </x:c>
      <x:c r="K57" s="19" t="n">
        <x:f>IF('Raw Data'!I57="","",IF(ISNUMBER('Raw Data'!I57),'Raw Data'!I57,IFERROR(DATEVALUE('Raw Data'!I57),"")))</x:f>
        <x:v>46012</x:v>
      </x:c>
      <x:c r="L57" s="14" t="n">
        <x:f>IF(ISBLANK('Raw Data'!J57),"",'Raw Data'!J57)</x:f>
        <x:v>2</x:v>
      </x:c>
      <x:c r="M57" s="23" t="n">
        <x:f>IF(ISBLANK('Raw Data'!K57),"",'Raw Data'!K57)</x:f>
        <x:v>2055.14</x:v>
      </x:c>
      <x:c r="N57" s="63" t="str">
        <x:f t="shared" si="10"/>
        <x:v>OK</x:v>
      </x:c>
      <x:c r="O57" s="63" t="str">
        <x:f t="shared" si="11"/>
        <x:v>OK</x:v>
      </x:c>
      <x:c r="P57" s="63" t="str">
        <x:f>IF(OR(AND('Raw Data'!F57&lt;&gt;"",H57=""),AND('Raw Data'!I57&lt;&gt;"",K57="")),"Invalid Date","OK")</x:f>
        <x:v>OK</x:v>
      </x:c>
      <x:c r="Q57" s="63" t="str">
        <x:f t="shared" si="12"/>
        <x:v>OK</x:v>
      </x:c>
      <x:c r="R57" s="63" t="str">
        <x:f>IF(OR(ISBLANK('Raw Data'!J57),'Raw Data'!J57&lt;0),"Invalid Order Count","OK")</x:f>
        <x:v>OK</x:v>
      </x:c>
      <x:c r="S57" s="63" t="str">
        <x:f>IF(OR(ISBLANK('Raw Data'!K57),'Raw Data'!K57&lt;0),"Invalid Lifetime Value","OK")</x:f>
        <x:v>OK</x:v>
      </x:c>
      <x:c r="T57" s="63" t="str">
        <x:f t="shared" si="13"/>
        <x:v>OK</x:v>
      </x:c>
      <x:c r="U57" s="14" t="n">
        <x:f>IF(AND(C57&gt;1,COUNTIF($B$4:B57,B57)=1),1,0)</x:f>
        <x:v>0</x:v>
      </x:c>
      <x:c r="V57" s="14">
        <x:f t="shared" si="14"/>
        <x:v>0</x:v>
      </x:c>
      <x:c r="W57" s="63" t="str">
        <x:f t="shared" si="15"/>
        <x:v>Ready</x:v>
      </x:c>
      <x:c r="X57" s="63" t="str">
        <x:f t="shared" si="16"/>
        <x:v>Ready</x:v>
      </x:c>
      <x:c r="Y57" s="14" t="str">
        <x:f t="shared" si="17"/>
        <x:v>Record ready for administrative reporting</x:v>
      </x:c>
    </x:row>
    <x:row r="58" ht="27.950000762939453" customHeight="1">
      <x:c r="A58" s="17" t="n">
        <x:f>ROW('Raw Data'!A58)</x:f>
        <x:v>58</x:v>
      </x:c>
      <x:c r="B58" s="17" t="str">
        <x:f>'Raw Data'!A58</x:f>
        <x:v>CUST-0055</x:v>
      </x:c>
      <x:c r="C58" s="17">
        <x:f t="shared" si="9"/>
        <x:v>1</x:v>
      </x:c>
      <x:c r="D58" s="17" t="str">
        <x:f>PROPER(TRIM('Raw Data'!B58))</x:f>
        <x:v>Lucas Foster</x:v>
      </x:c>
      <x:c r="E58" s="17" t="str">
        <x:f>TRIM('Raw Data'!C58)</x:f>
        <x:v>lucas.foster@example.com</x:v>
      </x:c>
      <x:c r="F58" s="17" t="str">
        <x:f>TRIM('Raw Data'!D58)</x:f>
        <x:v>+1 202 555 1055</x:v>
      </x:c>
      <x:c r="G58" s="17" t="str">
        <x:f>IFERROR(VLOOKUP(UPPER(TRIM('Raw Data'!E58)),Mappings!$G$5:$H$10,2,FALSE),"Needs Review")</x:f>
        <x:v>Canada</x:v>
      </x:c>
      <x:c r="H58" s="20" t="n">
        <x:f>IF('Raw Data'!F58="","",IF(ISNUMBER('Raw Data'!F58),'Raw Data'!F58,IFERROR(DATEVALUE('Raw Data'!F58),"")))</x:f>
        <x:v>45752</x:v>
      </x:c>
      <x:c r="I58" s="64" t="str">
        <x:f>IFERROR(VLOOKUP(UPPER(TRIM('Raw Data'!G58)),Mappings!$A$5:$B$7,2,FALSE),"Needs Review")</x:f>
        <x:v>Retail</x:v>
      </x:c>
      <x:c r="J58" s="64" t="str">
        <x:f>IFERROR(VLOOKUP(UPPER(TRIM('Raw Data'!H58)),Mappings!$D$5:$E$7,2,FALSE),"Needs Review")</x:f>
        <x:v>Active</x:v>
      </x:c>
      <x:c r="K58" s="20" t="n">
        <x:f>IF('Raw Data'!I58="","",IF(ISNUMBER('Raw Data'!I58),'Raw Data'!I58,IFERROR(DATEVALUE('Raw Data'!I58),"")))</x:f>
        <x:v>45819</x:v>
      </x:c>
      <x:c r="L58" s="17" t="n">
        <x:f>IF(ISBLANK('Raw Data'!J58),"",'Raw Data'!J58)</x:f>
        <x:v>15</x:v>
      </x:c>
      <x:c r="M58" s="24" t="n">
        <x:f>IF(ISBLANK('Raw Data'!K58),"",'Raw Data'!K58)</x:f>
        <x:v>1547.62</x:v>
      </x:c>
      <x:c r="N58" s="64" t="str">
        <x:f t="shared" si="10"/>
        <x:v>OK</x:v>
      </x:c>
      <x:c r="O58" s="64" t="str">
        <x:f t="shared" si="11"/>
        <x:v>OK</x:v>
      </x:c>
      <x:c r="P58" s="64" t="str">
        <x:f>IF(OR(AND('Raw Data'!F58&lt;&gt;"",H58=""),AND('Raw Data'!I58&lt;&gt;"",K58="")),"Invalid Date","OK")</x:f>
        <x:v>OK</x:v>
      </x:c>
      <x:c r="Q58" s="64" t="str">
        <x:f t="shared" si="12"/>
        <x:v>OK</x:v>
      </x:c>
      <x:c r="R58" s="64" t="str">
        <x:f>IF(OR(ISBLANK('Raw Data'!J58),'Raw Data'!J58&lt;0),"Invalid Order Count","OK")</x:f>
        <x:v>OK</x:v>
      </x:c>
      <x:c r="S58" s="64" t="str">
        <x:f>IF(OR(ISBLANK('Raw Data'!K58),'Raw Data'!K58&lt;0),"Invalid Lifetime Value","OK")</x:f>
        <x:v>OK</x:v>
      </x:c>
      <x:c r="T58" s="64" t="str">
        <x:f t="shared" si="13"/>
        <x:v>OK</x:v>
      </x:c>
      <x:c r="U58" s="17" t="n">
        <x:f>IF(AND(C58&gt;1,COUNTIF($B$4:B58,B58)=1),1,0)</x:f>
        <x:v>0</x:v>
      </x:c>
      <x:c r="V58" s="17">
        <x:f t="shared" si="14"/>
        <x:v>0</x:v>
      </x:c>
      <x:c r="W58" s="64" t="str">
        <x:f t="shared" si="15"/>
        <x:v>Ready</x:v>
      </x:c>
      <x:c r="X58" s="64" t="str">
        <x:f t="shared" si="16"/>
        <x:v>Ready</x:v>
      </x:c>
      <x:c r="Y58" s="17" t="str">
        <x:f t="shared" si="17"/>
        <x:v>Record ready for administrative reporting</x:v>
      </x:c>
    </x:row>
    <x:row r="59" ht="27.950000762939453" customHeight="1">
      <x:c r="A59" s="14" t="n">
        <x:f>ROW('Raw Data'!A59)</x:f>
        <x:v>59</x:v>
      </x:c>
      <x:c r="B59" s="14" t="str">
        <x:f>'Raw Data'!A59</x:f>
        <x:v>CUST-0056</x:v>
      </x:c>
      <x:c r="C59" s="14">
        <x:f t="shared" si="9"/>
        <x:v>1</x:v>
      </x:c>
      <x:c r="D59" s="14" t="str">
        <x:f>PROPER(TRIM('Raw Data'!B59))</x:f>
        <x:v>Sofia Murphy</x:v>
      </x:c>
      <x:c r="E59" s="14" t="str">
        <x:f>TRIM('Raw Data'!C59)</x:f>
        <x:v>sofia.murphy@example.com</x:v>
      </x:c>
      <x:c r="F59" s="14" t="str">
        <x:f>TRIM('Raw Data'!D59)</x:f>
        <x:v>+1 202 555 1056</x:v>
      </x:c>
      <x:c r="G59" s="14" t="str">
        <x:f>IFERROR(VLOOKUP(UPPER(TRIM('Raw Data'!E59)),Mappings!$G$5:$H$10,2,FALSE),"Needs Review")</x:f>
        <x:v>Australia</x:v>
      </x:c>
      <x:c r="H59" s="19" t="n">
        <x:f>IF('Raw Data'!F59="","",IF(ISNUMBER('Raw Data'!F59),'Raw Data'!F59,IFERROR(DATEVALUE('Raw Data'!F59),"")))</x:f>
        <x:v>45980</x:v>
      </x:c>
      <x:c r="I59" s="63" t="str">
        <x:f>IFERROR(VLOOKUP(UPPER(TRIM('Raw Data'!G59)),Mappings!$A$5:$B$7,2,FALSE),"Needs Review")</x:f>
        <x:v>Retail</x:v>
      </x:c>
      <x:c r="J59" s="63" t="str">
        <x:f>IFERROR(VLOOKUP(UPPER(TRIM('Raw Data'!H59)),Mappings!$D$5:$E$7,2,FALSE),"Needs Review")</x:f>
        <x:v>Prospect</x:v>
      </x:c>
      <x:c r="K59" s="19" t="n">
        <x:f>IF('Raw Data'!I59="","",IF(ISNUMBER('Raw Data'!I59),'Raw Data'!I59,IFERROR(DATEVALUE('Raw Data'!I59),"")))</x:f>
        <x:v>46083</x:v>
      </x:c>
      <x:c r="L59" s="14" t="n">
        <x:f>IF(ISBLANK('Raw Data'!J59),"",'Raw Data'!J59)</x:f>
        <x:v>15</x:v>
      </x:c>
      <x:c r="M59" s="23" t="n">
        <x:f>IF(ISBLANK('Raw Data'!K59),"",'Raw Data'!K59)</x:f>
        <x:v>1029.15</x:v>
      </x:c>
      <x:c r="N59" s="63" t="str">
        <x:f t="shared" si="10"/>
        <x:v>OK</x:v>
      </x:c>
      <x:c r="O59" s="63" t="str">
        <x:f t="shared" si="11"/>
        <x:v>OK</x:v>
      </x:c>
      <x:c r="P59" s="63" t="str">
        <x:f>IF(OR(AND('Raw Data'!F59&lt;&gt;"",H59=""),AND('Raw Data'!I59&lt;&gt;"",K59="")),"Invalid Date","OK")</x:f>
        <x:v>OK</x:v>
      </x:c>
      <x:c r="Q59" s="63" t="str">
        <x:f t="shared" si="12"/>
        <x:v>OK</x:v>
      </x:c>
      <x:c r="R59" s="63" t="str">
        <x:f>IF(OR(ISBLANK('Raw Data'!J59),'Raw Data'!J59&lt;0),"Invalid Order Count","OK")</x:f>
        <x:v>OK</x:v>
      </x:c>
      <x:c r="S59" s="63" t="str">
        <x:f>IF(OR(ISBLANK('Raw Data'!K59),'Raw Data'!K59&lt;0),"Invalid Lifetime Value","OK")</x:f>
        <x:v>OK</x:v>
      </x:c>
      <x:c r="T59" s="63" t="str">
        <x:f t="shared" si="13"/>
        <x:v>OK</x:v>
      </x:c>
      <x:c r="U59" s="14" t="n">
        <x:f>IF(AND(C59&gt;1,COUNTIF($B$4:B59,B59)=1),1,0)</x:f>
        <x:v>0</x:v>
      </x:c>
      <x:c r="V59" s="14">
        <x:f t="shared" si="14"/>
        <x:v>0</x:v>
      </x:c>
      <x:c r="W59" s="63" t="str">
        <x:f t="shared" si="15"/>
        <x:v>Ready</x:v>
      </x:c>
      <x:c r="X59" s="63" t="str">
        <x:f t="shared" si="16"/>
        <x:v>Ready</x:v>
      </x:c>
      <x:c r="Y59" s="14" t="str">
        <x:f t="shared" si="17"/>
        <x:v>Record ready for administrative reporting</x:v>
      </x:c>
    </x:row>
    <x:row r="60" ht="27.950000762939453" customHeight="1">
      <x:c r="A60" s="17" t="n">
        <x:f>ROW('Raw Data'!A60)</x:f>
        <x:v>60</x:v>
      </x:c>
      <x:c r="B60" s="17" t="str">
        <x:f>'Raw Data'!A60</x:f>
        <x:v>CUST-0028</x:v>
      </x:c>
      <x:c r="C60" s="17">
        <x:f t="shared" si="9"/>
        <x:v>2</x:v>
      </x:c>
      <x:c r="D60" s="17" t="str">
        <x:f>PROPER(TRIM('Raw Data'!B60))</x:f>
        <x:v>Henry Turner</x:v>
      </x:c>
      <x:c r="E60" s="17" t="str">
        <x:f>TRIM('Raw Data'!C60)</x:f>
        <x:v>henry.turner@example.com</x:v>
      </x:c>
      <x:c r="F60" s="17" t="str">
        <x:f>TRIM('Raw Data'!D60)</x:f>
        <x:v>+1 202 555 1028</x:v>
      </x:c>
      <x:c r="G60" s="17" t="str">
        <x:f>IFERROR(VLOOKUP(UPPER(TRIM('Raw Data'!E60)),Mappings!$G$5:$H$10,2,FALSE),"Needs Review")</x:f>
        <x:v>Australia</x:v>
      </x:c>
      <x:c r="H60" s="20" t="n">
        <x:f>IF('Raw Data'!F60="","",IF(ISNUMBER('Raw Data'!F60),'Raw Data'!F60,IFERROR(DATEVALUE('Raw Data'!F60),"")))</x:f>
        <x:v>45663</x:v>
      </x:c>
      <x:c r="I60" s="64" t="str">
        <x:f>IFERROR(VLOOKUP(UPPER(TRIM('Raw Data'!G60)),Mappings!$A$5:$B$7,2,FALSE),"Needs Review")</x:f>
        <x:v>Business</x:v>
      </x:c>
      <x:c r="J60" s="64" t="str">
        <x:f>IFERROR(VLOOKUP(UPPER(TRIM('Raw Data'!H60)),Mappings!$D$5:$E$7,2,FALSE),"Needs Review")</x:f>
        <x:v>Active</x:v>
      </x:c>
      <x:c r="K60" s="20" t="n">
        <x:f>IF('Raw Data'!I60="","",IF(ISNUMBER('Raw Data'!I60),'Raw Data'!I60,IFERROR(DATEVALUE('Raw Data'!I60),"")))</x:f>
        <x:v>45767</x:v>
      </x:c>
      <x:c r="L60" s="17" t="n">
        <x:f>IF(ISBLANK('Raw Data'!J60),"",'Raw Data'!J60)</x:f>
        <x:v>8</x:v>
      </x:c>
      <x:c r="M60" s="24" t="n">
        <x:f>IF(ISBLANK('Raw Data'!K60),"",'Raw Data'!K60)</x:f>
        <x:v>2319.97</x:v>
      </x:c>
      <x:c r="N60" s="64" t="str">
        <x:f t="shared" si="10"/>
        <x:v>OK</x:v>
      </x:c>
      <x:c r="O60" s="64" t="str">
        <x:f t="shared" si="11"/>
        <x:v>OK</x:v>
      </x:c>
      <x:c r="P60" s="64" t="str">
        <x:f>IF(OR(AND('Raw Data'!F60&lt;&gt;"",H60=""),AND('Raw Data'!I60&lt;&gt;"",K60="")),"Invalid Date","OK")</x:f>
        <x:v>OK</x:v>
      </x:c>
      <x:c r="Q60" s="64" t="str">
        <x:f t="shared" si="12"/>
        <x:v>OK</x:v>
      </x:c>
      <x:c r="R60" s="64" t="str">
        <x:f>IF(OR(ISBLANK('Raw Data'!J60),'Raw Data'!J60&lt;0),"Invalid Order Count","OK")</x:f>
        <x:v>OK</x:v>
      </x:c>
      <x:c r="S60" s="64" t="str">
        <x:f>IF(OR(ISBLANK('Raw Data'!K60),'Raw Data'!K60&lt;0),"Invalid Lifetime Value","OK")</x:f>
        <x:v>OK</x:v>
      </x:c>
      <x:c r="T60" s="64" t="str">
        <x:f t="shared" si="13"/>
        <x:v>Duplicate Customer ID</x:v>
      </x:c>
      <x:c r="U60" s="17" t="n">
        <x:f>IF(AND(C60&gt;1,COUNTIF($B$4:B60,B60)=1),1,0)</x:f>
        <x:v>0</x:v>
      </x:c>
      <x:c r="V60" s="17">
        <x:f t="shared" si="14"/>
        <x:v>1</x:v>
      </x:c>
      <x:c r="W60" s="64" t="str">
        <x:f t="shared" si="15"/>
        <x:v>Duplicate Customer ID</x:v>
      </x:c>
      <x:c r="X60" s="64" t="str">
        <x:f t="shared" si="16"/>
        <x:v>Needs Review</x:v>
      </x:c>
      <x:c r="Y60" s="17" t="str">
        <x:f t="shared" si="17"/>
        <x:v>Compare duplicate rows and confirm the valid source record</x:v>
      </x:c>
    </x:row>
    <x:row r="61" ht="27.950000762939453" customHeight="1">
      <x:c r="A61" s="14" t="n">
        <x:f>ROW('Raw Data'!A61)</x:f>
        <x:v>61</x:v>
      </x:c>
      <x:c r="B61" s="14" t="str">
        <x:f>'Raw Data'!A61</x:f>
        <x:v>CUST-0058</x:v>
      </x:c>
      <x:c r="C61" s="14">
        <x:f t="shared" si="9"/>
        <x:v>1</x:v>
      </x:c>
      <x:c r="D61" s="14" t="str">
        <x:f>PROPER(TRIM('Raw Data'!B61))</x:f>
        <x:v>Lucas Reed</x:v>
      </x:c>
      <x:c r="E61" s="14" t="str">
        <x:f>TRIM('Raw Data'!C61)</x:f>
        <x:v>lucas.reed@example.com</x:v>
      </x:c>
      <x:c r="F61" s="14" t="str">
        <x:f>TRIM('Raw Data'!D61)</x:f>
        <x:v>+1 202 555 1058</x:v>
      </x:c>
      <x:c r="G61" s="14" t="str">
        <x:f>IFERROR(VLOOKUP(UPPER(TRIM('Raw Data'!E61)),Mappings!$G$5:$H$10,2,FALSE),"Needs Review")</x:f>
        <x:v>Australia</x:v>
      </x:c>
      <x:c r="H61" s="19" t="n">
        <x:f>IF('Raw Data'!F61="","",IF(ISNUMBER('Raw Data'!F61),'Raw Data'!F61,IFERROR(DATEVALUE('Raw Data'!F61),"")))</x:f>
        <x:v>45742</x:v>
      </x:c>
      <x:c r="I61" s="63" t="str">
        <x:f>IFERROR(VLOOKUP(UPPER(TRIM('Raw Data'!G61)),Mappings!$A$5:$B$7,2,FALSE),"Needs Review")</x:f>
        <x:v>Business</x:v>
      </x:c>
      <x:c r="J61" s="63" t="str">
        <x:f>IFERROR(VLOOKUP(UPPER(TRIM('Raw Data'!H61)),Mappings!$D$5:$E$7,2,FALSE),"Needs Review")</x:f>
        <x:v>Prospect</x:v>
      </x:c>
      <x:c r="K61" s="19" t="n">
        <x:f>IF('Raw Data'!I61="","",IF(ISNUMBER('Raw Data'!I61),'Raw Data'!I61,IFERROR(DATEVALUE('Raw Data'!I61),"")))</x:f>
        <x:v>45882</x:v>
      </x:c>
      <x:c r="L61" s="14" t="n">
        <x:f>IF(ISBLANK('Raw Data'!J61),"",'Raw Data'!J61)</x:f>
        <x:v>17</x:v>
      </x:c>
      <x:c r="M61" s="23" t="n">
        <x:f>IF(ISBLANK('Raw Data'!K61),"",'Raw Data'!K61)</x:f>
        <x:v>1508.86</x:v>
      </x:c>
      <x:c r="N61" s="63" t="str">
        <x:f t="shared" si="10"/>
        <x:v>OK</x:v>
      </x:c>
      <x:c r="O61" s="63" t="str">
        <x:f t="shared" si="11"/>
        <x:v>OK</x:v>
      </x:c>
      <x:c r="P61" s="63" t="str">
        <x:f>IF(OR(AND('Raw Data'!F61&lt;&gt;"",H61=""),AND('Raw Data'!I61&lt;&gt;"",K61="")),"Invalid Date","OK")</x:f>
        <x:v>OK</x:v>
      </x:c>
      <x:c r="Q61" s="63" t="str">
        <x:f t="shared" si="12"/>
        <x:v>OK</x:v>
      </x:c>
      <x:c r="R61" s="63" t="str">
        <x:f>IF(OR(ISBLANK('Raw Data'!J61),'Raw Data'!J61&lt;0),"Invalid Order Count","OK")</x:f>
        <x:v>OK</x:v>
      </x:c>
      <x:c r="S61" s="63" t="str">
        <x:f>IF(OR(ISBLANK('Raw Data'!K61),'Raw Data'!K61&lt;0),"Invalid Lifetime Value","OK")</x:f>
        <x:v>OK</x:v>
      </x:c>
      <x:c r="T61" s="63" t="str">
        <x:f t="shared" si="13"/>
        <x:v>OK</x:v>
      </x:c>
      <x:c r="U61" s="14" t="n">
        <x:f>IF(AND(C61&gt;1,COUNTIF($B$4:B61,B61)=1),1,0)</x:f>
        <x:v>0</x:v>
      </x:c>
      <x:c r="V61" s="14">
        <x:f t="shared" si="14"/>
        <x:v>0</x:v>
      </x:c>
      <x:c r="W61" s="63" t="str">
        <x:f t="shared" si="15"/>
        <x:v>Ready</x:v>
      </x:c>
      <x:c r="X61" s="63" t="str">
        <x:f t="shared" si="16"/>
        <x:v>Ready</x:v>
      </x:c>
      <x:c r="Y61" s="14" t="str">
        <x:f t="shared" si="17"/>
        <x:v>Record ready for administrative reporting</x:v>
      </x:c>
    </x:row>
    <x:row r="62" ht="27.950000762939453" customHeight="1">
      <x:c r="A62" s="17" t="n">
        <x:f>ROW('Raw Data'!A62)</x:f>
        <x:v>62</x:v>
      </x:c>
      <x:c r="B62" s="17" t="str">
        <x:f>'Raw Data'!A62</x:f>
        <x:v>CUST-0059</x:v>
      </x:c>
      <x:c r="C62" s="17">
        <x:f t="shared" si="9"/>
        <x:v>1</x:v>
      </x:c>
      <x:c r="D62" s="17" t="str">
        <x:f>PROPER(TRIM('Raw Data'!B62))</x:f>
        <x:v>Chloe King</x:v>
      </x:c>
      <x:c r="E62" s="17" t="str">
        <x:f>TRIM('Raw Data'!C62)</x:f>
        <x:v>chloe.king@example.com</x:v>
      </x:c>
      <x:c r="F62" s="17" t="str">
        <x:f>TRIM('Raw Data'!D62)</x:f>
        <x:v>+1 202 555 1059</x:v>
      </x:c>
      <x:c r="G62" s="17" t="str">
        <x:f>IFERROR(VLOOKUP(UPPER(TRIM('Raw Data'!E62)),Mappings!$G$5:$H$10,2,FALSE),"Needs Review")</x:f>
        <x:v>Indonesia</x:v>
      </x:c>
      <x:c r="H62" s="20" t="n">
        <x:f>IF('Raw Data'!F62="","",IF(ISNUMBER('Raw Data'!F62),'Raw Data'!F62,IFERROR(DATEVALUE('Raw Data'!F62),"")))</x:f>
        <x:v>45914</x:v>
      </x:c>
      <x:c r="I62" s="64" t="str">
        <x:f>IFERROR(VLOOKUP(UPPER(TRIM('Raw Data'!G62)),Mappings!$A$5:$B$7,2,FALSE),"Needs Review")</x:f>
        <x:v>VIP</x:v>
      </x:c>
      <x:c r="J62" s="64" t="str">
        <x:f>IFERROR(VLOOKUP(UPPER(TRIM('Raw Data'!H62)),Mappings!$D$5:$E$7,2,FALSE),"Needs Review")</x:f>
        <x:v>Inactive</x:v>
      </x:c>
      <x:c r="K62" s="20" t="n">
        <x:f>IF('Raw Data'!I62="","",IF(ISNUMBER('Raw Data'!I62),'Raw Data'!I62,IFERROR(DATEVALUE('Raw Data'!I62),"")))</x:f>
        <x:v>45959</x:v>
      </x:c>
      <x:c r="L62" s="17" t="n">
        <x:f>IF(ISBLANK('Raw Data'!J62),"",'Raw Data'!J62)</x:f>
        <x:v>15</x:v>
      </x:c>
      <x:c r="M62" s="24" t="n">
        <x:f>IF(ISBLANK('Raw Data'!K62),"",'Raw Data'!K62)</x:f>
        <x:v>1152.67</x:v>
      </x:c>
      <x:c r="N62" s="64" t="str">
        <x:f t="shared" si="10"/>
        <x:v>OK</x:v>
      </x:c>
      <x:c r="O62" s="64" t="str">
        <x:f t="shared" si="11"/>
        <x:v>OK</x:v>
      </x:c>
      <x:c r="P62" s="64" t="str">
        <x:f>IF(OR(AND('Raw Data'!F62&lt;&gt;"",H62=""),AND('Raw Data'!I62&lt;&gt;"",K62="")),"Invalid Date","OK")</x:f>
        <x:v>OK</x:v>
      </x:c>
      <x:c r="Q62" s="64" t="str">
        <x:f t="shared" si="12"/>
        <x:v>OK</x:v>
      </x:c>
      <x:c r="R62" s="64" t="str">
        <x:f>IF(OR(ISBLANK('Raw Data'!J62),'Raw Data'!J62&lt;0),"Invalid Order Count","OK")</x:f>
        <x:v>OK</x:v>
      </x:c>
      <x:c r="S62" s="64" t="str">
        <x:f>IF(OR(ISBLANK('Raw Data'!K62),'Raw Data'!K62&lt;0),"Invalid Lifetime Value","OK")</x:f>
        <x:v>OK</x:v>
      </x:c>
      <x:c r="T62" s="64" t="str">
        <x:f t="shared" si="13"/>
        <x:v>OK</x:v>
      </x:c>
      <x:c r="U62" s="17" t="n">
        <x:f>IF(AND(C62&gt;1,COUNTIF($B$4:B62,B62)=1),1,0)</x:f>
        <x:v>0</x:v>
      </x:c>
      <x:c r="V62" s="17">
        <x:f t="shared" si="14"/>
        <x:v>0</x:v>
      </x:c>
      <x:c r="W62" s="64" t="str">
        <x:f t="shared" si="15"/>
        <x:v>Ready</x:v>
      </x:c>
      <x:c r="X62" s="64" t="str">
        <x:f t="shared" si="16"/>
        <x:v>Ready</x:v>
      </x:c>
      <x:c r="Y62" s="17" t="str">
        <x:f t="shared" si="17"/>
        <x:v>Record ready for administrative reporting</x:v>
      </x:c>
    </x:row>
    <x:row r="63" ht="27.950000762939453" customHeight="1">
      <x:c r="A63" s="15" t="n">
        <x:f>ROW('Raw Data'!A63)</x:f>
        <x:v>63</x:v>
      </x:c>
      <x:c r="B63" s="15" t="str">
        <x:f>'Raw Data'!A63</x:f>
        <x:v>CUST-0060</x:v>
      </x:c>
      <x:c r="C63" s="15">
        <x:f t="shared" si="9"/>
        <x:v>1</x:v>
      </x:c>
      <x:c r="D63" s="15" t="str">
        <x:f>PROPER(TRIM('Raw Data'!B63))</x:f>
        <x:v>Lucas Cooper</x:v>
      </x:c>
      <x:c r="E63" s="15" t="str">
        <x:f>TRIM('Raw Data'!C63)</x:f>
        <x:v>lucas.cooper@example.com</x:v>
      </x:c>
      <x:c r="F63" s="15" t="str">
        <x:f>TRIM('Raw Data'!D63)</x:f>
        <x:v>+1 202 555 1060</x:v>
      </x:c>
      <x:c r="G63" s="15" t="str">
        <x:f>IFERROR(VLOOKUP(UPPER(TRIM('Raw Data'!E63)),Mappings!$G$5:$H$10,2,FALSE),"Needs Review")</x:f>
        <x:v>Singapore</x:v>
      </x:c>
      <x:c r="H63" s="21" t="n">
        <x:f>IF('Raw Data'!F63="","",IF(ISNUMBER('Raw Data'!F63),'Raw Data'!F63,IFERROR(DATEVALUE('Raw Data'!F63),"")))</x:f>
        <x:v>45890</x:v>
      </x:c>
      <x:c r="I63" s="65" t="str">
        <x:f>IFERROR(VLOOKUP(UPPER(TRIM('Raw Data'!G63)),Mappings!$A$5:$B$7,2,FALSE),"Needs Review")</x:f>
        <x:v>Retail</x:v>
      </x:c>
      <x:c r="J63" s="65" t="str">
        <x:f>IFERROR(VLOOKUP(UPPER(TRIM('Raw Data'!H63)),Mappings!$D$5:$E$7,2,FALSE),"Needs Review")</x:f>
        <x:v>Inactive</x:v>
      </x:c>
      <x:c r="K63" s="21" t="n">
        <x:f>IF('Raw Data'!I63="","",IF(ISNUMBER('Raw Data'!I63),'Raw Data'!I63,IFERROR(DATEVALUE('Raw Data'!I63),"")))</x:f>
        <x:v>46007</x:v>
      </x:c>
      <x:c r="L63" s="15" t="n">
        <x:f>IF(ISBLANK('Raw Data'!J63),"",'Raw Data'!J63)</x:f>
        <x:v>2</x:v>
      </x:c>
      <x:c r="M63" s="25" t="n">
        <x:f>IF(ISBLANK('Raw Data'!K63),"",'Raw Data'!K63)</x:f>
        <x:v>1798.18</x:v>
      </x:c>
      <x:c r="N63" s="65" t="str">
        <x:f t="shared" si="10"/>
        <x:v>OK</x:v>
      </x:c>
      <x:c r="O63" s="65" t="str">
        <x:f t="shared" si="11"/>
        <x:v>OK</x:v>
      </x:c>
      <x:c r="P63" s="65" t="str">
        <x:f>IF(OR(AND('Raw Data'!F63&lt;&gt;"",H63=""),AND('Raw Data'!I63&lt;&gt;"",K63="")),"Invalid Date","OK")</x:f>
        <x:v>OK</x:v>
      </x:c>
      <x:c r="Q63" s="65" t="str">
        <x:f t="shared" si="12"/>
        <x:v>OK</x:v>
      </x:c>
      <x:c r="R63" s="65" t="str">
        <x:f>IF(OR(ISBLANK('Raw Data'!J63),'Raw Data'!J63&lt;0),"Invalid Order Count","OK")</x:f>
        <x:v>OK</x:v>
      </x:c>
      <x:c r="S63" s="65" t="str">
        <x:f>IF(OR(ISBLANK('Raw Data'!K63),'Raw Data'!K63&lt;0),"Invalid Lifetime Value","OK")</x:f>
        <x:v>OK</x:v>
      </x:c>
      <x:c r="T63" s="65" t="str">
        <x:f t="shared" si="13"/>
        <x:v>OK</x:v>
      </x:c>
      <x:c r="U63" s="15" t="n">
        <x:f>IF(AND(C63&gt;1,COUNTIF($B$4:B63,B63)=1),1,0)</x:f>
        <x:v>0</x:v>
      </x:c>
      <x:c r="V63" s="15">
        <x:f t="shared" si="14"/>
        <x:v>0</x:v>
      </x:c>
      <x:c r="W63" s="65" t="str">
        <x:f t="shared" si="15"/>
        <x:v>Ready</x:v>
      </x:c>
      <x:c r="X63" s="65" t="str">
        <x:f t="shared" si="16"/>
        <x:v>Ready</x:v>
      </x:c>
      <x:c r="Y63" s="15" t="str">
        <x:f t="shared" si="17"/>
        <x:v>Record ready for administrative reporting</x:v>
      </x:c>
    </x:row>
  </x:sheetData>
  <x:mergeCells>
    <x:mergeCell ref="A1:Y1"/>
    <x:mergeCell ref="A2:Y2"/>
  </x:mergeCells>
  <x:conditionalFormatting sqref="X4:X63">
    <x:cfRule type="containsText" dxfId="6" priority="1" operator="containsText" text="Ready"/>
    <x:cfRule type="containsText" dxfId="5" priority="2" operator="containsText" text="Needs Review"/>
  </x:conditionalFormatting>
  <x:conditionalFormatting sqref="W4:W63">
    <x:cfRule type="notContainsText" dxfId="4" priority="3" operator="notContains" text="Ready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customWidth="1"/>
    <x:col min="2" max="2" width="18" customWidth="1"/>
  </x:cols>
  <x:sheetData>
    <x:row r="1" ht="36" customHeight="1">
      <x:c r="A1" s="28" t="s">
        <x:v>307</x:v>
      </x:c>
      <x:c r="B1" s="28"/>
      <x:c r="C1" s="28"/>
      <x:c r="D1" s="28"/>
      <x:c r="E1" s="28"/>
    </x:row>
    <x:row r="2" ht="26.100000381469727" customHeight="1">
      <x:c r="A2" s="54" t="s">
        <x:v>308</x:v>
      </x:c>
      <x:c r="B2" s="54"/>
      <x:c r="C2" s="54"/>
      <x:c r="D2" s="54"/>
      <x:c r="E2" s="54"/>
    </x:row>
    <x:row r="3" ht="13.5" customHeight="1"/>
    <x:row r="4" s="1" customFormat="1" ht="21.75" customHeight="1">
      <x:c r="A4" s="67" t="s">
        <x:v>309</x:v>
      </x:c>
      <x:c r="B4" s="67" t="s">
        <x:v>310</x:v>
      </x:c>
    </x:row>
    <x:row r="5" ht="18.75">
      <x:c r="A5" s="68" t="s">
        <x:v>311</x:v>
      </x:c>
      <x:c r="B5" s="69" t="n">
        <x:f>COUNTA('Cleaned Data'!$B$4:$B$63)</x:f>
        <x:v>60</x:v>
      </x:c>
    </x:row>
    <x:row r="6" ht="18.75">
      <x:c r="A6" s="70" t="s">
        <x:v>312</x:v>
      </x:c>
      <x:c r="B6" s="71" t="n">
        <x:f>COUNTIF('Cleaned Data'!$X$4:$X$63,"Ready")</x:f>
        <x:v>46</x:v>
      </x:c>
    </x:row>
    <x:row r="7" ht="18.75">
      <x:c r="A7" s="72" t="s">
        <x:v>313</x:v>
      </x:c>
      <x:c r="B7" s="73" t="n">
        <x:f>COUNTIF('Cleaned Data'!$X$4:$X$63,"Needs Review")</x:f>
        <x:v>14</x:v>
      </x:c>
    </x:row>
    <x:row r="8" ht="18.75">
      <x:c r="A8" s="74" t="s">
        <x:v>314</x:v>
      </x:c>
      <x:c r="B8" s="75" t="n">
        <x:f>SUM(B11:B17)</x:f>
        <x:v>9</x:v>
      </x:c>
    </x:row>
    <x:row r="9" ht="18.75">
      <x:c r="A9" s="76" t="s">
        <x:v>315</x:v>
      </x:c>
      <x:c r="B9" s="77" t="n">
        <x:f>SUM('Cleaned Data'!$U$4:$U$63)</x:f>
        <x:v>2</x:v>
      </x:c>
    </x:row>
    <x:row r="10" ht="18.75">
      <x:c r="A10" s="76" t="s">
        <x:v>316</x:v>
      </x:c>
      <x:c r="B10" s="77" t="n">
        <x:f>COUNTIF('Cleaned Data'!$T$4:$T$63,"Duplicate Customer ID")</x:f>
        <x:v>4</x:v>
      </x:c>
    </x:row>
    <x:row r="11" ht="18.75">
      <x:c r="A11" s="68" t="s">
        <x:v>317</x:v>
      </x:c>
      <x:c r="B11" s="69" t="n">
        <x:f>COUNTIF('Cleaned Data'!$N$4:$N$63,"Missing Email")</x:f>
        <x:v>1</x:v>
      </x:c>
    </x:row>
    <x:row r="12" ht="18.75">
      <x:c r="A12" s="2" t="s">
        <x:v>318</x:v>
      </x:c>
      <x:c r="B12" s="78" t="n">
        <x:f>COUNTIF('Cleaned Data'!$O$4:$O$63,"Missing Phone")</x:f>
        <x:v>1</x:v>
      </x:c>
    </x:row>
    <x:row r="13" ht="18.75">
      <x:c r="A13" s="68" t="s">
        <x:v>319</x:v>
      </x:c>
      <x:c r="B13" s="69" t="n">
        <x:f>COUNTIF('Cleaned Data'!$O$4:$O$63,"Invalid Phone")</x:f>
        <x:v>1</x:v>
      </x:c>
    </x:row>
    <x:row r="14" ht="18.75">
      <x:c r="A14" s="2" t="s">
        <x:v>320</x:v>
      </x:c>
      <x:c r="B14" s="78" t="n">
        <x:f>COUNTIF('Cleaned Data'!$P$4:$P$63,"Invalid Date")</x:f>
        <x:v>1</x:v>
      </x:c>
    </x:row>
    <x:row r="15" ht="18.75">
      <x:c r="A15" s="68" t="s">
        <x:v>321</x:v>
      </x:c>
      <x:c r="B15" s="69" t="n">
        <x:f>COUNTIF('Cleaned Data'!$Q$4:$Q$63,"Invalid Segment")</x:f>
        <x:v>2</x:v>
      </x:c>
    </x:row>
    <x:row r="16" ht="18.75">
      <x:c r="A16" s="2" t="s">
        <x:v>322</x:v>
      </x:c>
      <x:c r="B16" s="78" t="n">
        <x:f>COUNTIF('Cleaned Data'!$R$4:$R$63,"Invalid Order Count")</x:f>
        <x:v>2</x:v>
      </x:c>
    </x:row>
    <x:row r="17" ht="18.75">
      <x:c r="A17" s="68" t="s">
        <x:v>323</x:v>
      </x:c>
      <x:c r="B17" s="69" t="n">
        <x:f>COUNTIF('Cleaned Data'!$S$4:$S$63,"Invalid Lifetime Value")</x:f>
        <x:v>1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customWidth="1"/>
    <x:col min="2" max="2" width="13" customWidth="1"/>
    <x:col min="4" max="4" width="11" customWidth="1"/>
    <x:col min="5" max="5" width="28" customWidth="1"/>
    <x:col min="6" max="6" width="24" customWidth="1"/>
    <x:col min="7" max="7" width="11.7109375" customWidth="1"/>
    <x:col min="8" max="8" width="23.42578125" customWidth="1"/>
  </x:cols>
  <x:sheetData>
    <x:row r="1" ht="36" customHeight="1">
      <x:c r="A1" s="30" t="s">
        <x:v>324</x:v>
      </x:c>
      <x:c r="B1" s="32"/>
      <x:c r="C1" s="32"/>
      <x:c r="D1" s="32"/>
      <x:c r="E1" s="32"/>
      <x:c r="F1" s="32"/>
      <x:c r="G1" s="32"/>
      <x:c r="H1" s="32"/>
    </x:row>
    <x:row r="2" ht="26.100000381469727" customHeight="1">
      <x:c r="A2" s="33" t="s">
        <x:v>325</x:v>
      </x:c>
      <x:c r="B2" s="32"/>
      <x:c r="C2" s="32"/>
      <x:c r="D2" s="32"/>
      <x:c r="E2" s="32"/>
      <x:c r="F2" s="32"/>
      <x:c r="G2" s="32"/>
      <x:c r="H2" s="32"/>
    </x:row>
    <x:row r="4">
      <x:c r="A4" s="34" t="str">
        <x:f>"TOTAL RECORDS"&amp;CHAR(10)&amp;'QA Summary'!B5</x:f>
        <x:v>TOTAL RECORDS
60</x:v>
      </x:c>
      <x:c r="B4" s="35"/>
      <x:c r="C4" s="40" t="str">
        <x:f>"READY ROWS"&amp;CHAR(10)&amp;'QA Summary'!B6</x:f>
        <x:v>READY ROWS
46</x:v>
      </x:c>
      <x:c r="D4" s="40"/>
      <x:c r="E4" s="43" t="str">
        <x:f>"REVIEW ROWS"&amp;CHAR(10)&amp;'QA Summary'!B7</x:f>
        <x:v>REVIEW ROWS
14</x:v>
      </x:c>
      <x:c r="F4" s="43"/>
      <x:c r="G4" s="46" t="str">
        <x:f>"DUPLICATE GROUPS"&amp;CHAR(10)&amp;'QA Summary'!B9</x:f>
        <x:v>DUPLICATE GROUPS
2</x:v>
      </x:c>
      <x:c r="H4" s="47"/>
    </x:row>
    <x:row r="5">
      <x:c r="A5" s="36"/>
      <x:c r="B5" s="37"/>
      <x:c r="C5" s="41"/>
      <x:c r="D5" s="41"/>
      <x:c r="E5" s="44"/>
      <x:c r="F5" s="44"/>
      <x:c r="G5" s="48"/>
      <x:c r="H5" s="49"/>
    </x:row>
    <x:row r="6">
      <x:c r="A6" s="38"/>
      <x:c r="B6" s="39"/>
      <x:c r="C6" s="42"/>
      <x:c r="D6" s="42"/>
      <x:c r="E6" s="45"/>
      <x:c r="F6" s="45"/>
      <x:c r="G6" s="50"/>
      <x:c r="H6" s="51"/>
    </x:row>
    <x:row r="8">
      <x:c r="A8" s="79" t="s">
        <x:v>326</x:v>
      </x:c>
      <x:c r="B8" s="80"/>
      <x:c r="C8" s="80"/>
      <x:c r="D8" s="80"/>
      <x:c r="E8" s="80"/>
      <x:c r="F8" s="80"/>
      <x:c r="G8" s="80"/>
      <x:c r="H8" s="81"/>
    </x:row>
    <x:row r="9">
      <x:c r="A9" s="82" t="s">
        <x:v>327</x:v>
      </x:c>
      <x:c r="B9" s="52"/>
      <x:c r="C9" s="52"/>
      <x:c r="D9" s="52"/>
      <x:c r="E9" s="52"/>
      <x:c r="F9" s="52"/>
      <x:c r="G9" s="52"/>
      <x:c r="H9" s="83"/>
    </x:row>
    <x:row r="10">
      <x:c r="A10" s="84"/>
      <x:c r="B10" s="85"/>
      <x:c r="C10" s="85"/>
      <x:c r="D10" s="85"/>
      <x:c r="E10" s="85"/>
      <x:c r="F10" s="85"/>
      <x:c r="G10" s="85"/>
      <x:c r="H10" s="86"/>
    </x:row>
    <x:row r="12" s="1" customFormat="1">
      <x:c r="A12" s="102" t="s">
        <x:v>328</x:v>
      </x:c>
      <x:c r="B12" s="103" t="s">
        <x:v>329</x:v>
      </x:c>
      <x:c r="D12" s="94" t="s">
        <x:v>330</x:v>
      </x:c>
      <x:c r="E12" s="95"/>
      <x:c r="F12" s="96"/>
      <x:c r="G12" s="101"/>
      <x:c r="H12" s="101"/>
    </x:row>
    <x:row r="13">
      <x:c r="A13" s="97" t="s">
        <x:v>317</x:v>
      </x:c>
      <x:c r="B13" s="104" t="n">
        <x:f>'QA Summary'!B11</x:f>
        <x:v>1</x:v>
      </x:c>
      <x:c r="D13" s="87" t="s">
        <x:v>331</x:v>
      </x:c>
      <x:c r="E13" s="13" t="s">
        <x:v>332</x:v>
      </x:c>
      <x:c r="F13" s="88" t="s">
        <x:v>333</x:v>
      </x:c>
    </x:row>
    <x:row r="14">
      <x:c r="A14" s="98" t="s">
        <x:v>318</x:v>
      </x:c>
      <x:c r="B14" s="105" t="n">
        <x:f>'QA Summary'!B12</x:f>
        <x:v>1</x:v>
      </x:c>
      <x:c r="D14" s="89" t="s">
        <x:v>334</x:v>
      </x:c>
      <x:c r="E14" s="14" t="s">
        <x:v>335</x:v>
      </x:c>
      <x:c r="F14" s="90" t="s">
        <x:v>336</x:v>
      </x:c>
    </x:row>
    <x:row r="15">
      <x:c r="A15" s="99" t="s">
        <x:v>319</x:v>
      </x:c>
      <x:c r="B15" s="106" t="n">
        <x:f>'QA Summary'!B13</x:f>
        <x:v>1</x:v>
      </x:c>
      <x:c r="D15" s="89" t="s">
        <x:v>337</x:v>
      </x:c>
      <x:c r="E15" s="14" t="s">
        <x:v>338</x:v>
      </x:c>
      <x:c r="F15" s="90" t="s">
        <x:v>339</x:v>
      </x:c>
    </x:row>
    <x:row r="16">
      <x:c r="A16" s="98" t="s">
        <x:v>320</x:v>
      </x:c>
      <x:c r="B16" s="105" t="n">
        <x:f>'QA Summary'!B14</x:f>
        <x:v>1</x:v>
      </x:c>
      <x:c r="D16" s="89" t="s">
        <x:v>340</x:v>
      </x:c>
      <x:c r="E16" s="14" t="s">
        <x:v>341</x:v>
      </x:c>
      <x:c r="F16" s="90" t="s">
        <x:v>342</x:v>
      </x:c>
    </x:row>
    <x:row r="17">
      <x:c r="A17" s="99" t="s">
        <x:v>321</x:v>
      </x:c>
      <x:c r="B17" s="106" t="n">
        <x:f>'QA Summary'!B15</x:f>
        <x:v>2</x:v>
      </x:c>
      <x:c r="D17" s="89" t="s">
        <x:v>343</x:v>
      </x:c>
      <x:c r="E17" s="14" t="s">
        <x:v>344</x:v>
      </x:c>
      <x:c r="F17" s="90" t="s">
        <x:v>345</x:v>
      </x:c>
    </x:row>
    <x:row r="18">
      <x:c r="A18" s="98" t="s">
        <x:v>322</x:v>
      </x:c>
      <x:c r="B18" s="105" t="n">
        <x:f>'QA Summary'!B16</x:f>
        <x:v>2</x:v>
      </x:c>
      <x:c r="D18" s="91" t="s">
        <x:v>346</x:v>
      </x:c>
      <x:c r="E18" s="92" t="s">
        <x:v>347</x:v>
      </x:c>
      <x:c r="F18" s="93" t="s">
        <x:v>348</x:v>
      </x:c>
    </x:row>
    <x:row r="19">
      <x:c r="A19" s="99" t="s">
        <x:v>323</x:v>
      </x:c>
      <x:c r="B19" s="106" t="n">
        <x:f>'QA Summary'!B17</x:f>
        <x:v>1</x:v>
      </x:c>
    </x:row>
    <x:row r="20">
      <x:c r="A20" s="100" t="s">
        <x:v>349</x:v>
      </x:c>
      <x:c r="B20" s="107" t="n">
        <x:f>'QA Summary'!B10</x:f>
        <x:v>4</x:v>
      </x:c>
    </x:row>
    <x:row r="41">
      <x:c r="A41" s="53" t="s">
        <x:v>350</x:v>
      </x:c>
      <x:c r="B41" s="53"/>
      <x:c r="C41" s="53"/>
      <x:c r="D41" s="53"/>
      <x:c r="E41" s="53"/>
      <x:c r="F41" s="53"/>
      <x:c r="G41" s="53"/>
      <x:c r="H41" s="53"/>
    </x:row>
    <x:row r="42">
      <x:c r="A42" s="53"/>
      <x:c r="B42" s="53"/>
      <x:c r="C42" s="53"/>
      <x:c r="D42" s="53"/>
      <x:c r="E42" s="53"/>
      <x:c r="F42" s="53"/>
      <x:c r="G42" s="53"/>
      <x:c r="H42" s="53"/>
    </x:row>
  </x:sheetData>
  <x:mergeCells>
    <x:mergeCell ref="A8:H8"/>
    <x:mergeCell ref="A9:H10"/>
    <x:mergeCell ref="A41:H42"/>
    <x:mergeCell ref="D12:F12"/>
    <x:mergeCell ref="A1:H1"/>
    <x:mergeCell ref="A2:H2"/>
    <x:mergeCell ref="A4:B6"/>
    <x:mergeCell ref="C4:D6"/>
    <x:mergeCell ref="E4:F6"/>
    <x:mergeCell ref="G4:H6"/>
  </x:mergeCells>
  <x:pageMargins left="0.7" right="0.7" top="0.75" bottom="0.75" header="0.3" footer="0.3"/>
  <x:drawing xmlns:r="http://schemas.openxmlformats.org/officeDocument/2006/relationships" r:id="R1b536335fbce418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customWidth="1"/>
    <x:col min="2" max="2" width="13" style="1" customWidth="1"/>
    <x:col min="3" max="3" width="12" style="1" customWidth="1"/>
    <x:col min="4" max="4" width="18" style="1" customWidth="1"/>
    <x:col min="5" max="5" width="45" customWidth="1"/>
    <x:col min="6" max="6" width="21" style="1" customWidth="1"/>
    <x:col min="7" max="7" width="30" customWidth="1"/>
  </x:cols>
  <x:sheetData>
    <x:row r="1" ht="36" customHeight="1">
      <x:c r="A1" s="30" t="s">
        <x:v>351</x:v>
      </x:c>
      <x:c r="B1" s="32"/>
      <x:c r="C1" s="32"/>
      <x:c r="D1" s="32"/>
      <x:c r="E1" s="32"/>
      <x:c r="F1" s="32"/>
      <x:c r="G1" s="32"/>
    </x:row>
    <x:row r="2" ht="26.100000381469727" customHeight="1">
      <x:c r="A2" s="33" t="s">
        <x:v>352</x:v>
      </x:c>
      <x:c r="B2" s="32"/>
      <x:c r="C2" s="32"/>
      <x:c r="D2" s="32"/>
      <x:c r="E2" s="32"/>
      <x:c r="F2" s="32"/>
      <x:c r="G2" s="32"/>
    </x:row>
    <x:row r="4" s="1" customFormat="1" ht="38.099998474121094" customHeight="1">
      <x:c r="A4" s="67" t="s">
        <x:v>353</x:v>
      </x:c>
      <x:c r="B4" s="67" t="s">
        <x:v>354</x:v>
      </x:c>
      <x:c r="C4" s="67" t="s">
        <x:v>355</x:v>
      </x:c>
      <x:c r="D4" s="67" t="s">
        <x:v>356</x:v>
      </x:c>
      <x:c r="E4" s="67" t="s">
        <x:v>357</x:v>
      </x:c>
      <x:c r="F4" s="67" t="s">
        <x:v>358</x:v>
      </x:c>
      <x:c r="G4" s="67" t="s">
        <x:v>359</x:v>
      </x:c>
    </x:row>
    <x:row r="5" ht="42" customHeight="1">
      <x:c r="A5" s="68" t="s">
        <x:v>360</x:v>
      </x:c>
      <x:c r="B5" s="108" t="n">
        <x:f>'QA Summary'!B10</x:f>
        <x:v>4</x:v>
      </x:c>
      <x:c r="C5" s="108" t="s">
        <x:v>361</x:v>
      </x:c>
      <x:c r="D5" s="108" t="s">
        <x:v>362</x:v>
      </x:c>
      <x:c r="E5" s="68" t="s">
        <x:v>363</x:v>
      </x:c>
      <x:c r="F5" s="108" t="s">
        <x:v>364</x:v>
      </x:c>
      <x:c r="G5" s="68" t="s">
        <x:v>365</x:v>
      </x:c>
    </x:row>
    <x:row r="6" ht="42" customHeight="1">
      <x:c r="A6" s="2" t="s">
        <x:v>322</x:v>
      </x:c>
      <x:c r="B6" s="109" t="n">
        <x:f>'QA Summary'!B16</x:f>
        <x:v>2</x:v>
      </x:c>
      <x:c r="C6" s="109" t="s">
        <x:v>361</x:v>
      </x:c>
      <x:c r="D6" s="109" t="s">
        <x:v>366</x:v>
      </x:c>
      <x:c r="E6" s="2" t="s">
        <x:v>367</x:v>
      </x:c>
      <x:c r="F6" s="109" t="s">
        <x:v>368</x:v>
      </x:c>
      <x:c r="G6" s="2" t="s">
        <x:v>369</x:v>
      </x:c>
    </x:row>
    <x:row r="7" ht="42" customHeight="1">
      <x:c r="A7" s="68" t="s">
        <x:v>323</x:v>
      </x:c>
      <x:c r="B7" s="108" t="n">
        <x:f>'QA Summary'!B17</x:f>
        <x:v>1</x:v>
      </x:c>
      <x:c r="C7" s="108" t="s">
        <x:v>361</x:v>
      </x:c>
      <x:c r="D7" s="108" t="s">
        <x:v>366</x:v>
      </x:c>
      <x:c r="E7" s="68" t="s">
        <x:v>370</x:v>
      </x:c>
      <x:c r="F7" s="108" t="s">
        <x:v>368</x:v>
      </x:c>
      <x:c r="G7" s="68" t="s">
        <x:v>369</x:v>
      </x:c>
    </x:row>
    <x:row r="8" ht="42" customHeight="1">
      <x:c r="A8" s="2" t="s">
        <x:v>321</x:v>
      </x:c>
      <x:c r="B8" s="109" t="n">
        <x:f>'QA Summary'!B15</x:f>
        <x:v>2</x:v>
      </x:c>
      <x:c r="C8" s="109" t="s">
        <x:v>371</x:v>
      </x:c>
      <x:c r="D8" s="109" t="s">
        <x:v>362</x:v>
      </x:c>
      <x:c r="E8" s="2" t="s">
        <x:v>372</x:v>
      </x:c>
      <x:c r="F8" s="109" t="s">
        <x:v>368</x:v>
      </x:c>
      <x:c r="G8" s="2" t="s">
        <x:v>373</x:v>
      </x:c>
    </x:row>
    <x:row r="9" ht="42" customHeight="1">
      <x:c r="A9" s="68" t="s">
        <x:v>320</x:v>
      </x:c>
      <x:c r="B9" s="108" t="n">
        <x:f>'QA Summary'!B14</x:f>
        <x:v>1</x:v>
      </x:c>
      <x:c r="C9" s="108" t="s">
        <x:v>371</x:v>
      </x:c>
      <x:c r="D9" s="108" t="s">
        <x:v>362</x:v>
      </x:c>
      <x:c r="E9" s="68" t="s">
        <x:v>374</x:v>
      </x:c>
      <x:c r="F9" s="108" t="s">
        <x:v>368</x:v>
      </x:c>
      <x:c r="G9" s="68" t="s">
        <x:v>375</x:v>
      </x:c>
    </x:row>
    <x:row r="10" ht="42" customHeight="1">
      <x:c r="A10" s="2" t="s">
        <x:v>317</x:v>
      </x:c>
      <x:c r="B10" s="109" t="n">
        <x:f>'QA Summary'!B11</x:f>
        <x:v>1</x:v>
      </x:c>
      <x:c r="C10" s="109" t="s">
        <x:v>371</x:v>
      </x:c>
      <x:c r="D10" s="109" t="s">
        <x:v>366</x:v>
      </x:c>
      <x:c r="E10" s="2" t="s">
        <x:v>376</x:v>
      </x:c>
      <x:c r="F10" s="109" t="s">
        <x:v>377</x:v>
      </x:c>
      <x:c r="G10" s="2" t="s">
        <x:v>378</x:v>
      </x:c>
    </x:row>
    <x:row r="11" ht="42" customHeight="1">
      <x:c r="A11" s="68" t="s">
        <x:v>318</x:v>
      </x:c>
      <x:c r="B11" s="108" t="n">
        <x:f>'QA Summary'!B12</x:f>
        <x:v>1</x:v>
      </x:c>
      <x:c r="C11" s="108" t="s">
        <x:v>379</x:v>
      </x:c>
      <x:c r="D11" s="108" t="s">
        <x:v>366</x:v>
      </x:c>
      <x:c r="E11" s="68" t="s">
        <x:v>380</x:v>
      </x:c>
      <x:c r="F11" s="108" t="s">
        <x:v>377</x:v>
      </x:c>
      <x:c r="G11" s="68" t="s">
        <x:v>378</x:v>
      </x:c>
    </x:row>
    <x:row r="12" ht="42" customHeight="1">
      <x:c r="A12" s="2" t="s">
        <x:v>319</x:v>
      </x:c>
      <x:c r="B12" s="109" t="n">
        <x:f>'QA Summary'!B13</x:f>
        <x:v>1</x:v>
      </x:c>
      <x:c r="C12" s="109" t="s">
        <x:v>379</x:v>
      </x:c>
      <x:c r="D12" s="109" t="s">
        <x:v>366</x:v>
      </x:c>
      <x:c r="E12" s="2" t="s">
        <x:v>381</x:v>
      </x:c>
      <x:c r="F12" s="109" t="s">
        <x:v>377</x:v>
      </x:c>
      <x:c r="G12" s="2" t="s">
        <x:v>378</x:v>
      </x:c>
    </x:row>
  </x:sheetData>
  <x:mergeCells>
    <x:mergeCell ref="A1:G1"/>
    <x:mergeCell ref="A2:G2"/>
  </x:mergeCells>
  <x:conditionalFormatting sqref="C5:C12">
    <x:cfRule type="containsText" dxfId="3" priority="1" operator="containsText" text="High"/>
    <x:cfRule type="containsText" dxfId="2" priority="2" operator="containsText" text="Medium"/>
  </x:conditionalFormatting>
  <x:conditionalFormatting sqref="F5:F12">
    <x:cfRule type="containsText" dxfId="1" priority="3" operator="containsText" text="Waiting"/>
    <x:cfRule type="containsText" dxfId="0" priority="4" operator="containsText" text="In Review"/>
  </x:conditionalFormatting>
  <x:dataValidations count="3">
    <x:dataValidation type="list" sqref="C5:C12">
      <x:formula1>"High,Medium,Low"</x:formula1>
    </x:dataValidation>
    <x:dataValidation type="list" sqref="D5:D12">
      <x:formula1>"CRM Admin,Account Owner,Operations Lead"</x:formula1>
    </x:dataValidation>
    <x:dataValidation type="list" sqref="F5:F12">
      <x:formula1>"Not Started,In Review,Waiting for Source,Resolved"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customWidth="1"/>
    <x:col min="2" max="2" width="28" customWidth="1"/>
    <x:col min="3" max="3" width="23" customWidth="1"/>
    <x:col min="4" max="4" width="37" customWidth="1"/>
    <x:col min="5" max="5" width="28" style="60" customWidth="1"/>
    <x:col min="6" max="6" width="39" customWidth="1"/>
  </x:cols>
  <x:sheetData>
    <x:row r="1" ht="36" customHeight="1">
      <x:c r="A1" s="30" t="s">
        <x:v>382</x:v>
      </x:c>
      <x:c r="B1" s="32"/>
      <x:c r="C1" s="32"/>
      <x:c r="D1" s="32"/>
      <x:c r="E1" s="32"/>
      <x:c r="F1" s="32"/>
    </x:row>
    <x:row r="2" ht="26.100000381469727" customHeight="1">
      <x:c r="A2" s="33" t="s">
        <x:v>383</x:v>
      </x:c>
      <x:c r="B2" s="32"/>
      <x:c r="C2" s="32"/>
      <x:c r="D2" s="32"/>
      <x:c r="E2" s="32"/>
      <x:c r="F2" s="32"/>
    </x:row>
    <x:row r="4" s="1" customFormat="1" ht="38.099998474121094" customHeight="1">
      <x:c r="A4" s="67" t="s">
        <x:v>384</x:v>
      </x:c>
      <x:c r="B4" s="67" t="s">
        <x:v>385</x:v>
      </x:c>
      <x:c r="C4" s="67" t="s">
        <x:v>386</x:v>
      </x:c>
      <x:c r="D4" s="67" t="s">
        <x:v>387</x:v>
      </x:c>
      <x:c r="E4" s="111" t="s">
        <x:v>388</x:v>
      </x:c>
      <x:c r="F4" s="67" t="s">
        <x:v>389</x:v>
      </x:c>
    </x:row>
    <x:row r="5" ht="45.95000076293945" customHeight="1">
      <x:c r="A5" s="110">
        <x:v>1</x:v>
      </x:c>
      <x:c r="B5" s="68" t="s">
        <x:v>390</x:v>
      </x:c>
      <x:c r="C5" s="68" t="s">
        <x:v>2</x:v>
      </x:c>
      <x:c r="D5" s="68" t="s">
        <x:v>391</x:v>
      </x:c>
      <x:c r="E5" s="112" t="s">
        <x:v>392</x:v>
      </x:c>
      <x:c r="F5" s="68" t="s">
        <x:v>393</x:v>
      </x:c>
    </x:row>
    <x:row r="6" ht="45.95000076293945" customHeight="1">
      <x:c r="A6" s="110">
        <x:v>2</x:v>
      </x:c>
      <x:c r="B6" s="2" t="s">
        <x:v>394</x:v>
      </x:c>
      <x:c r="C6" s="2" t="s">
        <x:v>284</x:v>
      </x:c>
      <x:c r="D6" s="2" t="s">
        <x:v>395</x:v>
      </x:c>
      <x:c r="E6" s="113" t="s">
        <x:v>396</x:v>
      </x:c>
      <x:c r="F6" s="2" t="s">
        <x:v>397</x:v>
      </x:c>
    </x:row>
    <x:row r="7" ht="45.95000076293945" customHeight="1">
      <x:c r="A7" s="110">
        <x:v>3</x:v>
      </x:c>
      <x:c r="B7" s="68" t="s">
        <x:v>398</x:v>
      </x:c>
      <x:c r="C7" s="68" t="s">
        <x:v>3</x:v>
      </x:c>
      <x:c r="D7" s="68" t="s">
        <x:v>399</x:v>
      </x:c>
      <x:c r="E7" s="112" t="s">
        <x:v>400</x:v>
      </x:c>
      <x:c r="F7" s="68" t="s">
        <x:v>401</x:v>
      </x:c>
    </x:row>
    <x:row r="8" ht="45.95000076293945" customHeight="1">
      <x:c r="A8" s="110">
        <x:v>4</x:v>
      </x:c>
      <x:c r="B8" s="2" t="s">
        <x:v>402</x:v>
      </x:c>
      <x:c r="C8" s="2" t="s">
        <x:v>403</x:v>
      </x:c>
      <x:c r="D8" s="2" t="s">
        <x:v>404</x:v>
      </x:c>
      <x:c r="E8" s="113" t="s">
        <x:v>405</x:v>
      </x:c>
      <x:c r="F8" s="2" t="s">
        <x:v>406</x:v>
      </x:c>
    </x:row>
    <x:row r="9" ht="45.95000076293945" customHeight="1">
      <x:c r="A9" s="110">
        <x:v>5</x:v>
      </x:c>
      <x:c r="B9" s="68" t="s">
        <x:v>407</x:v>
      </x:c>
      <x:c r="C9" s="68" t="s">
        <x:v>408</x:v>
      </x:c>
      <x:c r="D9" s="68" t="s">
        <x:v>409</x:v>
      </x:c>
      <x:c r="E9" s="112" t="s">
        <x:v>410</x:v>
      </x:c>
      <x:c r="F9" s="68" t="s">
        <x:v>411</x:v>
      </x:c>
    </x:row>
    <x:row r="10" ht="45.95000076293945" customHeight="1">
      <x:c r="A10" s="110">
        <x:v>6</x:v>
      </x:c>
      <x:c r="B10" s="2" t="s">
        <x:v>412</x:v>
      </x:c>
      <x:c r="C10" s="2" t="s">
        <x:v>413</x:v>
      </x:c>
      <x:c r="D10" s="2" t="s">
        <x:v>414</x:v>
      </x:c>
      <x:c r="E10" s="113" t="s">
        <x:v>415</x:v>
      </x:c>
      <x:c r="F10" s="2" t="s">
        <x:v>416</x:v>
      </x:c>
    </x:row>
    <x:row r="11" ht="45.95000076293945" customHeight="1">
      <x:c r="A11" s="110">
        <x:v>7</x:v>
      </x:c>
      <x:c r="B11" s="68" t="s">
        <x:v>417</x:v>
      </x:c>
      <x:c r="C11" s="68" t="s">
        <x:v>418</x:v>
      </x:c>
      <x:c r="D11" s="68" t="s">
        <x:v>419</x:v>
      </x:c>
      <x:c r="E11" s="112" t="s">
        <x:v>420</x:v>
      </x:c>
      <x:c r="F11" s="68" t="s">
        <x:v>421</x:v>
      </x:c>
    </x:row>
    <x:row r="12" ht="45.95000076293945" customHeight="1">
      <x:c r="A12" s="110">
        <x:v>8</x:v>
      </x:c>
      <x:c r="B12" s="2" t="s">
        <x:v>422</x:v>
      </x:c>
      <x:c r="C12" s="2" t="s">
        <x:v>423</x:v>
      </x:c>
      <x:c r="D12" s="2" t="s">
        <x:v>424</x:v>
      </x:c>
      <x:c r="E12" s="113" t="s">
        <x:v>425</x:v>
      </x:c>
      <x:c r="F12" s="2" t="s">
        <x:v>426</x:v>
      </x:c>
    </x:row>
    <x:row r="13" ht="45.95000076293945" customHeight="1">
      <x:c r="A13" s="110">
        <x:v>9</x:v>
      </x:c>
      <x:c r="B13" s="68" t="s">
        <x:v>427</x:v>
      </x:c>
      <x:c r="C13" s="68" t="s">
        <x:v>428</x:v>
      </x:c>
      <x:c r="D13" s="68" t="s">
        <x:v>429</x:v>
      </x:c>
      <x:c r="E13" s="112" t="s">
        <x:v>430</x:v>
      </x:c>
      <x:c r="F13" s="68" t="s">
        <x:v>431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customWidth="1"/>
    <x:col min="2" max="2" width="83" customWidth="1"/>
  </x:cols>
  <x:sheetData>
    <x:row r="1" ht="36" customHeight="1">
      <x:c r="A1" s="30" t="s">
        <x:v>432</x:v>
      </x:c>
      <x:c r="B1" s="32"/>
    </x:row>
    <x:row r="2" ht="26.100000381469727" customHeight="1">
      <x:c r="A2" s="33" t="s">
        <x:v>433</x:v>
      </x:c>
      <x:c r="B2" s="32"/>
    </x:row>
    <x:row r="4" ht="28.5" customHeight="1">
      <x:c r="A4" s="66" t="s">
        <x:v>434</x:v>
      </x:c>
      <x:c r="B4" s="66" t="s">
        <x:v>435</x:v>
      </x:c>
    </x:row>
    <x:row r="5" ht="39.95000076293945" customHeight="1">
      <x:c r="A5" s="68" t="s">
        <x:v>436</x:v>
      </x:c>
      <x:c r="B5" s="68" t="s">
        <x:v>437</x:v>
      </x:c>
    </x:row>
    <x:row r="6" ht="39.95000076293945" customHeight="1">
      <x:c r="A6" s="2" t="s">
        <x:v>438</x:v>
      </x:c>
      <x:c r="B6" s="2" t="s">
        <x:v>439</x:v>
      </x:c>
    </x:row>
    <x:row r="7" ht="39.95000076293945" customHeight="1">
      <x:c r="A7" s="68" t="s">
        <x:v>440</x:v>
      </x:c>
      <x:c r="B7" s="68" t="s">
        <x:v>441</x:v>
      </x:c>
    </x:row>
    <x:row r="8" ht="39.95000076293945" customHeight="1">
      <x:c r="A8" s="2" t="s">
        <x:v>442</x:v>
      </x:c>
      <x:c r="B8" s="2" t="s">
        <x:v>443</x:v>
      </x:c>
    </x:row>
    <x:row r="9" ht="39.95000076293945" customHeight="1">
      <x:c r="A9" s="68" t="s">
        <x:v>444</x:v>
      </x:c>
      <x:c r="B9" s="68" t="s">
        <x:v>445</x:v>
      </x:c>
    </x:row>
    <x:row r="10" ht="39.95000076293945" customHeight="1">
      <x:c r="A10" s="2" t="s">
        <x:v>446</x:v>
      </x:c>
      <x:c r="B10" s="2" t="s">
        <x:v>447</x:v>
      </x:c>
    </x:row>
    <x:row r="11" ht="39.95000076293945" customHeight="1">
      <x:c r="A11" s="68" t="s">
        <x:v>448</x:v>
      </x:c>
      <x:c r="B11" s="68" t="s">
        <x:v>449</x:v>
      </x:c>
    </x:row>
    <x:row r="12" ht="39.95000076293945" customHeight="1">
      <x:c r="A12" s="2" t="s">
        <x:v>450</x:v>
      </x:c>
      <x:c r="B12" s="2" t="s">
        <x:v>451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24" hidden="0" customWidth="1"/>
    <x:col min="6" max="6" width="17" hidden="0" customWidth="1"/>
    <x:col min="7" max="7" width="4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8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0" customHeight="1">
      <x:c r="A1" s="135" t="str">
        <x:v>PROJ-002 | DETAILED CRM REVIEW QUEUE</x:v>
      </x:c>
      <x:c r="B1" s="135"/>
      <x:c r="C1" s="135"/>
      <x:c r="D1" s="135"/>
      <x:c r="E1" s="135"/>
      <x:c r="F1" s="135"/>
      <x:c r="G1" s="135"/>
      <x:c r="H1" s="135"/>
      <x:c r="I1" s="135"/>
      <x:c r="J1" s="135"/>
      <x:c r="K1" s="135"/>
      <x:c r="L1" s="135"/>
      <x:c r="M1" s="135"/>
      <x:c r="N1" s="135"/>
      <x:c r="O1" s="135"/>
    </x:row>
    <x:row r="2" ht="24" customHeight="1">
      <x:c r="A2" s="137" t="str">
        <x:v>One row per customer-data exception • source-linked context • written resolution and verification control</x:v>
      </x:c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</x:row>
    <x:row r="4" ht="34" customHeight="1">
      <x:c r="A4" s="142" t="str">
        <x:v>Case ID</x:v>
      </x:c>
      <x:c r="B4" s="142" t="str">
        <x:v>Raw Row</x:v>
      </x:c>
      <x:c r="C4" s="142" t="str">
        <x:v>Customer ID</x:v>
      </x:c>
      <x:c r="D4" s="142" t="str">
        <x:v>Customer Name</x:v>
      </x:c>
      <x:c r="E4" s="142" t="str">
        <x:v>Primary Issue</x:v>
      </x:c>
      <x:c r="F4" s="142" t="str">
        <x:v>Review Status</x:v>
      </x:c>
      <x:c r="G4" s="142" t="str">
        <x:v>Recommended Written Action</x:v>
      </x:c>
      <x:c r="H4" s="142" t="str">
        <x:v>Priority</x:v>
      </x:c>
      <x:c r="I4" s="142" t="str">
        <x:v>Owner</x:v>
      </x:c>
      <x:c r="J4" s="142" t="str">
        <x:v>Case Status</x:v>
      </x:c>
      <x:c r="K4" s="142" t="str">
        <x:v>Due Date</x:v>
      </x:c>
      <x:c r="L4" s="142" t="str">
        <x:v>Resolution Notes</x:v>
      </x:c>
      <x:c r="M4" s="142" t="str">
        <x:v>Evidence Ref</x:v>
      </x:c>
      <x:c r="N4" s="142" t="str">
        <x:v>Resolution Date</x:v>
      </x:c>
      <x:c r="O4" s="142" t="str">
        <x:v>Verified By</x:v>
      </x:c>
    </x:row>
    <x:row r="5" ht="30" customHeight="1">
      <x:c r="A5" s="130" t="str">
        <x:f>"CRM-CASE-"&amp;TEXT(ROW()-4,"000")</x:f>
        <x:v>CRM-CASE-001</x:v>
      </x:c>
      <x:c r="B5" s="130" t="n">
        <x:f>'Cleaned Data'!A9</x:f>
        <x:v>9</x:v>
      </x:c>
      <x:c r="C5" s="130" t="str">
        <x:f>'Cleaned Data'!B9</x:f>
        <x:v>CUST-0006</x:v>
      </x:c>
      <x:c r="D5" s="130" t="str">
        <x:f>'Cleaned Data'!D9</x:f>
        <x:v>Sofia Carter</x:v>
      </x:c>
      <x:c r="E5" s="145" t="str">
        <x:f>'Cleaned Data'!W9</x:f>
        <x:v>Missing Email</x:v>
      </x:c>
      <x:c r="F5" s="145" t="str">
        <x:f>'Cleaned Data'!X9</x:f>
        <x:v>Needs Review</x:v>
      </x:c>
      <x:c r="G5" s="145" t="str">
        <x:f>'Cleaned Data'!Y9</x:f>
        <x:v>Request missing or corrected customer information</x:v>
      </x:c>
      <x:c r="H5" s="130" t="str">
        <x:f>IF(OR(ISNUMBER(SEARCH("Duplicate",E5)),ISNUMBER(SEARCH("Order",E5)),ISNUMBER(SEARCH("Lifetime",E5))),"High",IF(ISNUMBER(SEARCH("Phone",E5)),"Low","Medium"))</x:f>
        <x:v>Medium</x:v>
      </x:c>
      <x:c r="I5" s="130" t="str">
        <x:f>IF(OR(ISNUMBER(SEARCH("Order",E5)),ISNUMBER(SEARCH("Lifetime",E5)),ISNUMBER(SEARCH("Email",E5)),ISNUMBER(SEARCH("Phone",E5))),"Account Owner","CRM Admin")</x:f>
        <x:v>Account Owner</x:v>
      </x:c>
      <x:c r="J5" s="130" t="str">
        <x:v>Open</x:v>
      </x:c>
      <x:c r="K5" s="143" t="n">
        <x:f>DATE(2026,8,17)+IF(H5="High",1,IF(H5="Medium",3,5))</x:f>
        <x:v>46254</x:v>
      </x:c>
      <x:c r="L5" s="130"/>
      <x:c r="M5" s="130"/>
      <x:c r="N5" s="143"/>
      <x:c r="O5" s="130"/>
    </x:row>
    <x:row r="6" ht="30" customHeight="1">
      <x:c r="A6" s="133" t="str">
        <x:f>"CRM-CASE-"&amp;TEXT(ROW()-4,"000")</x:f>
        <x:v>CRM-CASE-002</x:v>
      </x:c>
      <x:c r="B6" s="133" t="n">
        <x:f>'Cleaned Data'!A13</x:f>
        <x:v>13</x:v>
      </x:c>
      <x:c r="C6" s="133" t="str">
        <x:f>'Cleaned Data'!B13</x:f>
        <x:v>CUST-0010</x:v>
      </x:c>
      <x:c r="D6" s="133" t="str">
        <x:f>'Cleaned Data'!D13</x:f>
        <x:v>Zoe Mitchell</x:v>
      </x:c>
      <x:c r="E6" s="146" t="str">
        <x:f>'Cleaned Data'!W13</x:f>
        <x:v>Invalid Phone</x:v>
      </x:c>
      <x:c r="F6" s="146" t="str">
        <x:f>'Cleaned Data'!X13</x:f>
        <x:v>Needs Review</x:v>
      </x:c>
      <x:c r="G6" s="146" t="str">
        <x:f>'Cleaned Data'!Y13</x:f>
        <x:v>Request missing or corrected customer information</x:v>
      </x:c>
      <x:c r="H6" s="133" t="str">
        <x:f>IF(OR(ISNUMBER(SEARCH("Duplicate",E6)),ISNUMBER(SEARCH("Order",E6)),ISNUMBER(SEARCH("Lifetime",E6))),"High",IF(ISNUMBER(SEARCH("Phone",E6)),"Low","Medium"))</x:f>
        <x:v>Low</x:v>
      </x:c>
      <x:c r="I6" s="133" t="str">
        <x:f>IF(OR(ISNUMBER(SEARCH("Order",E6)),ISNUMBER(SEARCH("Lifetime",E6)),ISNUMBER(SEARCH("Email",E6)),ISNUMBER(SEARCH("Phone",E6))),"Account Owner","CRM Admin")</x:f>
        <x:v>Account Owner</x:v>
      </x:c>
      <x:c r="J6" s="133" t="str">
        <x:v>Open</x:v>
      </x:c>
      <x:c r="K6" s="144" t="n">
        <x:f>DATE(2026,8,17)+IF(H6="High",1,IF(H6="Medium",3,5))</x:f>
        <x:v>46256</x:v>
      </x:c>
      <x:c r="L6" s="133"/>
      <x:c r="M6" s="133"/>
      <x:c r="N6" s="144"/>
      <x:c r="O6" s="133"/>
    </x:row>
    <x:row r="7" ht="30" customHeight="1">
      <x:c r="A7" s="130" t="str">
        <x:f>"CRM-CASE-"&amp;TEXT(ROW()-4,"000")</x:f>
        <x:v>CRM-CASE-003</x:v>
      </x:c>
      <x:c r="B7" s="130" t="n">
        <x:f>'Cleaned Data'!A16</x:f>
        <x:v>16</x:v>
      </x:c>
      <x:c r="C7" s="130" t="str">
        <x:f>'Cleaned Data'!B16</x:f>
        <x:v>CUST-0013</x:v>
      </x:c>
      <x:c r="D7" s="130" t="str">
        <x:f>'Cleaned Data'!D16</x:f>
        <x:v>Liam King</x:v>
      </x:c>
      <x:c r="E7" s="145" t="str">
        <x:f>'Cleaned Data'!W16</x:f>
        <x:v>Duplicate Customer ID</x:v>
      </x:c>
      <x:c r="F7" s="145" t="str">
        <x:f>'Cleaned Data'!X16</x:f>
        <x:v>Needs Review</x:v>
      </x:c>
      <x:c r="G7" s="145" t="str">
        <x:f>'Cleaned Data'!Y16</x:f>
        <x:v>Compare duplicate rows and confirm the valid source record</x:v>
      </x:c>
      <x:c r="H7" s="130" t="str">
        <x:f>IF(OR(ISNUMBER(SEARCH("Duplicate",E7)),ISNUMBER(SEARCH("Order",E7)),ISNUMBER(SEARCH("Lifetime",E7))),"High",IF(ISNUMBER(SEARCH("Phone",E7)),"Low","Medium"))</x:f>
        <x:v>High</x:v>
      </x:c>
      <x:c r="I7" s="130" t="str">
        <x:f>IF(OR(ISNUMBER(SEARCH("Order",E7)),ISNUMBER(SEARCH("Lifetime",E7)),ISNUMBER(SEARCH("Email",E7)),ISNUMBER(SEARCH("Phone",E7))),"Account Owner","CRM Admin")</x:f>
        <x:v>CRM Admin</x:v>
      </x:c>
      <x:c r="J7" s="130" t="str">
        <x:v>Open</x:v>
      </x:c>
      <x:c r="K7" s="143" t="n">
        <x:f>DATE(2026,8,17)+IF(H7="High",1,IF(H7="Medium",3,5))</x:f>
        <x:v>46252</x:v>
      </x:c>
      <x:c r="L7" s="130"/>
      <x:c r="M7" s="130"/>
      <x:c r="N7" s="143"/>
      <x:c r="O7" s="130"/>
    </x:row>
    <x:row r="8" ht="30" customHeight="1">
      <x:c r="A8" s="133" t="str">
        <x:f>"CRM-CASE-"&amp;TEXT(ROW()-4,"000")</x:f>
        <x:v>CRM-CASE-004</x:v>
      </x:c>
      <x:c r="B8" s="133" t="n">
        <x:f>'Cleaned Data'!A18</x:f>
        <x:v>18</x:v>
      </x:c>
      <x:c r="C8" s="133" t="str">
        <x:f>'Cleaned Data'!B18</x:f>
        <x:v>CUST-0015</x:v>
      </x:c>
      <x:c r="D8" s="133" t="str">
        <x:f>'Cleaned Data'!D18</x:f>
        <x:v>Ethan Murphy</x:v>
      </x:c>
      <x:c r="E8" s="146" t="str">
        <x:f>'Cleaned Data'!W18</x:f>
        <x:v>Invalid Date</x:v>
      </x:c>
      <x:c r="F8" s="146" t="str">
        <x:f>'Cleaned Data'!X18</x:f>
        <x:v>Needs Review</x:v>
      </x:c>
      <x:c r="G8" s="146" t="str">
        <x:f>'Cleaned Data'!Y18</x:f>
        <x:v>Request missing or corrected customer information</x:v>
      </x:c>
      <x:c r="H8" s="133" t="str">
        <x:f>IF(OR(ISNUMBER(SEARCH("Duplicate",E8)),ISNUMBER(SEARCH("Order",E8)),ISNUMBER(SEARCH("Lifetime",E8))),"High",IF(ISNUMBER(SEARCH("Phone",E8)),"Low","Medium"))</x:f>
        <x:v>Medium</x:v>
      </x:c>
      <x:c r="I8" s="133" t="str">
        <x:f>IF(OR(ISNUMBER(SEARCH("Order",E8)),ISNUMBER(SEARCH("Lifetime",E8)),ISNUMBER(SEARCH("Email",E8)),ISNUMBER(SEARCH("Phone",E8))),"Account Owner","CRM Admin")</x:f>
        <x:v>CRM Admin</x:v>
      </x:c>
      <x:c r="J8" s="133" t="str">
        <x:v>Open</x:v>
      </x:c>
      <x:c r="K8" s="144" t="n">
        <x:f>DATE(2026,8,17)+IF(H8="High",1,IF(H8="Medium",3,5))</x:f>
        <x:v>46254</x:v>
      </x:c>
      <x:c r="L8" s="133"/>
      <x:c r="M8" s="133"/>
      <x:c r="N8" s="144"/>
      <x:c r="O8" s="133"/>
    </x:row>
    <x:row r="9" ht="30" customHeight="1">
      <x:c r="A9" s="130" t="str">
        <x:f>"CRM-CASE-"&amp;TEXT(ROW()-4,"000")</x:f>
        <x:v>CRM-CASE-005</x:v>
      </x:c>
      <x:c r="B9" s="130" t="n">
        <x:f>'Cleaned Data'!A22</x:f>
        <x:v>22</x:v>
      </x:c>
      <x:c r="C9" s="130" t="str">
        <x:f>'Cleaned Data'!B22</x:f>
        <x:v>CUST-0019</x:v>
      </x:c>
      <x:c r="D9" s="130" t="str">
        <x:f>'Cleaned Data'!D22</x:f>
        <x:v>Leo Hayes</x:v>
      </x:c>
      <x:c r="E9" s="145" t="str">
        <x:f>'Cleaned Data'!W22</x:f>
        <x:v>Missing Phone</x:v>
      </x:c>
      <x:c r="F9" s="145" t="str">
        <x:f>'Cleaned Data'!X22</x:f>
        <x:v>Needs Review</x:v>
      </x:c>
      <x:c r="G9" s="145" t="str">
        <x:f>'Cleaned Data'!Y22</x:f>
        <x:v>Request missing or corrected customer information</x:v>
      </x:c>
      <x:c r="H9" s="130" t="str">
        <x:f>IF(OR(ISNUMBER(SEARCH("Duplicate",E9)),ISNUMBER(SEARCH("Order",E9)),ISNUMBER(SEARCH("Lifetime",E9))),"High",IF(ISNUMBER(SEARCH("Phone",E9)),"Low","Medium"))</x:f>
        <x:v>Low</x:v>
      </x:c>
      <x:c r="I9" s="130" t="str">
        <x:f>IF(OR(ISNUMBER(SEARCH("Order",E9)),ISNUMBER(SEARCH("Lifetime",E9)),ISNUMBER(SEARCH("Email",E9)),ISNUMBER(SEARCH("Phone",E9))),"Account Owner","CRM Admin")</x:f>
        <x:v>Account Owner</x:v>
      </x:c>
      <x:c r="J9" s="130" t="str">
        <x:v>Open</x:v>
      </x:c>
      <x:c r="K9" s="143" t="n">
        <x:f>DATE(2026,8,17)+IF(H9="High",1,IF(H9="Medium",3,5))</x:f>
        <x:v>46256</x:v>
      </x:c>
      <x:c r="L9" s="130"/>
      <x:c r="M9" s="130"/>
      <x:c r="N9" s="143"/>
      <x:c r="O9" s="130"/>
    </x:row>
    <x:row r="10" ht="30" customHeight="1">
      <x:c r="A10" s="133" t="str">
        <x:f>"CRM-CASE-"&amp;TEXT(ROW()-4,"000")</x:f>
        <x:v>CRM-CASE-006</x:v>
      </x:c>
      <x:c r="B10" s="133" t="n">
        <x:f>'Cleaned Data'!A31</x:f>
        <x:v>31</x:v>
      </x:c>
      <x:c r="C10" s="133" t="str">
        <x:f>'Cleaned Data'!B31</x:f>
        <x:v>CUST-0028</x:v>
      </x:c>
      <x:c r="D10" s="133" t="str">
        <x:f>'Cleaned Data'!D31</x:f>
        <x:v>Henry Turner</x:v>
      </x:c>
      <x:c r="E10" s="146" t="str">
        <x:f>'Cleaned Data'!W31</x:f>
        <x:v>Duplicate Customer ID</x:v>
      </x:c>
      <x:c r="F10" s="146" t="str">
        <x:f>'Cleaned Data'!X31</x:f>
        <x:v>Needs Review</x:v>
      </x:c>
      <x:c r="G10" s="146" t="str">
        <x:f>'Cleaned Data'!Y31</x:f>
        <x:v>Compare duplicate rows and confirm the valid source record</x:v>
      </x:c>
      <x:c r="H10" s="133" t="str">
        <x:f>IF(OR(ISNUMBER(SEARCH("Duplicate",E10)),ISNUMBER(SEARCH("Order",E10)),ISNUMBER(SEARCH("Lifetime",E10))),"High",IF(ISNUMBER(SEARCH("Phone",E10)),"Low","Medium"))</x:f>
        <x:v>High</x:v>
      </x:c>
      <x:c r="I10" s="133" t="str">
        <x:f>IF(OR(ISNUMBER(SEARCH("Order",E10)),ISNUMBER(SEARCH("Lifetime",E10)),ISNUMBER(SEARCH("Email",E10)),ISNUMBER(SEARCH("Phone",E10))),"Account Owner","CRM Admin")</x:f>
        <x:v>CRM Admin</x:v>
      </x:c>
      <x:c r="J10" s="133" t="str">
        <x:v>Open</x:v>
      </x:c>
      <x:c r="K10" s="144" t="n">
        <x:f>DATE(2026,8,17)+IF(H10="High",1,IF(H10="Medium",3,5))</x:f>
        <x:v>46252</x:v>
      </x:c>
      <x:c r="L10" s="133"/>
      <x:c r="M10" s="133"/>
      <x:c r="N10" s="144"/>
      <x:c r="O10" s="133"/>
    </x:row>
    <x:row r="11" ht="30" customHeight="1">
      <x:c r="A11" s="130" t="str">
        <x:f>"CRM-CASE-"&amp;TEXT(ROW()-4,"000")</x:f>
        <x:v>CRM-CASE-007</x:v>
      </x:c>
      <x:c r="B11" s="130" t="n">
        <x:f>'Cleaned Data'!A33</x:f>
        <x:v>33</x:v>
      </x:c>
      <x:c r="C11" s="130" t="str">
        <x:f>'Cleaned Data'!B33</x:f>
        <x:v>CUST-0030</x:v>
      </x:c>
      <x:c r="D11" s="130" t="str">
        <x:f>'Cleaned Data'!D33</x:f>
        <x:v>Nora Carter</x:v>
      </x:c>
      <x:c r="E11" s="145" t="str">
        <x:f>'Cleaned Data'!W33</x:f>
        <x:v>Invalid Lifetime Value</x:v>
      </x:c>
      <x:c r="F11" s="145" t="str">
        <x:f>'Cleaned Data'!X33</x:f>
        <x:v>Needs Review</x:v>
      </x:c>
      <x:c r="G11" s="145" t="str">
        <x:f>'Cleaned Data'!Y33</x:f>
        <x:v>Verify numeric value against the source record</x:v>
      </x:c>
      <x:c r="H11" s="130" t="str">
        <x:f>IF(OR(ISNUMBER(SEARCH("Duplicate",E11)),ISNUMBER(SEARCH("Order",E11)),ISNUMBER(SEARCH("Lifetime",E11))),"High",IF(ISNUMBER(SEARCH("Phone",E11)),"Low","Medium"))</x:f>
        <x:v>High</x:v>
      </x:c>
      <x:c r="I11" s="130" t="str">
        <x:f>IF(OR(ISNUMBER(SEARCH("Order",E11)),ISNUMBER(SEARCH("Lifetime",E11)),ISNUMBER(SEARCH("Email",E11)),ISNUMBER(SEARCH("Phone",E11))),"Account Owner","CRM Admin")</x:f>
        <x:v>Account Owner</x:v>
      </x:c>
      <x:c r="J11" s="130" t="str">
        <x:v>Open</x:v>
      </x:c>
      <x:c r="K11" s="143" t="n">
        <x:f>DATE(2026,8,17)+IF(H11="High",1,IF(H11="Medium",3,5))</x:f>
        <x:v>46252</x:v>
      </x:c>
      <x:c r="L11" s="130"/>
      <x:c r="M11" s="130"/>
      <x:c r="N11" s="143"/>
      <x:c r="O11" s="130"/>
    </x:row>
    <x:row r="12" ht="30" customHeight="1">
      <x:c r="A12" s="133" t="str">
        <x:f>"CRM-CASE-"&amp;TEXT(ROW()-4,"000")</x:f>
        <x:v>CRM-CASE-008</x:v>
      </x:c>
      <x:c r="B12" s="133" t="n">
        <x:f>'Cleaned Data'!A35</x:f>
        <x:v>35</x:v>
      </x:c>
      <x:c r="C12" s="133" t="str">
        <x:f>'Cleaned Data'!B35</x:f>
        <x:v>CUST-0032</x:v>
      </x:c>
      <x:c r="D12" s="133" t="str">
        <x:f>'Cleaned Data'!D35</x:f>
        <x:v>Lucas Collins</x:v>
      </x:c>
      <x:c r="E12" s="146" t="str">
        <x:f>'Cleaned Data'!W35</x:f>
        <x:v>Invalid Date</x:v>
      </x:c>
      <x:c r="F12" s="146" t="str">
        <x:f>'Cleaned Data'!X35</x:f>
        <x:v>Needs Review</x:v>
      </x:c>
      <x:c r="G12" s="146" t="str">
        <x:f>'Cleaned Data'!Y35</x:f>
        <x:v>Request missing or corrected customer information</x:v>
      </x:c>
      <x:c r="H12" s="133" t="str">
        <x:f>IF(OR(ISNUMBER(SEARCH("Duplicate",E12)),ISNUMBER(SEARCH("Order",E12)),ISNUMBER(SEARCH("Lifetime",E12))),"High",IF(ISNUMBER(SEARCH("Phone",E12)),"Low","Medium"))</x:f>
        <x:v>Medium</x:v>
      </x:c>
      <x:c r="I12" s="133" t="str">
        <x:f>IF(OR(ISNUMBER(SEARCH("Order",E12)),ISNUMBER(SEARCH("Lifetime",E12)),ISNUMBER(SEARCH("Email",E12)),ISNUMBER(SEARCH("Phone",E12))),"Account Owner","CRM Admin")</x:f>
        <x:v>CRM Admin</x:v>
      </x:c>
      <x:c r="J12" s="133" t="str">
        <x:v>Open</x:v>
      </x:c>
      <x:c r="K12" s="144" t="n">
        <x:f>DATE(2026,8,17)+IF(H12="High",1,IF(H12="Medium",3,5))</x:f>
        <x:v>46254</x:v>
      </x:c>
      <x:c r="L12" s="133"/>
      <x:c r="M12" s="133"/>
      <x:c r="N12" s="144"/>
      <x:c r="O12" s="133"/>
    </x:row>
    <x:row r="13" ht="30" customHeight="1">
      <x:c r="A13" s="130" t="str">
        <x:f>"CRM-CASE-"&amp;TEXT(ROW()-4,"000")</x:f>
        <x:v>CRM-CASE-009</x:v>
      </x:c>
      <x:c r="B13" s="130" t="n">
        <x:f>'Cleaned Data'!A37</x:f>
        <x:v>37</x:v>
      </x:c>
      <x:c r="C13" s="130" t="str">
        <x:f>'Cleaned Data'!B37</x:f>
        <x:v>CUST-0034</x:v>
      </x:c>
      <x:c r="D13" s="130" t="str">
        <x:f>'Cleaned Data'!D37</x:f>
        <x:v>Maya Foster</x:v>
      </x:c>
      <x:c r="E13" s="145" t="str">
        <x:f>'Cleaned Data'!W37</x:f>
        <x:v>Invalid Order Count</x:v>
      </x:c>
      <x:c r="F13" s="145" t="str">
        <x:f>'Cleaned Data'!X37</x:f>
        <x:v>Needs Review</x:v>
      </x:c>
      <x:c r="G13" s="145" t="str">
        <x:f>'Cleaned Data'!Y37</x:f>
        <x:v>Verify numeric value against the source record</x:v>
      </x:c>
      <x:c r="H13" s="130" t="str">
        <x:f>IF(OR(ISNUMBER(SEARCH("Duplicate",E13)),ISNUMBER(SEARCH("Order",E13)),ISNUMBER(SEARCH("Lifetime",E13))),"High",IF(ISNUMBER(SEARCH("Phone",E13)),"Low","Medium"))</x:f>
        <x:v>High</x:v>
      </x:c>
      <x:c r="I13" s="130" t="str">
        <x:f>IF(OR(ISNUMBER(SEARCH("Order",E13)),ISNUMBER(SEARCH("Lifetime",E13)),ISNUMBER(SEARCH("Email",E13)),ISNUMBER(SEARCH("Phone",E13))),"Account Owner","CRM Admin")</x:f>
        <x:v>Account Owner</x:v>
      </x:c>
      <x:c r="J13" s="130" t="str">
        <x:v>Open</x:v>
      </x:c>
      <x:c r="K13" s="143" t="n">
        <x:f>DATE(2026,8,17)+IF(H13="High",1,IF(H13="Medium",3,5))</x:f>
        <x:v>46252</x:v>
      </x:c>
      <x:c r="L13" s="130"/>
      <x:c r="M13" s="130"/>
      <x:c r="N13" s="143"/>
      <x:c r="O13" s="130"/>
    </x:row>
    <x:row r="14" ht="30" customHeight="1">
      <x:c r="A14" s="133" t="str">
        <x:f>"CRM-CASE-"&amp;TEXT(ROW()-4,"000")</x:f>
        <x:v>CRM-CASE-010</x:v>
      </x:c>
      <x:c r="B14" s="133" t="n">
        <x:f>'Cleaned Data'!A42</x:f>
        <x:v>42</x:v>
      </x:c>
      <x:c r="C14" s="133" t="str">
        <x:f>'Cleaned Data'!B42</x:f>
        <x:v>CUST-0039</x:v>
      </x:c>
      <x:c r="D14" s="133" t="str">
        <x:f>'Cleaned Data'!D42</x:f>
        <x:v>Amelia Carter</x:v>
      </x:c>
      <x:c r="E14" s="146" t="str">
        <x:f>'Cleaned Data'!W42</x:f>
        <x:v>Invalid Segment</x:v>
      </x:c>
      <x:c r="F14" s="146" t="str">
        <x:f>'Cleaned Data'!X42</x:f>
        <x:v>Needs Review</x:v>
      </x:c>
      <x:c r="G14" s="146" t="str">
        <x:f>'Cleaned Data'!Y42</x:f>
        <x:v>Request segment confirmation in writing</x:v>
      </x:c>
      <x:c r="H14" s="133" t="str">
        <x:f>IF(OR(ISNUMBER(SEARCH("Duplicate",E14)),ISNUMBER(SEARCH("Order",E14)),ISNUMBER(SEARCH("Lifetime",E14))),"High",IF(ISNUMBER(SEARCH("Phone",E14)),"Low","Medium"))</x:f>
        <x:v>Medium</x:v>
      </x:c>
      <x:c r="I14" s="133" t="str">
        <x:f>IF(OR(ISNUMBER(SEARCH("Order",E14)),ISNUMBER(SEARCH("Lifetime",E14)),ISNUMBER(SEARCH("Email",E14)),ISNUMBER(SEARCH("Phone",E14))),"Account Owner","CRM Admin")</x:f>
        <x:v>CRM Admin</x:v>
      </x:c>
      <x:c r="J14" s="133" t="str">
        <x:v>Open</x:v>
      </x:c>
      <x:c r="K14" s="144" t="n">
        <x:f>DATE(2026,8,17)+IF(H14="High",1,IF(H14="Medium",3,5))</x:f>
        <x:v>46254</x:v>
      </x:c>
      <x:c r="L14" s="133"/>
      <x:c r="M14" s="133"/>
      <x:c r="N14" s="144"/>
      <x:c r="O14" s="133"/>
    </x:row>
    <x:row r="15" ht="30" customHeight="1">
      <x:c r="A15" s="130" t="str">
        <x:f>"CRM-CASE-"&amp;TEXT(ROW()-4,"000")</x:f>
        <x:v>CRM-CASE-011</x:v>
      </x:c>
      <x:c r="B15" s="130" t="n">
        <x:f>'Cleaned Data'!A48</x:f>
        <x:v>48</x:v>
      </x:c>
      <x:c r="C15" s="130" t="str">
        <x:f>'Cleaned Data'!B48</x:f>
        <x:v>CUST-0045</x:v>
      </x:c>
      <x:c r="D15" s="130" t="str">
        <x:f>'Cleaned Data'!D48</x:f>
        <x:v>Marcus Bell</x:v>
      </x:c>
      <x:c r="E15" s="145" t="str">
        <x:f>'Cleaned Data'!W48</x:f>
        <x:v>Invalid Order Count</x:v>
      </x:c>
      <x:c r="F15" s="145" t="str">
        <x:f>'Cleaned Data'!X48</x:f>
        <x:v>Needs Review</x:v>
      </x:c>
      <x:c r="G15" s="145" t="str">
        <x:f>'Cleaned Data'!Y48</x:f>
        <x:v>Verify numeric value against the source record</x:v>
      </x:c>
      <x:c r="H15" s="130" t="str">
        <x:f>IF(OR(ISNUMBER(SEARCH("Duplicate",E15)),ISNUMBER(SEARCH("Order",E15)),ISNUMBER(SEARCH("Lifetime",E15))),"High",IF(ISNUMBER(SEARCH("Phone",E15)),"Low","Medium"))</x:f>
        <x:v>High</x:v>
      </x:c>
      <x:c r="I15" s="130" t="str">
        <x:f>IF(OR(ISNUMBER(SEARCH("Order",E15)),ISNUMBER(SEARCH("Lifetime",E15)),ISNUMBER(SEARCH("Email",E15)),ISNUMBER(SEARCH("Phone",E15))),"Account Owner","CRM Admin")</x:f>
        <x:v>Account Owner</x:v>
      </x:c>
      <x:c r="J15" s="130" t="str">
        <x:v>Open</x:v>
      </x:c>
      <x:c r="K15" s="143" t="n">
        <x:f>DATE(2026,8,17)+IF(H15="High",1,IF(H15="Medium",3,5))</x:f>
        <x:v>46252</x:v>
      </x:c>
      <x:c r="L15" s="130"/>
      <x:c r="M15" s="130"/>
      <x:c r="N15" s="143"/>
      <x:c r="O15" s="130"/>
    </x:row>
    <x:row r="16" ht="30" customHeight="1">
      <x:c r="A16" s="133" t="str">
        <x:f>"CRM-CASE-"&amp;TEXT(ROW()-4,"000")</x:f>
        <x:v>CRM-CASE-012</x:v>
      </x:c>
      <x:c r="B16" s="133" t="n">
        <x:f>'Cleaned Data'!A55</x:f>
        <x:v>55</x:v>
      </x:c>
      <x:c r="C16" s="133" t="str">
        <x:f>'Cleaned Data'!B55</x:f>
        <x:v>CUST-0052</x:v>
      </x:c>
      <x:c r="D16" s="133" t="str">
        <x:f>'Cleaned Data'!D55</x:f>
        <x:v>Emma Hayes</x:v>
      </x:c>
      <x:c r="E16" s="146" t="str">
        <x:f>'Cleaned Data'!W55</x:f>
        <x:v>Invalid Segment</x:v>
      </x:c>
      <x:c r="F16" s="146" t="str">
        <x:f>'Cleaned Data'!X55</x:f>
        <x:v>Needs Review</x:v>
      </x:c>
      <x:c r="G16" s="146" t="str">
        <x:f>'Cleaned Data'!Y55</x:f>
        <x:v>Request segment confirmation in writing</x:v>
      </x:c>
      <x:c r="H16" s="133" t="str">
        <x:f>IF(OR(ISNUMBER(SEARCH("Duplicate",E16)),ISNUMBER(SEARCH("Order",E16)),ISNUMBER(SEARCH("Lifetime",E16))),"High",IF(ISNUMBER(SEARCH("Phone",E16)),"Low","Medium"))</x:f>
        <x:v>Medium</x:v>
      </x:c>
      <x:c r="I16" s="133" t="str">
        <x:f>IF(OR(ISNUMBER(SEARCH("Order",E16)),ISNUMBER(SEARCH("Lifetime",E16)),ISNUMBER(SEARCH("Email",E16)),ISNUMBER(SEARCH("Phone",E16))),"Account Owner","CRM Admin")</x:f>
        <x:v>CRM Admin</x:v>
      </x:c>
      <x:c r="J16" s="133" t="str">
        <x:v>Open</x:v>
      </x:c>
      <x:c r="K16" s="144" t="n">
        <x:f>DATE(2026,8,17)+IF(H16="High",1,IF(H16="Medium",3,5))</x:f>
        <x:v>46254</x:v>
      </x:c>
      <x:c r="L16" s="133"/>
      <x:c r="M16" s="133"/>
      <x:c r="N16" s="144"/>
      <x:c r="O16" s="133"/>
    </x:row>
    <x:row r="17" ht="30" customHeight="1">
      <x:c r="A17" s="130" t="str">
        <x:f>"CRM-CASE-"&amp;TEXT(ROW()-4,"000")</x:f>
        <x:v>CRM-CASE-013</x:v>
      </x:c>
      <x:c r="B17" s="130" t="n">
        <x:f>'Cleaned Data'!A56</x:f>
        <x:v>56</x:v>
      </x:c>
      <x:c r="C17" s="130" t="str">
        <x:f>'Cleaned Data'!B56</x:f>
        <x:v>CUST-0013</x:v>
      </x:c>
      <x:c r="D17" s="130" t="str">
        <x:f>'Cleaned Data'!D56</x:f>
        <x:v>Liam King</x:v>
      </x:c>
      <x:c r="E17" s="145" t="str">
        <x:f>'Cleaned Data'!W56</x:f>
        <x:v>Duplicate Customer ID</x:v>
      </x:c>
      <x:c r="F17" s="145" t="str">
        <x:f>'Cleaned Data'!X56</x:f>
        <x:v>Needs Review</x:v>
      </x:c>
      <x:c r="G17" s="145" t="str">
        <x:f>'Cleaned Data'!Y56</x:f>
        <x:v>Compare duplicate rows and confirm the valid source record</x:v>
      </x:c>
      <x:c r="H17" s="130" t="str">
        <x:f>IF(OR(ISNUMBER(SEARCH("Duplicate",E17)),ISNUMBER(SEARCH("Order",E17)),ISNUMBER(SEARCH("Lifetime",E17))),"High",IF(ISNUMBER(SEARCH("Phone",E17)),"Low","Medium"))</x:f>
        <x:v>High</x:v>
      </x:c>
      <x:c r="I17" s="130" t="str">
        <x:f>IF(OR(ISNUMBER(SEARCH("Order",E17)),ISNUMBER(SEARCH("Lifetime",E17)),ISNUMBER(SEARCH("Email",E17)),ISNUMBER(SEARCH("Phone",E17))),"Account Owner","CRM Admin")</x:f>
        <x:v>CRM Admin</x:v>
      </x:c>
      <x:c r="J17" s="130" t="str">
        <x:v>Open</x:v>
      </x:c>
      <x:c r="K17" s="143" t="n">
        <x:f>DATE(2026,8,17)+IF(H17="High",1,IF(H17="Medium",3,5))</x:f>
        <x:v>46252</x:v>
      </x:c>
      <x:c r="L17" s="130"/>
      <x:c r="M17" s="130"/>
      <x:c r="N17" s="143"/>
      <x:c r="O17" s="130"/>
    </x:row>
    <x:row r="18" ht="30" customHeight="1">
      <x:c r="A18" s="133" t="str">
        <x:f>"CRM-CASE-"&amp;TEXT(ROW()-4,"000")</x:f>
        <x:v>CRM-CASE-014</x:v>
      </x:c>
      <x:c r="B18" s="133" t="n">
        <x:f>'Cleaned Data'!A60</x:f>
        <x:v>60</x:v>
      </x:c>
      <x:c r="C18" s="133" t="str">
        <x:f>'Cleaned Data'!B60</x:f>
        <x:v>CUST-0028</x:v>
      </x:c>
      <x:c r="D18" s="133" t="str">
        <x:f>'Cleaned Data'!D60</x:f>
        <x:v>Henry Turner</x:v>
      </x:c>
      <x:c r="E18" s="146" t="str">
        <x:f>'Cleaned Data'!W60</x:f>
        <x:v>Duplicate Customer ID</x:v>
      </x:c>
      <x:c r="F18" s="146" t="str">
        <x:f>'Cleaned Data'!X60</x:f>
        <x:v>Needs Review</x:v>
      </x:c>
      <x:c r="G18" s="146" t="str">
        <x:f>'Cleaned Data'!Y60</x:f>
        <x:v>Compare duplicate rows and confirm the valid source record</x:v>
      </x:c>
      <x:c r="H18" s="133" t="str">
        <x:f>IF(OR(ISNUMBER(SEARCH("Duplicate",E18)),ISNUMBER(SEARCH("Order",E18)),ISNUMBER(SEARCH("Lifetime",E18))),"High",IF(ISNUMBER(SEARCH("Phone",E18)),"Low","Medium"))</x:f>
        <x:v>High</x:v>
      </x:c>
      <x:c r="I18" s="133" t="str">
        <x:f>IF(OR(ISNUMBER(SEARCH("Order",E18)),ISNUMBER(SEARCH("Lifetime",E18)),ISNUMBER(SEARCH("Email",E18)),ISNUMBER(SEARCH("Phone",E18))),"Account Owner","CRM Admin")</x:f>
        <x:v>CRM Admin</x:v>
      </x:c>
      <x:c r="J18" s="133" t="str">
        <x:v>Open</x:v>
      </x:c>
      <x:c r="K18" s="144" t="n">
        <x:f>DATE(2026,8,17)+IF(H18="High",1,IF(H18="Medium",3,5))</x:f>
        <x:v>46252</x:v>
      </x:c>
      <x:c r="L18" s="133"/>
      <x:c r="M18" s="133"/>
      <x:c r="N18" s="144"/>
      <x:c r="O18" s="133"/>
    </x:row>
  </x:sheetData>
  <x:mergeCells>
    <x:mergeCell ref="A1:O1"/>
    <x:mergeCell ref="A2:O2"/>
  </x:mergeCells>
  <x:dataValidations count="3">
    <x:dataValidation type="list" sqref="H5:H18">
      <x:formula1>"High,Medium,Low"</x:formula1>
    </x:dataValidation>
    <x:dataValidation type="list" sqref="I5:I18">
      <x:formula1>"CRM Admin,Account Owner"</x:formula1>
    </x:dataValidation>
    <x:dataValidation type="list" sqref="J5:J18">
      <x:formula1>"Open,In Progress,Waiting for Source,Resolved"</x:formula1>
    </x:dataValidation>
  </x:dataValidations>
  <x:pageMargins left="0.7" right="0.7" top="0.75" bottom="0.75" header="0.3" footer="0.3"/>
</x:worksheet>
</file>