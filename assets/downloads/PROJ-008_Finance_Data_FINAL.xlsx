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02549d71f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Transactions" sheetId="1" r:id="R41d8d8768cd340ac"/>
    <x:sheet xmlns:r="http://schemas.openxmlformats.org/officeDocument/2006/relationships" name="Bank Statement" sheetId="2" r:id="R431d0ec70a6f4b27"/>
    <x:sheet xmlns:r="http://schemas.openxmlformats.org/officeDocument/2006/relationships" name="References" sheetId="3" r:id="R1e6207d08b974373"/>
    <x:sheet xmlns:r="http://schemas.openxmlformats.org/officeDocument/2006/relationships" name="Transaction Validation" sheetId="4" r:id="R210576b45e05414f"/>
    <x:sheet xmlns:r="http://schemas.openxmlformats.org/officeDocument/2006/relationships" name="Bank Reconciliation" sheetId="5" r:id="R6ed8ca7d604c4dd5"/>
    <x:sheet xmlns:r="http://schemas.openxmlformats.org/officeDocument/2006/relationships" name="QA Summary" sheetId="6" r:id="R50fed560e7034410"/>
    <x:sheet xmlns:r="http://schemas.openxmlformats.org/officeDocument/2006/relationships" name="Dashboard" sheetId="7" r:id="R40a77c6dc06948cf"/>
    <x:sheet xmlns:r="http://schemas.openxmlformats.org/officeDocument/2006/relationships" name="Exception Queue" sheetId="8" r:id="R79ed35cf30854d97"/>
    <x:sheet xmlns:r="http://schemas.openxmlformats.org/officeDocument/2006/relationships" name="Written Templates" sheetId="9" r:id="Rb0da179bdd434100"/>
    <x:sheet xmlns:r="http://schemas.openxmlformats.org/officeDocument/2006/relationships" name="Finance Admin SOP" sheetId="10" r:id="Rb8b0c449a3bd402c"/>
    <x:sheet xmlns:r="http://schemas.openxmlformats.org/officeDocument/2006/relationships" name="Project Notes" sheetId="11" r:id="Re7b47d07168847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Rp&quot;#,##0;[Red](&quot;Rp&quot;#,##0);-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i/>
      <x:sz val="11"/>
      <x:color rgb="FF111111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b/>
      <x:sz val="13"/>
      <x:color rgb="FF111111"/>
      <x:name val="Carlito"/>
    </x:font>
    <x:font>
      <x:b/>
      <x:sz val="11"/>
      <x:color rgb="FFC7FF00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C7FF00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2F4F3"/>
      </x:patternFill>
    </x:fill>
    <x:fill>
      <x:patternFill patternType="solid">
        <x:fgColor rgb="FFD9EAD3"/>
      </x:patternFill>
    </x:fill>
    <x:fill>
      <x:patternFill patternType="solid">
        <x:fgColor rgb="FFFCE5CD"/>
      </x:patternFill>
    </x:fill>
    <x:fill>
      <x:patternFill patternType="solid">
        <x:fgColor rgb="FFF4CCCC"/>
      </x:patternFill>
    </x:fill>
    <x:fill>
      <x:patternFill patternType="solid">
        <x:fgColor rgb="FFE4DFEC"/>
      </x:patternFill>
    </x:fill>
    <x:fill>
      <x:patternFill patternType="solid">
        <x:fgColor rgb="FFDDEBF7"/>
      </x:patternFill>
    </x:fill>
    <x:fill>
      <x:patternFill patternType="solid">
        <x:fgColor rgb="FF292929"/>
      </x:patternFill>
    </x:fill>
    <x:fill>
      <x:patternFill patternType="solid">
        <x:fgColor rgb="FFFFFFFF"/>
      </x:patternFill>
    </x:fill>
    <x:fill>
      <x:patternFill patternType="solid">
        <x:fgColor rgb="FFF2F4F3"/>
      </x:patternFill>
    </x:fill>
    <x:fill>
      <x:patternFill patternType="solid">
        <x:fgColor rgb="FFE4DFEC"/>
      </x:patternFill>
    </x:fill>
  </x:fills>
  <x:borders count="21">
    <x:border/>
    <x:border>
      <x:left style="thin">
        <x:color rgb="FF445566"/>
      </x:left>
      <x:right style="thin">
        <x:color rgb="FF445566"/>
      </x:right>
      <x:top style="thin">
        <x:color rgb="FF445566"/>
      </x:top>
      <x:bottom style="thin">
        <x:color rgb="FF445566"/>
      </x:bottom>
    </x:border>
    <x:border>
      <x:bottom style="thin">
        <x:color rgb="FFCBD5D1"/>
      </x:bottom>
    </x:border>
    <x:border>
      <x:top style="thin">
        <x:color rgb="FFCBD5D1"/>
      </x:top>
      <x:bottom style="thin">
        <x:color rgb="FFCBD5D1"/>
      </x:bottom>
    </x:border>
    <x:border>
      <x:top style="thin">
        <x:color rgb="FFCBD5D1"/>
      </x:top>
    </x:border>
    <x:border>
      <x:left style="medium">
        <x:color rgb="FF17365D"/>
      </x:left>
      <x:top style="medium">
        <x:color rgb="FF17365D"/>
      </x:top>
    </x:border>
    <x:border>
      <x:top style="medium">
        <x:color rgb="FF17365D"/>
      </x:top>
    </x:border>
    <x:border>
      <x:right style="medium">
        <x:color rgb="FF17365D"/>
      </x:right>
      <x:top style="medium">
        <x:color rgb="FF17365D"/>
      </x:top>
    </x:border>
    <x:border>
      <x:left style="medium">
        <x:color rgb="FF17365D"/>
      </x:left>
    </x:border>
    <x:border>
      <x:right style="medium">
        <x:color rgb="FF17365D"/>
      </x:right>
    </x:border>
    <x:border>
      <x:left style="medium">
        <x:color rgb="FF17365D"/>
      </x:left>
      <x:bottom style="medium">
        <x:color rgb="FF17365D"/>
      </x:bottom>
    </x:border>
    <x:border>
      <x:bottom style="medium">
        <x:color rgb="FF17365D"/>
      </x:bottom>
    </x:border>
    <x:border>
      <x:right style="medium">
        <x:color rgb="FF17365D"/>
      </x:right>
      <x:bottom style="medium">
        <x:color rgb="FF17365D"/>
      </x:bottom>
    </x:border>
    <x:border>
      <x:left style="medium">
        <x:color rgb="FFC7FF00"/>
      </x:left>
      <x:top style="medium">
        <x:color rgb="FFC7FF00"/>
      </x:top>
    </x:border>
    <x:border>
      <x:top style="medium">
        <x:color rgb="FFC7FF00"/>
      </x:top>
    </x:border>
    <x:border>
      <x:right style="medium">
        <x:color rgb="FFC7FF00"/>
      </x:right>
      <x:top style="medium">
        <x:color rgb="FFC7FF00"/>
      </x:top>
    </x:border>
    <x:border>
      <x:left style="medium">
        <x:color rgb="FFC7FF00"/>
      </x:left>
    </x:border>
    <x:border>
      <x:right style="medium">
        <x:color rgb="FFC7FF00"/>
      </x:right>
    </x:border>
    <x:border>
      <x:left style="medium">
        <x:color rgb="FFC7FF00"/>
      </x:left>
      <x:bottom style="medium">
        <x:color rgb="FFC7FF00"/>
      </x:bottom>
    </x:border>
    <x:border>
      <x:bottom style="medium">
        <x:color rgb="FFC7FF00"/>
      </x:bottom>
    </x:border>
    <x:border>
      <x:right style="medium">
        <x:color rgb="FFC7FF00"/>
      </x:right>
      <x:bottom style="medium">
        <x:color rgb="FFC7FF00"/>
      </x:bottom>
    </x:border>
  </x:borders>
  <x:cellStyleXfs count="1">
    <x:xf numFmtId="0" fontId="0" fillId="0" borderId="0"/>
  </x:cellStyleXfs>
  <x:cellXfs count="2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200" fontId="0" fillId="5" borderId="2" xfId="0" applyNumberFormat="1" applyFont="1" applyFill="1" applyBorder="1"/>
    <x:xf numFmtId="200" fontId="0" fillId="5" borderId="3" xfId="0" applyNumberFormat="1" applyFont="1" applyFill="1" applyBorder="1"/>
    <x:xf numFmtId="200" fontId="0" fillId="5" borderId="4" xfId="0" applyNumberFormat="1" applyFont="1" applyFill="1" applyBorder="1"/>
    <x:xf numFmtId="201" fontId="0" fillId="5" borderId="2" xfId="0" applyNumberFormat="1" applyFont="1" applyFill="1" applyBorder="1"/>
    <x:xf numFmtId="201" fontId="0" fillId="5" borderId="3" xfId="0" applyNumberFormat="1" applyFont="1" applyFill="1" applyBorder="1"/>
    <x:xf numFmtId="201" fontId="0" fillId="5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6" borderId="0" xfId="0" applyNumberFormat="1" applyFont="1" applyFill="1" applyBorder="1"/>
    <x:xf numFmtId="200" fontId="0" fillId="5" borderId="0" xfId="0" applyNumberFormat="1" applyFont="1" applyFill="1" applyBorder="1"/>
    <x:xf numFmtId="200" fontId="0" fillId="6" borderId="0" xfId="0" applyNumberFormat="1" applyFont="1" applyFill="1" applyBorder="1"/>
    <x:xf numFmtId="201" fontId="0" fillId="5" borderId="0" xfId="0" applyNumberFormat="1" applyFont="1" applyFill="1" applyBorder="1"/>
    <x:xf numFmtId="201" fontId="0" fillId="6" borderId="0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2" borderId="5" xfId="0" applyNumberFormat="1" applyFont="1" applyFill="1" applyBorder="1"/>
    <x:xf numFmtId="0" fontId="0" fillId="2" borderId="6" xfId="0" applyNumberFormat="1" applyFont="1" applyFill="1" applyBorder="1"/>
    <x:xf numFmtId="0" fontId="0" fillId="2" borderId="8" xfId="0" applyNumberFormat="1" applyFont="1" applyFill="1" applyBorder="1"/>
    <x:xf numFmtId="0" fontId="0" fillId="2" borderId="10" xfId="0" applyNumberFormat="1" applyFont="1" applyFill="1" applyBorder="1"/>
    <x:xf numFmtId="0" fontId="0" fillId="2" borderId="11" xfId="0" applyNumberFormat="1" applyFont="1" applyFill="1" applyBorder="1"/>
    <x:xf numFmtId="0" fontId="4" fillId="2" borderId="5" xfId="0" applyNumberFormat="1" applyFont="1" applyFill="1" applyBorder="1"/>
    <x:xf numFmtId="0" fontId="4" fillId="2" borderId="6" xfId="0" applyNumberFormat="1" applyFont="1" applyFill="1" applyBorder="1"/>
    <x:xf numFmtId="0" fontId="4" fillId="2" borderId="8" xfId="0" applyNumberFormat="1" applyFont="1" applyFill="1" applyBorder="1"/>
    <x:xf numFmtId="0" fontId="4" fillId="2" borderId="0" xfId="0" applyNumberFormat="1" applyFont="1" applyFill="1" applyBorder="1"/>
    <x:xf numFmtId="0" fontId="4" fillId="2" borderId="10" xfId="0" applyNumberFormat="1" applyFont="1" applyFill="1" applyBorder="1"/>
    <x:xf numFmtId="0" fontId="4" fillId="2" borderId="11" xfId="0" applyNumberFormat="1" applyFont="1" applyFill="1" applyBorder="1"/>
    <x:xf numFmtId="0" fontId="4" fillId="2" borderId="7" xfId="0" applyNumberFormat="1" applyFont="1" applyFill="1" applyBorder="1"/>
    <x:xf numFmtId="0" fontId="4" fillId="2" borderId="9" xfId="0" applyNumberFormat="1" applyFont="1" applyFill="1" applyBorder="1"/>
    <x:xf numFmtId="0" fontId="4" fillId="2" borderId="12" xfId="0" applyNumberFormat="1" applyFont="1" applyFill="1" applyBorder="1"/>
    <x:xf numFmtId="0" fontId="4" fillId="2" borderId="5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wrapText="1"/>
    </x:xf>
    <x:xf numFmtId="0" fontId="4" fillId="2" borderId="12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horizontal="center" wrapText="1"/>
    </x:xf>
    <x:xf numFmtId="0" fontId="4" fillId="2" borderId="7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10" xfId="0" applyNumberFormat="1" applyFont="1" applyFill="1" applyBorder="1" applyAlignment="1">
      <x:alignment horizontal="center" wrapText="1"/>
    </x:xf>
    <x:xf numFmtId="0" fontId="4" fillId="2" borderId="12" xfId="0" applyNumberFormat="1" applyFont="1" applyFill="1" applyBorder="1" applyAlignment="1">
      <x:alignment horizont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0" fillId="7" borderId="6" xfId="0" applyNumberFormat="1" applyFont="1" applyFill="1" applyBorder="1"/>
    <x:xf numFmtId="0" fontId="0" fillId="7" borderId="0" xfId="0" applyNumberFormat="1" applyFont="1" applyFill="1" applyBorder="1"/>
    <x:xf numFmtId="0" fontId="0" fillId="7" borderId="11" xfId="0" applyNumberFormat="1" applyFont="1" applyFill="1" applyBorder="1"/>
    <x:xf numFmtId="0" fontId="5" fillId="7" borderId="6" xfId="0" applyNumberFormat="1" applyFont="1" applyFill="1" applyBorder="1"/>
    <x:xf numFmtId="0" fontId="5" fillId="7" borderId="0" xfId="0" applyNumberFormat="1" applyFont="1" applyFill="1" applyBorder="1"/>
    <x:xf numFmtId="0" fontId="5" fillId="7" borderId="11" xfId="0" applyNumberFormat="1" applyFont="1" applyFill="1" applyBorder="1"/>
    <x:xf numFmtId="0" fontId="5" fillId="7" borderId="5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  <x:xf numFmtId="0" fontId="5" fillId="7" borderId="12" xfId="0" applyNumberFormat="1" applyFont="1" applyFill="1" applyBorder="1"/>
    <x:xf numFmtId="0" fontId="5" fillId="7" borderId="5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horizontal="center" wrapText="1"/>
    </x:xf>
    <x:xf numFmtId="0" fontId="5" fillId="7" borderId="7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9" xfId="0" applyNumberFormat="1" applyFont="1" applyFill="1" applyBorder="1" applyAlignment="1">
      <x:alignment horizontal="center" wrapText="1"/>
    </x:xf>
    <x:xf numFmtId="0" fontId="5" fillId="7" borderId="10" xfId="0" applyNumberFormat="1" applyFont="1" applyFill="1" applyBorder="1" applyAlignment="1">
      <x:alignment horizontal="center" wrapText="1"/>
    </x:xf>
    <x:xf numFmtId="0" fontId="5" fillId="7" borderId="12" xfId="0" applyNumberFormat="1" applyFont="1" applyFill="1" applyBorder="1" applyAlignment="1">
      <x:alignment horizont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0" fontId="5" fillId="7" borderId="12" xfId="0" applyNumberFormat="1" applyFont="1" applyFill="1" applyBorder="1" applyAlignment="1">
      <x:alignment horizontal="center" vertical="center" wrapText="1"/>
    </x:xf>
    <x:xf numFmtId="0" fontId="0" fillId="8" borderId="6" xfId="0" applyNumberFormat="1" applyFont="1" applyFill="1" applyBorder="1"/>
    <x:xf numFmtId="0" fontId="0" fillId="8" borderId="0" xfId="0" applyNumberFormat="1" applyFont="1" applyFill="1" applyBorder="1"/>
    <x:xf numFmtId="0" fontId="0" fillId="8" borderId="11" xfId="0" applyNumberFormat="1" applyFont="1" applyFill="1" applyBorder="1"/>
    <x:xf numFmtId="0" fontId="5" fillId="8" borderId="6" xfId="0" applyNumberFormat="1" applyFont="1" applyFill="1" applyBorder="1"/>
    <x:xf numFmtId="0" fontId="5" fillId="8" borderId="0" xfId="0" applyNumberFormat="1" applyFont="1" applyFill="1" applyBorder="1"/>
    <x:xf numFmtId="0" fontId="5" fillId="8" borderId="11" xfId="0" applyNumberFormat="1" applyFont="1" applyFill="1" applyBorder="1"/>
    <x:xf numFmtId="0" fontId="5" fillId="8" borderId="5" xfId="0" applyNumberFormat="1" applyFont="1" applyFill="1" applyBorder="1"/>
    <x:xf numFmtId="0" fontId="5" fillId="8" borderId="7" xfId="0" applyNumberFormat="1" applyFont="1" applyFill="1" applyBorder="1"/>
    <x:xf numFmtId="0" fontId="5" fillId="8" borderId="8" xfId="0" applyNumberFormat="1" applyFont="1" applyFill="1" applyBorder="1"/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12" xfId="0" applyNumberFormat="1" applyFont="1" applyFill="1" applyBorder="1"/>
    <x:xf numFmtId="0" fontId="5" fillId="8" borderId="5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wrapText="1"/>
    </x:xf>
    <x:xf numFmtId="0" fontId="5" fillId="8" borderId="12" xfId="0" applyNumberFormat="1" applyFont="1" applyFill="1" applyBorder="1" applyAlignment="1">
      <x:alignment wrapText="1"/>
    </x:xf>
    <x:xf numFmtId="0" fontId="5" fillId="8" borderId="5" xfId="0" applyNumberFormat="1" applyFont="1" applyFill="1" applyBorder="1" applyAlignment="1">
      <x:alignment horizontal="center" wrapText="1"/>
    </x:xf>
    <x:xf numFmtId="0" fontId="5" fillId="8" borderId="7" xfId="0" applyNumberFormat="1" applyFont="1" applyFill="1" applyBorder="1" applyAlignment="1">
      <x:alignment horizontal="center" wrapText="1"/>
    </x:xf>
    <x:xf numFmtId="0" fontId="5" fillId="8" borderId="8" xfId="0" applyNumberFormat="1" applyFont="1" applyFill="1" applyBorder="1" applyAlignment="1">
      <x:alignment horizontal="center" wrapText="1"/>
    </x:xf>
    <x:xf numFmtId="0" fontId="5" fillId="8" borderId="9" xfId="0" applyNumberFormat="1" applyFont="1" applyFill="1" applyBorder="1" applyAlignment="1">
      <x:alignment horizontal="center" wrapText="1"/>
    </x:xf>
    <x:xf numFmtId="0" fontId="5" fillId="8" borderId="10" xfId="0" applyNumberFormat="1" applyFont="1" applyFill="1" applyBorder="1" applyAlignment="1">
      <x:alignment horizontal="center" wrapText="1"/>
    </x:xf>
    <x:xf numFmtId="0" fontId="5" fillId="8" borderId="12" xfId="0" applyNumberFormat="1" applyFont="1" applyFill="1" applyBorder="1" applyAlignment="1">
      <x:alignment horizont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5" fillId="8" borderId="7" xfId="0" applyNumberFormat="1" applyFont="1" applyFill="1" applyBorder="1" applyAlignment="1">
      <x:alignment horizontal="center" vertical="center" wrapText="1"/>
    </x:xf>
    <x:xf numFmtId="0" fontId="5" fillId="8" borderId="8" xfId="0" applyNumberFormat="1" applyFont="1" applyFill="1" applyBorder="1" applyAlignment="1">
      <x:alignment horizontal="center" vertical="center" wrapText="1"/>
    </x:xf>
    <x:xf numFmtId="0" fontId="5" fillId="8" borderId="9" xfId="0" applyNumberFormat="1" applyFont="1" applyFill="1" applyBorder="1" applyAlignment="1">
      <x:alignment horizontal="center" vertical="center" wrapText="1"/>
    </x:xf>
    <x:xf numFmtId="0" fontId="5" fillId="8" borderId="10" xfId="0" applyNumberFormat="1" applyFont="1" applyFill="1" applyBorder="1" applyAlignment="1">
      <x:alignment horizontal="center" vertical="center" wrapText="1"/>
    </x:xf>
    <x:xf numFmtId="0" fontId="5" fillId="8" borderId="12" xfId="0" applyNumberFormat="1" applyFont="1" applyFill="1" applyBorder="1" applyAlignment="1">
      <x:alignment horizontal="center" vertical="center" wrapText="1"/>
    </x:xf>
    <x:xf numFmtId="0" fontId="0" fillId="9" borderId="6" xfId="0" applyNumberFormat="1" applyFont="1" applyFill="1" applyBorder="1"/>
    <x:xf numFmtId="0" fontId="0" fillId="9" borderId="0" xfId="0" applyNumberFormat="1" applyFont="1" applyFill="1" applyBorder="1"/>
    <x:xf numFmtId="0" fontId="0" fillId="9" borderId="11" xfId="0" applyNumberFormat="1" applyFont="1" applyFill="1" applyBorder="1"/>
    <x:xf numFmtId="0" fontId="5" fillId="9" borderId="6" xfId="0" applyNumberFormat="1" applyFont="1" applyFill="1" applyBorder="1"/>
    <x:xf numFmtId="0" fontId="5" fillId="9" borderId="0" xfId="0" applyNumberFormat="1" applyFont="1" applyFill="1" applyBorder="1"/>
    <x:xf numFmtId="0" fontId="5" fillId="9" borderId="11" xfId="0" applyNumberFormat="1" applyFont="1" applyFill="1" applyBorder="1"/>
    <x:xf numFmtId="0" fontId="5" fillId="9" borderId="5" xfId="0" applyNumberFormat="1" applyFont="1" applyFill="1" applyBorder="1"/>
    <x:xf numFmtId="0" fontId="5" fillId="9" borderId="7" xfId="0" applyNumberFormat="1" applyFont="1" applyFill="1" applyBorder="1"/>
    <x:xf numFmtId="0" fontId="5" fillId="9" borderId="8" xfId="0" applyNumberFormat="1" applyFont="1" applyFill="1" applyBorder="1"/>
    <x:xf numFmtId="0" fontId="5" fillId="9" borderId="9" xfId="0" applyNumberFormat="1" applyFont="1" applyFill="1" applyBorder="1"/>
    <x:xf numFmtId="0" fontId="5" fillId="9" borderId="10" xfId="0" applyNumberFormat="1" applyFont="1" applyFill="1" applyBorder="1"/>
    <x:xf numFmtId="0" fontId="5" fillId="9" borderId="12" xfId="0" applyNumberFormat="1" applyFont="1" applyFill="1" applyBorder="1"/>
    <x:xf numFmtId="0" fontId="5" fillId="9" borderId="5" xfId="0" applyNumberFormat="1" applyFont="1" applyFill="1" applyBorder="1" applyAlignment="1">
      <x:alignment wrapText="1"/>
    </x:xf>
    <x:xf numFmtId="0" fontId="5" fillId="9" borderId="7" xfId="0" applyNumberFormat="1" applyFont="1" applyFill="1" applyBorder="1" applyAlignment="1">
      <x:alignment wrapText="1"/>
    </x:xf>
    <x:xf numFmtId="0" fontId="5" fillId="9" borderId="8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wrapText="1"/>
    </x:xf>
    <x:xf numFmtId="0" fontId="5" fillId="9" borderId="10" xfId="0" applyNumberFormat="1" applyFont="1" applyFill="1" applyBorder="1" applyAlignment="1">
      <x:alignment wrapText="1"/>
    </x:xf>
    <x:xf numFmtId="0" fontId="5" fillId="9" borderId="12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horizontal="center" wrapText="1"/>
    </x:xf>
    <x:xf numFmtId="0" fontId="5" fillId="9" borderId="7" xfId="0" applyNumberFormat="1" applyFont="1" applyFill="1" applyBorder="1" applyAlignment="1">
      <x:alignment horizontal="center" wrapText="1"/>
    </x:xf>
    <x:xf numFmtId="0" fontId="5" fillId="9" borderId="8" xfId="0" applyNumberFormat="1" applyFont="1" applyFill="1" applyBorder="1" applyAlignment="1">
      <x:alignment horizontal="center" wrapText="1"/>
    </x:xf>
    <x:xf numFmtId="0" fontId="5" fillId="9" borderId="9" xfId="0" applyNumberFormat="1" applyFont="1" applyFill="1" applyBorder="1" applyAlignment="1">
      <x:alignment horizontal="center" wrapText="1"/>
    </x:xf>
    <x:xf numFmtId="0" fontId="5" fillId="9" borderId="10" xfId="0" applyNumberFormat="1" applyFont="1" applyFill="1" applyBorder="1" applyAlignment="1">
      <x:alignment horizontal="center" wrapText="1"/>
    </x:xf>
    <x:xf numFmtId="0" fontId="5" fillId="9" borderId="12" xfId="0" applyNumberFormat="1" applyFont="1" applyFill="1" applyBorder="1" applyAlignment="1">
      <x:alignment horizontal="center" wrapText="1"/>
    </x:xf>
    <x:xf numFmtId="0" fontId="5" fillId="9" borderId="5" xfId="0" applyNumberFormat="1" applyFont="1" applyFill="1" applyBorder="1" applyAlignment="1">
      <x:alignment horizontal="center" vertical="center" wrapText="1"/>
    </x:xf>
    <x:xf numFmtId="0" fontId="5" fillId="9" borderId="7" xfId="0" applyNumberFormat="1" applyFont="1" applyFill="1" applyBorder="1" applyAlignment="1">
      <x:alignment horizontal="center" vertical="center" wrapText="1"/>
    </x:xf>
    <x:xf numFmtId="0" fontId="5" fillId="9" borderId="8" xfId="0" applyNumberFormat="1" applyFont="1" applyFill="1" applyBorder="1" applyAlignment="1">
      <x:alignment horizontal="center" vertical="center" wrapText="1"/>
    </x:xf>
    <x:xf numFmtId="0" fontId="5" fillId="9" borderId="9" xfId="0" applyNumberFormat="1" applyFont="1" applyFill="1" applyBorder="1" applyAlignment="1">
      <x:alignment horizontal="center" vertical="center" wrapText="1"/>
    </x:xf>
    <x:xf numFmtId="0" fontId="5" fillId="9" borderId="10" xfId="0" applyNumberFormat="1" applyFont="1" applyFill="1" applyBorder="1" applyAlignment="1">
      <x:alignment horizontal="center" vertical="center" wrapText="1"/>
    </x:xf>
    <x:xf numFmtId="0" fontId="5" fillId="9" borderId="12" xfId="0" applyNumberFormat="1" applyFont="1" applyFill="1" applyBorder="1" applyAlignment="1">
      <x:alignment horizontal="center" vertical="center" wrapText="1"/>
    </x:xf>
    <x:xf numFmtId="0" fontId="0" fillId="10" borderId="6" xfId="0" applyNumberFormat="1" applyFont="1" applyFill="1" applyBorder="1"/>
    <x:xf numFmtId="0" fontId="0" fillId="10" borderId="0" xfId="0" applyNumberFormat="1" applyFont="1" applyFill="1" applyBorder="1"/>
    <x:xf numFmtId="0" fontId="0" fillId="10" borderId="11" xfId="0" applyNumberFormat="1" applyFont="1" applyFill="1" applyBorder="1"/>
    <x:xf numFmtId="0" fontId="5" fillId="10" borderId="6" xfId="0" applyNumberFormat="1" applyFont="1" applyFill="1" applyBorder="1"/>
    <x:xf numFmtId="0" fontId="5" fillId="10" borderId="0" xfId="0" applyNumberFormat="1" applyFont="1" applyFill="1" applyBorder="1"/>
    <x:xf numFmtId="0" fontId="5" fillId="10" borderId="11" xfId="0" applyNumberFormat="1" applyFont="1" applyFill="1" applyBorder="1"/>
    <x:xf numFmtId="0" fontId="5" fillId="10" borderId="5" xfId="0" applyNumberFormat="1" applyFont="1" applyFill="1" applyBorder="1"/>
    <x:xf numFmtId="0" fontId="5" fillId="10" borderId="7" xfId="0" applyNumberFormat="1" applyFont="1" applyFill="1" applyBorder="1"/>
    <x:xf numFmtId="0" fontId="5" fillId="10" borderId="8" xfId="0" applyNumberFormat="1" applyFont="1" applyFill="1" applyBorder="1"/>
    <x:xf numFmtId="0" fontId="5" fillId="10" borderId="9" xfId="0" applyNumberFormat="1" applyFont="1" applyFill="1" applyBorder="1"/>
    <x:xf numFmtId="0" fontId="5" fillId="10" borderId="10" xfId="0" applyNumberFormat="1" applyFont="1" applyFill="1" applyBorder="1"/>
    <x:xf numFmtId="0" fontId="5" fillId="10" borderId="12" xfId="0" applyNumberFormat="1" applyFont="1" applyFill="1" applyBorder="1"/>
    <x:xf numFmtId="0" fontId="5" fillId="10" borderId="5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wrapText="1"/>
    </x:xf>
    <x:xf numFmtId="0" fontId="5" fillId="10" borderId="8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wrapText="1"/>
    </x:xf>
    <x:xf numFmtId="0" fontId="5" fillId="10" borderId="10" xfId="0" applyNumberFormat="1" applyFont="1" applyFill="1" applyBorder="1" applyAlignment="1">
      <x:alignment wrapText="1"/>
    </x:xf>
    <x:xf numFmtId="0" fontId="5" fillId="10" borderId="12" xfId="0" applyNumberFormat="1" applyFont="1" applyFill="1" applyBorder="1" applyAlignment="1">
      <x:alignment wrapText="1"/>
    </x:xf>
    <x:xf numFmtId="0" fontId="5" fillId="10" borderId="5" xfId="0" applyNumberFormat="1" applyFont="1" applyFill="1" applyBorder="1" applyAlignment="1">
      <x:alignment horizontal="center" wrapText="1"/>
    </x:xf>
    <x:xf numFmtId="0" fontId="5" fillId="10" borderId="7" xfId="0" applyNumberFormat="1" applyFont="1" applyFill="1" applyBorder="1" applyAlignment="1">
      <x:alignment horizontal="center" wrapText="1"/>
    </x:xf>
    <x:xf numFmtId="0" fontId="5" fillId="10" borderId="8" xfId="0" applyNumberFormat="1" applyFont="1" applyFill="1" applyBorder="1" applyAlignment="1">
      <x:alignment horizontal="center" wrapText="1"/>
    </x:xf>
    <x:xf numFmtId="0" fontId="5" fillId="10" borderId="9" xfId="0" applyNumberFormat="1" applyFont="1" applyFill="1" applyBorder="1" applyAlignment="1">
      <x:alignment horizontal="center" wrapText="1"/>
    </x:xf>
    <x:xf numFmtId="0" fontId="5" fillId="10" borderId="10" xfId="0" applyNumberFormat="1" applyFont="1" applyFill="1" applyBorder="1" applyAlignment="1">
      <x:alignment horizontal="center" wrapText="1"/>
    </x:xf>
    <x:xf numFmtId="0" fontId="5" fillId="10" borderId="12" xfId="0" applyNumberFormat="1" applyFont="1" applyFill="1" applyBorder="1" applyAlignment="1">
      <x:alignment horizontal="center" wrapText="1"/>
    </x:xf>
    <x:xf numFmtId="0" fontId="5" fillId="10" borderId="5" xfId="0" applyNumberFormat="1" applyFont="1" applyFill="1" applyBorder="1" applyAlignment="1">
      <x:alignment horizontal="center" vertical="center" wrapText="1"/>
    </x:xf>
    <x:xf numFmtId="0" fontId="5" fillId="10" borderId="7" xfId="0" applyNumberFormat="1" applyFont="1" applyFill="1" applyBorder="1" applyAlignment="1">
      <x:alignment horizontal="center" vertical="center" wrapText="1"/>
    </x:xf>
    <x:xf numFmtId="0" fontId="5" fillId="10" borderId="8" xfId="0" applyNumberFormat="1" applyFont="1" applyFill="1" applyBorder="1" applyAlignment="1">
      <x:alignment horizontal="center" vertical="center" wrapText="1"/>
    </x:xf>
    <x:xf numFmtId="0" fontId="5" fillId="10" borderId="9" xfId="0" applyNumberFormat="1" applyFont="1" applyFill="1" applyBorder="1" applyAlignment="1">
      <x:alignment horizontal="center" vertical="center" wrapText="1"/>
    </x:xf>
    <x:xf numFmtId="0" fontId="5" fillId="10" borderId="10" xfId="0" applyNumberFormat="1" applyFont="1" applyFill="1" applyBorder="1" applyAlignment="1">
      <x:alignment horizontal="center" vertical="center" wrapText="1"/>
    </x:xf>
    <x:xf numFmtId="0" fontId="5" fillId="10" borderId="12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0" fillId="11" borderId="2" xfId="0" applyNumberFormat="1" applyFont="1" applyFill="1" applyBorder="1"/>
    <x:xf numFmtId="0" fontId="0" fillId="11" borderId="3" xfId="0" applyNumberFormat="1" applyFont="1" applyFill="1" applyBorder="1"/>
    <x:xf numFmtId="0" fontId="0" fillId="11" borderId="4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13" xfId="0" applyNumberFormat="1" applyFont="1" applyFill="1" applyBorder="1"/>
    <x:xf numFmtId="0" fontId="6" fillId="12" borderId="14" xfId="0" applyNumberFormat="1" applyFont="1" applyFill="1" applyBorder="1"/>
    <x:xf numFmtId="0" fontId="6" fillId="12" borderId="15" xfId="0" applyNumberFormat="1" applyFont="1" applyFill="1" applyBorder="1"/>
    <x:xf numFmtId="0" fontId="6" fillId="12" borderId="16" xfId="0" applyNumberFormat="1" applyFont="1" applyFill="1" applyBorder="1"/>
    <x:xf numFmtId="0" fontId="6" fillId="12" borderId="17" xfId="0" applyNumberFormat="1" applyFont="1" applyFill="1" applyBorder="1"/>
    <x:xf numFmtId="0" fontId="6" fillId="12" borderId="18" xfId="0" applyNumberFormat="1" applyFont="1" applyFill="1" applyBorder="1"/>
    <x:xf numFmtId="0" fontId="6" fillId="12" borderId="19" xfId="0" applyNumberFormat="1" applyFont="1" applyFill="1" applyBorder="1"/>
    <x:xf numFmtId="0" fontId="6" fillId="12" borderId="20" xfId="0" applyNumberFormat="1" applyFont="1" applyFill="1" applyBorder="1"/>
    <x:xf numFmtId="0" fontId="6" fillId="12" borderId="13" xfId="0" applyNumberFormat="1" applyFont="1" applyFill="1" applyBorder="1" applyAlignment="1">
      <x:alignment wrapText="1"/>
    </x:xf>
    <x:xf numFmtId="0" fontId="6" fillId="12" borderId="14" xfId="0" applyNumberFormat="1" applyFont="1" applyFill="1" applyBorder="1" applyAlignment="1">
      <x:alignment wrapText="1"/>
    </x:xf>
    <x:xf numFmtId="0" fontId="6" fillId="12" borderId="15" xfId="0" applyNumberFormat="1" applyFont="1" applyFill="1" applyBorder="1" applyAlignment="1">
      <x:alignment wrapText="1"/>
    </x:xf>
    <x:xf numFmtId="0" fontId="6" fillId="12" borderId="16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wrapText="1"/>
    </x:xf>
    <x:xf numFmtId="0" fontId="6" fillId="12" borderId="17" xfId="0" applyNumberFormat="1" applyFont="1" applyFill="1" applyBorder="1" applyAlignment="1">
      <x:alignment wrapText="1"/>
    </x:xf>
    <x:xf numFmtId="0" fontId="6" fillId="12" borderId="18" xfId="0" applyNumberFormat="1" applyFont="1" applyFill="1" applyBorder="1" applyAlignment="1">
      <x:alignment wrapText="1"/>
    </x:xf>
    <x:xf numFmtId="0" fontId="6" fillId="12" borderId="19" xfId="0" applyNumberFormat="1" applyFont="1" applyFill="1" applyBorder="1" applyAlignment="1">
      <x:alignment wrapText="1"/>
    </x:xf>
    <x:xf numFmtId="0" fontId="6" fillId="12" borderId="20" xfId="0" applyNumberFormat="1" applyFont="1" applyFill="1" applyBorder="1" applyAlignment="1">
      <x:alignment wrapText="1"/>
    </x:xf>
    <x:xf numFmtId="0" fontId="6" fillId="12" borderId="13" xfId="0" applyNumberFormat="1" applyFont="1" applyFill="1" applyBorder="1" applyAlignment="1">
      <x:alignment vertical="center" wrapText="1"/>
    </x:xf>
    <x:xf numFmtId="0" fontId="6" fillId="12" borderId="14" xfId="0" applyNumberFormat="1" applyFont="1" applyFill="1" applyBorder="1" applyAlignment="1">
      <x:alignment vertical="center" wrapText="1"/>
    </x:xf>
    <x:xf numFmtId="0" fontId="6" fillId="12" borderId="15" xfId="0" applyNumberFormat="1" applyFont="1" applyFill="1" applyBorder="1" applyAlignment="1">
      <x:alignment vertical="center" wrapText="1"/>
    </x:xf>
    <x:xf numFmtId="0" fontId="6" fillId="12" borderId="16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vertical="center" wrapText="1"/>
    </x:xf>
    <x:xf numFmtId="0" fontId="6" fillId="12" borderId="17" xfId="0" applyNumberFormat="1" applyFont="1" applyFill="1" applyBorder="1" applyAlignment="1">
      <x:alignment vertical="center" wrapText="1"/>
    </x:xf>
    <x:xf numFmtId="0" fontId="6" fillId="12" borderId="18" xfId="0" applyNumberFormat="1" applyFont="1" applyFill="1" applyBorder="1" applyAlignment="1">
      <x:alignment vertical="center" wrapText="1"/>
    </x:xf>
    <x:xf numFmtId="0" fontId="6" fillId="12" borderId="19" xfId="0" applyNumberFormat="1" applyFont="1" applyFill="1" applyBorder="1" applyAlignment="1">
      <x:alignment vertical="center" wrapText="1"/>
    </x:xf>
    <x:xf numFmtId="0" fontId="6" fillId="12" borderId="2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0" fillId="13" xfId="0" applyNumberFormat="1" applyFont="1" applyFill="1" applyBorder="0"/>
    <x:xf numFmtId="0" fontId="0" fillId="14" borderId="0" xfId="0" applyNumberFormat="1" applyFont="1" applyFill="1" applyBorder="1"/>
    <x:xf numFmtId="0" fontId="0" fillId="14" xfId="0" applyNumberFormat="1" applyFont="1" applyFill="1" applyBorder="0"/>
    <x:xf numFmtId="201" fontId="0" fillId="13" xfId="0" applyNumberFormat="1" applyFont="1" applyFill="1" applyBorder="0"/>
    <x:xf numFmtId="201" fontId="0" fillId="14" xfId="0" applyNumberFormat="1" applyFont="1" applyFill="1" applyBorder="0"/>
    <x:xf numFmtId="200" fontId="0" fillId="13" xfId="0" applyNumberFormat="1" applyFont="1" applyFill="1" applyBorder="0"/>
    <x:xf numFmtId="200" fontId="0" fillId="14" xfId="0" applyNumberFormat="1" applyFont="1" applyFill="1" applyBorder="0"/>
    <x:xf numFmtId="0" fontId="5" fillId="15" borderId="5" xfId="0" applyNumberFormat="1" applyFont="1" applyFill="1" applyBorder="1" applyAlignment="1">
      <x:alignment horizontal="center" vertical="center" wrapText="1"/>
    </x:xf>
    <x:xf numFmtId="0" fontId="5" fillId="15" borderId="7" xfId="0" applyNumberFormat="1" applyFont="1" applyFill="1" applyBorder="1" applyAlignment="1">
      <x:alignment horizontal="center" vertical="center" wrapText="1"/>
    </x:xf>
    <x:xf numFmtId="0" fontId="0" fillId="15" borderId="7" xfId="0" applyNumberFormat="1" applyFont="1" applyFill="1" applyBorder="1"/>
    <x:xf numFmtId="0" fontId="5" fillId="15" borderId="8" xfId="0" applyNumberFormat="1" applyFont="1" applyFill="1" applyBorder="1" applyAlignment="1">
      <x:alignment horizontal="center" vertical="center" wrapText="1"/>
    </x:xf>
    <x:xf numFmtId="0" fontId="5" fillId="15" borderId="9" xfId="0" applyNumberFormat="1" applyFont="1" applyFill="1" applyBorder="1" applyAlignment="1">
      <x:alignment horizontal="center" vertical="center" wrapText="1"/>
    </x:xf>
    <x:xf numFmtId="0" fontId="0" fillId="15" borderId="9" xfId="0" applyNumberFormat="1" applyFont="1" applyFill="1" applyBorder="1"/>
    <x:xf numFmtId="0" fontId="5" fillId="15" borderId="10" xfId="0" applyNumberFormat="1" applyFont="1" applyFill="1" applyBorder="1" applyAlignment="1">
      <x:alignment horizontal="center" vertical="center" wrapText="1"/>
    </x:xf>
    <x:xf numFmtId="0" fontId="5" fillId="15" borderId="12" xfId="0" applyNumberFormat="1" applyFont="1" applyFill="1" applyBorder="1" applyAlignment="1">
      <x:alignment horizontal="center" vertical="center" wrapText="1"/>
    </x:xf>
    <x:xf numFmtId="0" fontId="0" fillId="15" borderId="12" xfId="0" applyNumberFormat="1" applyFont="1" applyFill="1" applyBorder="1"/>
    <x:xf numFmtId="0" fontId="5" fillId="15" borderId="7" xfId="0" applyNumberFormat="1" applyFont="1" applyFill="1" applyBorder="1"/>
    <x:xf numFmtId="0" fontId="5" fillId="15" borderId="9" xfId="0" applyNumberFormat="1" applyFont="1" applyFill="1" applyBorder="1"/>
    <x:xf numFmtId="0" fontId="5" fillId="15" borderId="12" xfId="0" applyNumberFormat="1" applyFont="1" applyFill="1" applyBorder="1"/>
    <x:xf numFmtId="0" fontId="5" fillId="15" borderId="7" xfId="0" applyNumberFormat="1" applyFont="1" applyFill="1" applyBorder="1" applyAlignment="1">
      <x:alignment wrapText="1"/>
    </x:xf>
    <x:xf numFmtId="0" fontId="5" fillId="15" borderId="9" xfId="0" applyNumberFormat="1" applyFont="1" applyFill="1" applyBorder="1" applyAlignment="1">
      <x:alignment wrapText="1"/>
    </x:xf>
    <x:xf numFmtId="0" fontId="5" fillId="15" borderId="12" xfId="0" applyNumberFormat="1" applyFont="1" applyFill="1" applyBorder="1" applyAlignment="1">
      <x:alignment wrapText="1"/>
    </x:xf>
    <x:xf numFmtId="0" fontId="5" fillId="15" borderId="7" xfId="0" applyNumberFormat="1" applyFont="1" applyFill="1" applyBorder="1" applyAlignment="1">
      <x:alignment horizontal="center" wrapText="1"/>
    </x:xf>
    <x:xf numFmtId="0" fontId="5" fillId="15" borderId="9" xfId="0" applyNumberFormat="1" applyFont="1" applyFill="1" applyBorder="1" applyAlignment="1">
      <x:alignment horizontal="center" wrapText="1"/>
    </x:xf>
    <x:xf numFmtId="0" fontId="5" fillId="15" borderId="12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6ae3adffd4450" /><Relationship Type="http://schemas.openxmlformats.org/officeDocument/2006/relationships/theme" Target="/xl/theme/theme1.xml" Id="R255f8130a0974791" /><Relationship Type="http://schemas.openxmlformats.org/officeDocument/2006/relationships/sharedStrings" Target="/xl/sharedStrings.xml" Id="Rfeec544121ed4d6c" /><Relationship Type="http://schemas.openxmlformats.org/officeDocument/2006/relationships/worksheet" Target="/xl/worksheets/sheet1.xml" Id="R41d8d8768cd340ac" /><Relationship Type="http://schemas.openxmlformats.org/officeDocument/2006/relationships/worksheet" Target="/xl/worksheets/sheet2.xml" Id="R431d0ec70a6f4b27" /><Relationship Type="http://schemas.openxmlformats.org/officeDocument/2006/relationships/worksheet" Target="/xl/worksheets/sheet3.xml" Id="R1e6207d08b974373" /><Relationship Type="http://schemas.openxmlformats.org/officeDocument/2006/relationships/worksheet" Target="/xl/worksheets/sheet4.xml" Id="R210576b45e05414f" /><Relationship Type="http://schemas.openxmlformats.org/officeDocument/2006/relationships/worksheet" Target="/xl/worksheets/sheet5.xml" Id="R6ed8ca7d604c4dd5" /><Relationship Type="http://schemas.openxmlformats.org/officeDocument/2006/relationships/worksheet" Target="/xl/worksheets/sheet6.xml" Id="R50fed560e7034410" /><Relationship Type="http://schemas.openxmlformats.org/officeDocument/2006/relationships/worksheet" Target="/xl/worksheets/sheet7.xml" Id="R40a77c6dc06948cf" /><Relationship Type="http://schemas.openxmlformats.org/officeDocument/2006/relationships/worksheet" Target="/xl/worksheets/sheet8.xml" Id="R79ed35cf30854d97" /><Relationship Type="http://schemas.openxmlformats.org/officeDocument/2006/relationships/worksheet" Target="/xl/worksheets/sheet9.xml" Id="Rb0da179bdd434100" /><Relationship Type="http://schemas.openxmlformats.org/officeDocument/2006/relationships/worksheet" Target="/xl/worksheets/sheet10.xml" Id="Rb8b0c449a3bd402c" /><Relationship Type="http://schemas.openxmlformats.org/officeDocument/2006/relationships/worksheet" Target="/xl/worksheets/sheet11.xml" Id="Re7b47d07168847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3f3da81bf74f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Finance Exceptions by Type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'Dashboard'!$A$9:$A$16</c:f>
              <c:strCache>
                <c:ptCount val="0"/>
              </c:strCache>
            </c:strRef>
          </c:cat>
          <c:val>
            <c:numRef>
              <c:f>'Dashboard'!$B$9:$B$16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3f3da81bf74f6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861a9466bbcc44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2" t="str">
        <x:v>PROJ-008 | RAW FINANCE TRANSACTION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Simulated source preserved • transaction entry • no silent correction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34" customHeight="1">
      <x:c r="A4" s="10" t="str">
        <x:v>Transaction ID</x:v>
      </x:c>
      <x:c r="B4" s="10" t="str">
        <x:v>Transaction Date</x:v>
      </x:c>
      <x:c r="C4" s="10" t="str">
        <x:v>Bank Reference</x:v>
      </x:c>
      <x:c r="D4" s="10" t="str">
        <x:v>Vendor / Payee</x:v>
      </x:c>
      <x:c r="E4" s="10" t="str">
        <x:v>Description</x:v>
      </x:c>
      <x:c r="F4" s="10" t="str">
        <x:v>Category (Raw)</x:v>
      </x:c>
      <x:c r="G4" s="10" t="str">
        <x:v>Payment Method</x:v>
      </x:c>
      <x:c r="H4" s="10" t="str">
        <x:v>Currency</x:v>
      </x:c>
      <x:c r="I4" s="10" t="str">
        <x:v>Amount</x:v>
      </x:c>
      <x:c r="J4" s="10" t="str">
        <x:v>Document Ref</x:v>
      </x:c>
      <x:c r="K4" s="10" t="str">
        <x:v>Entry Status</x:v>
      </x:c>
    </x:row>
    <x:row r="5" ht="23" customHeight="1">
      <x:c r="A5" s="12" t="str">
        <x:v>FIN-0001</x:v>
      </x:c>
      <x:c r="B5" s="15" t="n">
        <x:v>46058</x:v>
      </x:c>
      <x:c r="C5" s="12" t="str">
        <x:v>BNK-03001</x:v>
      </x:c>
      <x:c r="D5" s="12" t="str">
        <x:v>Nusa Office Supply</x:v>
      </x:c>
      <x:c r="E5" s="12" t="str">
        <x:v>Operational expense batch 01</x:v>
      </x:c>
      <x:c r="F5" s="12" t="str">
        <x:v>Office Supplies</x:v>
      </x:c>
      <x:c r="G5" s="12" t="str">
        <x:v>Bank Transfer</x:v>
      </x:c>
      <x:c r="H5" s="12" t="str">
        <x:v>IDR</x:v>
      </x:c>
      <x:c r="I5" s="18" t="n">
        <x:v>287000</x:v>
      </x:c>
      <x:c r="J5" s="12" t="str">
        <x:v>DOC-2026-0001</x:v>
      </x:c>
      <x:c r="K5" s="12" t="str">
        <x:v>Entered</x:v>
      </x:c>
    </x:row>
    <x:row r="6" ht="23" customHeight="1">
      <x:c r="A6" s="13" t="str">
        <x:v>FIN-0002</x:v>
      </x:c>
      <x:c r="B6" s="16" t="n">
        <x:v>46089</x:v>
      </x:c>
      <x:c r="C6" s="13" t="str">
        <x:v>BNK-03002</x:v>
      </x:c>
      <x:c r="D6" s="13" t="str">
        <x:v>CloudDesk Software</x:v>
      </x:c>
      <x:c r="E6" s="13" t="str">
        <x:v>Operational expense batch 02</x:v>
      </x:c>
      <x:c r="F6" s="13" t="str">
        <x:v>Software</x:v>
      </x:c>
      <x:c r="G6" s="13" t="str">
        <x:v>Corporate Card</x:v>
      </x:c>
      <x:c r="H6" s="13" t="str">
        <x:v>IDR</x:v>
      </x:c>
      <x:c r="I6" s="19" t="n">
        <x:v>424000</x:v>
      </x:c>
      <x:c r="J6" s="13" t="str">
        <x:v>DOC-2026-0002</x:v>
      </x:c>
      <x:c r="K6" s="13" t="str">
        <x:v>Entered</x:v>
      </x:c>
    </x:row>
    <x:row r="7" ht="23" customHeight="1">
      <x:c r="A7" s="13" t="str">
        <x:v>FIN-0003</x:v>
      </x:c>
      <x:c r="B7" s="16" t="n">
        <x:v>46123</x:v>
      </x:c>
      <x:c r="C7" s="13" t="str">
        <x:v>BNK-03003</x:v>
      </x:c>
      <x:c r="D7" s="13" t="str">
        <x:v>Metro Courier</x:v>
      </x:c>
      <x:c r="E7" s="13" t="str">
        <x:v>Operational expense batch 03</x:v>
      </x:c>
      <x:c r="F7" s="13" t="str">
        <x:v>Courier</x:v>
      </x:c>
      <x:c r="G7" s="13" t="str">
        <x:v>Direct Debit</x:v>
      </x:c>
      <x:c r="H7" s="13" t="str">
        <x:v>IDR</x:v>
      </x:c>
      <x:c r="I7" s="19" t="n">
        <x:v>561000</x:v>
      </x:c>
      <x:c r="J7" s="13" t="str">
        <x:v>DOC-2026-0003</x:v>
      </x:c>
      <x:c r="K7" s="13" t="str">
        <x:v>Entered</x:v>
      </x:c>
    </x:row>
    <x:row r="8" ht="23" customHeight="1">
      <x:c r="A8" s="13" t="str">
        <x:v>FIN-0004</x:v>
      </x:c>
      <x:c r="B8" s="16" t="n">
        <x:v>46156</x:v>
      </x:c>
      <x:c r="C8" s="13" t="str">
        <x:v>BNK-03004</x:v>
      </x:c>
      <x:c r="D8" s="13" t="str">
        <x:v>Bright Clean Services</x:v>
      </x:c>
      <x:c r="E8" s="13" t="str">
        <x:v>Operational expense batch 04</x:v>
      </x:c>
      <x:c r="F8" s="13" t="str">
        <x:v>Facilities</x:v>
      </x:c>
      <x:c r="G8" s="13" t="str">
        <x:v>Bank Transfer</x:v>
      </x:c>
      <x:c r="H8" s="13" t="str">
        <x:v>IDR</x:v>
      </x:c>
      <x:c r="I8" s="19" t="n">
        <x:v>698000</x:v>
      </x:c>
      <x:c r="J8" s="13" t="str">
        <x:v>DOC-2026-0004</x:v>
      </x:c>
      <x:c r="K8" s="13" t="str">
        <x:v>Entered</x:v>
      </x:c>
    </x:row>
    <x:row r="9" ht="23" customHeight="1">
      <x:c r="A9" s="13" t="str">
        <x:v>FIN-0005</x:v>
      </x:c>
      <x:c r="B9" s="16" t="n">
        <x:v>46190</x:v>
      </x:c>
      <x:c r="C9" s="13" t="str">
        <x:v>BNK-03005</x:v>
      </x:c>
      <x:c r="D9" s="13" t="str">
        <x:v>Sinar Telecom</x:v>
      </x:c>
      <x:c r="E9" s="13" t="str">
        <x:v>Operational expense batch 05</x:v>
      </x:c>
      <x:c r="F9" s="13" t="str">
        <x:v>Telecommunications</x:v>
      </x:c>
      <x:c r="G9" s="13" t="str">
        <x:v>Corporate Card</x:v>
      </x:c>
      <x:c r="H9" s="13" t="str">
        <x:v>IDR</x:v>
      </x:c>
      <x:c r="I9" s="19" t="n">
        <x:v>835000</x:v>
      </x:c>
      <x:c r="J9" s="13" t="str">
        <x:v>DOC-2026-0005</x:v>
      </x:c>
      <x:c r="K9" s="13" t="str">
        <x:v>Entered</x:v>
      </x:c>
    </x:row>
    <x:row r="10" ht="23" customHeight="1">
      <x:c r="A10" s="13" t="str">
        <x:v>FIN-0006</x:v>
      </x:c>
      <x:c r="B10" s="16" t="n">
        <x:v>46042</x:v>
      </x:c>
      <x:c r="C10" s="13" t="str">
        <x:v>BNK-03006</x:v>
      </x:c>
      <x:c r="D10" s="13" t="str">
        <x:v>Karya Printing</x:v>
      </x:c>
      <x:c r="E10" s="13" t="str">
        <x:v>Operational expense batch 06</x:v>
      </x:c>
      <x:c r="F10" s="13" t="str">
        <x:v>Printing</x:v>
      </x:c>
      <x:c r="G10" s="13" t="str">
        <x:v>Direct Debit</x:v>
      </x:c>
      <x:c r="H10" s="13" t="str">
        <x:v>IDR</x:v>
      </x:c>
      <x:c r="I10" s="19" t="n">
        <x:v>972000</x:v>
      </x:c>
      <x:c r="J10" s="13" t="str">
        <x:v>DOC-2026-0006</x:v>
      </x:c>
      <x:c r="K10" s="13" t="str">
        <x:v>Entered</x:v>
      </x:c>
    </x:row>
    <x:row r="11" ht="23" customHeight="1">
      <x:c r="A11" s="13" t="str">
        <x:v>FIN-0007</x:v>
      </x:c>
      <x:c r="B11" s="16" t="n">
        <x:v>46076</x:v>
      </x:c>
      <x:c r="C11" s="13" t="str">
        <x:v>BNK-03007</x:v>
      </x:c>
      <x:c r="D11" s="13" t="str">
        <x:v>Archipelago Travel</x:v>
      </x:c>
      <x:c r="E11" s="13" t="str">
        <x:v>Operational expense batch 07</x:v>
      </x:c>
      <x:c r="F11" s="13" t="str">
        <x:v>Travel</x:v>
      </x:c>
      <x:c r="G11" s="13" t="str">
        <x:v>Bank Transfer</x:v>
      </x:c>
      <x:c r="H11" s="13" t="str">
        <x:v>IDR</x:v>
      </x:c>
      <x:c r="I11" s="19" t="n">
        <x:v>1109000</x:v>
      </x:c>
      <x:c r="J11" s="13"/>
      <x:c r="K11" s="13" t="str">
        <x:v>Entered</x:v>
      </x:c>
    </x:row>
    <x:row r="12" ht="23" customHeight="1">
      <x:c r="A12" s="13" t="str">
        <x:v>FIN-0008</x:v>
      </x:c>
      <x:c r="B12" s="16" t="n">
        <x:v>46083</x:v>
      </x:c>
      <x:c r="C12" s="13" t="str">
        <x:v>BNK-03008</x:v>
      </x:c>
      <x:c r="D12" s="13" t="str">
        <x:v>Prima Utilities</x:v>
      </x:c>
      <x:c r="E12" s="13" t="str">
        <x:v>Operational expense batch 08</x:v>
      </x:c>
      <x:c r="F12" s="13" t="str">
        <x:v>Utilities</x:v>
      </x:c>
      <x:c r="G12" s="13" t="str">
        <x:v>Corporate Card</x:v>
      </x:c>
      <x:c r="H12" s="13" t="str">
        <x:v>IDR</x:v>
      </x:c>
      <x:c r="I12" s="19" t="n">
        <x:v>1246000</x:v>
      </x:c>
      <x:c r="J12" s="13" t="str">
        <x:v>DOC-2026-0008</x:v>
      </x:c>
      <x:c r="K12" s="13" t="str">
        <x:v>Entered</x:v>
      </x:c>
    </x:row>
    <x:row r="13" ht="23" customHeight="1">
      <x:c r="A13" s="13" t="str">
        <x:v>FIN-0009</x:v>
      </x:c>
      <x:c r="B13" s="16" t="n">
        <x:v>46117</x:v>
      </x:c>
      <x:c r="C13" s="13" t="str">
        <x:v>BNK-03009</x:v>
      </x:c>
      <x:c r="D13" s="13" t="str">
        <x:v>DataSecure Hosting</x:v>
      </x:c>
      <x:c r="E13" s="13" t="str">
        <x:v>Operational expense batch 09</x:v>
      </x:c>
      <x:c r="F13" s="13" t="str">
        <x:v>IT Services</x:v>
      </x:c>
      <x:c r="G13" s="13" t="str">
        <x:v>Direct Debit</x:v>
      </x:c>
      <x:c r="H13" s="13" t="str">
        <x:v>IDR</x:v>
      </x:c>
      <x:c r="I13" s="19" t="n">
        <x:v>1383000</x:v>
      </x:c>
      <x:c r="J13" s="13" t="str">
        <x:v>DOC-2026-0009</x:v>
      </x:c>
      <x:c r="K13" s="13" t="str">
        <x:v>Entered</x:v>
      </x:c>
    </x:row>
    <x:row r="14" ht="23" customHeight="1">
      <x:c r="A14" s="13" t="str">
        <x:v>FIN-0010</x:v>
      </x:c>
      <x:c r="B14" s="16" t="n">
        <x:v>46150</x:v>
      </x:c>
      <x:c r="C14" s="13" t="str">
        <x:v>BNK-03010</x:v>
      </x:c>
      <x:c r="D14" s="13" t="str">
        <x:v>Maju Training Center</x:v>
      </x:c>
      <x:c r="E14" s="13" t="str">
        <x:v>Operational expense batch 10</x:v>
      </x:c>
      <x:c r="F14" s="13" t="str">
        <x:v>Misc</x:v>
      </x:c>
      <x:c r="G14" s="13" t="str">
        <x:v>Bank Transfer</x:v>
      </x:c>
      <x:c r="H14" s="13" t="str">
        <x:v>IDR</x:v>
      </x:c>
      <x:c r="I14" s="19" t="n">
        <x:v>1520000</x:v>
      </x:c>
      <x:c r="J14" s="13" t="str">
        <x:v>DOC-2026-0010</x:v>
      </x:c>
      <x:c r="K14" s="13" t="str">
        <x:v>Entered</x:v>
      </x:c>
    </x:row>
    <x:row r="15" ht="23" customHeight="1">
      <x:c r="A15" s="13" t="str">
        <x:v>FIN-0011</x:v>
      </x:c>
      <x:c r="B15" s="16" t="n">
        <x:v>46184</x:v>
      </x:c>
      <x:c r="C15" s="13" t="str">
        <x:v>BNK-03011</x:v>
      </x:c>
      <x:c r="D15" s="13" t="str">
        <x:v>Nusa Office Supply</x:v>
      </x:c>
      <x:c r="E15" s="13" t="str">
        <x:v>Operational expense batch 11</x:v>
      </x:c>
      <x:c r="F15" s="13" t="str">
        <x:v>Office Supplies</x:v>
      </x:c>
      <x:c r="G15" s="13" t="str">
        <x:v>Corporate Card</x:v>
      </x:c>
      <x:c r="H15" s="13" t="str">
        <x:v>IDR</x:v>
      </x:c>
      <x:c r="I15" s="19" t="n">
        <x:v>1657000</x:v>
      </x:c>
      <x:c r="J15" s="13" t="str">
        <x:v>DOC-2026-0011</x:v>
      </x:c>
      <x:c r="K15" s="13" t="str">
        <x:v>Entered</x:v>
      </x:c>
    </x:row>
    <x:row r="16" ht="23" customHeight="1">
      <x:c r="A16" s="13" t="str">
        <x:v>FIN-0012</x:v>
      </x:c>
      <x:c r="B16" s="16" t="n">
        <x:v>46036</x:v>
      </x:c>
      <x:c r="C16" s="13" t="str">
        <x:v>BNK-03012</x:v>
      </x:c>
      <x:c r="D16" s="13" t="str">
        <x:v>CloudDesk Software</x:v>
      </x:c>
      <x:c r="E16" s="13" t="str">
        <x:v>Operational expense batch 12</x:v>
      </x:c>
      <x:c r="F16" s="13" t="str">
        <x:v>Software</x:v>
      </x:c>
      <x:c r="G16" s="13" t="str">
        <x:v>Direct Debit</x:v>
      </x:c>
      <x:c r="H16" s="13" t="str">
        <x:v>IDR</x:v>
      </x:c>
      <x:c r="I16" s="19" t="n">
        <x:v>1794000</x:v>
      </x:c>
      <x:c r="J16" s="13" t="str">
        <x:v>DOC-2026-0012</x:v>
      </x:c>
      <x:c r="K16" s="13" t="str">
        <x:v>Entered</x:v>
      </x:c>
    </x:row>
    <x:row r="17" ht="23" customHeight="1">
      <x:c r="A17" s="13" t="str">
        <x:v>FIN-0012</x:v>
      </x:c>
      <x:c r="B17" s="16" t="n">
        <x:v>46070</x:v>
      </x:c>
      <x:c r="C17" s="13" t="str">
        <x:v>BNK-03013</x:v>
      </x:c>
      <x:c r="D17" s="13" t="str">
        <x:v>Metro Courier</x:v>
      </x:c>
      <x:c r="E17" s="13" t="str">
        <x:v>Operational expense batch 13</x:v>
      </x:c>
      <x:c r="F17" s="13" t="str">
        <x:v>Courier</x:v>
      </x:c>
      <x:c r="G17" s="13" t="str">
        <x:v>Bank Transfer</x:v>
      </x:c>
      <x:c r="H17" s="13" t="str">
        <x:v>IDR</x:v>
      </x:c>
      <x:c r="I17" s="19" t="n">
        <x:v>1931000</x:v>
      </x:c>
      <x:c r="J17" s="13" t="str">
        <x:v>DOC-2026-0013</x:v>
      </x:c>
      <x:c r="K17" s="13" t="str">
        <x:v>Entered</x:v>
      </x:c>
    </x:row>
    <x:row r="18" ht="23" customHeight="1">
      <x:c r="A18" s="13" t="str">
        <x:v>FIN-0014</x:v>
      </x:c>
      <x:c r="B18" s="16" t="n">
        <x:v>46101</x:v>
      </x:c>
      <x:c r="C18" s="13" t="str">
        <x:v>BNK-03014</x:v>
      </x:c>
      <x:c r="D18" s="13" t="str">
        <x:v>Bright Clean Services</x:v>
      </x:c>
      <x:c r="E18" s="13" t="str">
        <x:v>Operational expense batch 14</x:v>
      </x:c>
      <x:c r="F18" s="13" t="str">
        <x:v>Facilities</x:v>
      </x:c>
      <x:c r="G18" s="13" t="str">
        <x:v>Corporate Card</x:v>
      </x:c>
      <x:c r="H18" s="13" t="str">
        <x:v>IDR</x:v>
      </x:c>
      <x:c r="I18" s="19" t="n">
        <x:v>2068000</x:v>
      </x:c>
      <x:c r="J18" s="13" t="str">
        <x:v>DOC-2026-0014</x:v>
      </x:c>
      <x:c r="K18" s="13" t="str">
        <x:v>Entered</x:v>
      </x:c>
    </x:row>
    <x:row r="19" ht="23" customHeight="1">
      <x:c r="A19" s="13" t="str">
        <x:v>FIN-0015</x:v>
      </x:c>
      <x:c r="B19" s="16" t="n">
        <x:v>46135</x:v>
      </x:c>
      <x:c r="C19" s="13" t="str">
        <x:v>BNK-03015</x:v>
      </x:c>
      <x:c r="D19" s="13" t="str">
        <x:v>Sinar Telecom</x:v>
      </x:c>
      <x:c r="E19" s="13" t="str">
        <x:v>Operational expense batch 15</x:v>
      </x:c>
      <x:c r="F19" s="13" t="str">
        <x:v>Telecommunications</x:v>
      </x:c>
      <x:c r="G19" s="13" t="str">
        <x:v>Direct Debit</x:v>
      </x:c>
      <x:c r="H19" s="13" t="str">
        <x:v>IDR</x:v>
      </x:c>
      <x:c r="I19" s="19" t="n">
        <x:v>2205000</x:v>
      </x:c>
      <x:c r="J19" s="13" t="str">
        <x:v>DOC-2026-0015</x:v>
      </x:c>
      <x:c r="K19" s="13" t="str">
        <x:v>Entered</x:v>
      </x:c>
    </x:row>
    <x:row r="20" ht="23" customHeight="1">
      <x:c r="A20" s="13" t="str">
        <x:v>FIN-0016</x:v>
      </x:c>
      <x:c r="B20" s="16" t="n">
        <x:v>46144</x:v>
      </x:c>
      <x:c r="C20" s="13" t="str">
        <x:v>BNK-03016</x:v>
      </x:c>
      <x:c r="D20" s="13" t="str">
        <x:v>Karya Printing</x:v>
      </x:c>
      <x:c r="E20" s="13" t="str">
        <x:v>Operational expense batch 16</x:v>
      </x:c>
      <x:c r="F20" s="13" t="str">
        <x:v>Printing</x:v>
      </x:c>
      <x:c r="G20" s="13" t="str">
        <x:v>Bank Transfer</x:v>
      </x:c>
      <x:c r="H20" s="13" t="str">
        <x:v>IDR</x:v>
      </x:c>
      <x:c r="I20" s="19" t="n">
        <x:v>2342000</x:v>
      </x:c>
      <x:c r="J20" s="13" t="str">
        <x:v>DOC-2026-0016</x:v>
      </x:c>
      <x:c r="K20" s="13" t="str">
        <x:v>Entered</x:v>
      </x:c>
    </x:row>
    <x:row r="21" ht="23" customHeight="1">
      <x:c r="A21" s="13" t="str">
        <x:v>FIN-0017</x:v>
      </x:c>
      <x:c r="B21" s="16" t="n">
        <x:v>46178</x:v>
      </x:c>
      <x:c r="C21" s="13" t="str">
        <x:v>BNK-03017</x:v>
      </x:c>
      <x:c r="D21" s="13" t="str">
        <x:v>Archipelago Travel</x:v>
      </x:c>
      <x:c r="E21" s="13" t="str">
        <x:v>Operational expense batch 17</x:v>
      </x:c>
      <x:c r="F21" s="13" t="str">
        <x:v>Travel</x:v>
      </x:c>
      <x:c r="G21" s="13" t="str">
        <x:v>Corporate Card</x:v>
      </x:c>
      <x:c r="H21" s="13" t="str">
        <x:v>IDR</x:v>
      </x:c>
      <x:c r="I21" s="19" t="n">
        <x:v>2479000</x:v>
      </x:c>
      <x:c r="J21" s="13" t="str">
        <x:v>DOC-2026-0017</x:v>
      </x:c>
      <x:c r="K21" s="13" t="str">
        <x:v>Entered</x:v>
      </x:c>
    </x:row>
    <x:row r="22" ht="23" customHeight="1">
      <x:c r="A22" s="13" t="str">
        <x:v>FIN-0018</x:v>
      </x:c>
      <x:c r="B22" s="16" t="n">
        <x:v>46030</x:v>
      </x:c>
      <x:c r="C22" s="13" t="str">
        <x:v>BNK-03018</x:v>
      </x:c>
      <x:c r="D22" s="13" t="str">
        <x:v>Prima Utilities</x:v>
      </x:c>
      <x:c r="E22" s="13" t="str">
        <x:v>Operational expense batch 18</x:v>
      </x:c>
      <x:c r="F22" s="13" t="str">
        <x:v>Utilities</x:v>
      </x:c>
      <x:c r="G22" s="13" t="str">
        <x:v>Direct Debit</x:v>
      </x:c>
      <x:c r="H22" s="13" t="str">
        <x:v>IDR</x:v>
      </x:c>
      <x:c r="I22" s="19" t="n">
        <x:v>2616000</x:v>
      </x:c>
      <x:c r="J22" s="13"/>
      <x:c r="K22" s="13" t="str">
        <x:v>Entered</x:v>
      </x:c>
    </x:row>
    <x:row r="23" ht="23" customHeight="1">
      <x:c r="A23" s="13" t="str">
        <x:v>FIN-0019</x:v>
      </x:c>
      <x:c r="B23" s="16" t="n">
        <x:v>46064</x:v>
      </x:c>
      <x:c r="C23" s="13" t="str">
        <x:v>BNK-03019</x:v>
      </x:c>
      <x:c r="D23" s="13" t="str">
        <x:v>DataSecure Hosting</x:v>
      </x:c>
      <x:c r="E23" s="13" t="str">
        <x:v>Operational expense batch 19</x:v>
      </x:c>
      <x:c r="F23" s="13" t="str">
        <x:v>IT Services</x:v>
      </x:c>
      <x:c r="G23" s="13" t="str">
        <x:v>Bank Transfer</x:v>
      </x:c>
      <x:c r="H23" s="13" t="str">
        <x:v>IDR</x:v>
      </x:c>
      <x:c r="I23" s="19" t="n">
        <x:v>2753000</x:v>
      </x:c>
      <x:c r="J23" s="13" t="str">
        <x:v>DOC-2026-0019</x:v>
      </x:c>
      <x:c r="K23" s="13" t="str">
        <x:v>Entered</x:v>
      </x:c>
    </x:row>
    <x:row r="24" ht="23" customHeight="1">
      <x:c r="A24" s="13" t="str">
        <x:v>FIN-0020</x:v>
      </x:c>
      <x:c r="B24" s="16" t="n">
        <x:v>46095</x:v>
      </x:c>
      <x:c r="C24" s="13" t="str">
        <x:v>BNK-03020</x:v>
      </x:c>
      <x:c r="D24" s="13" t="str">
        <x:v>Maju Training Center</x:v>
      </x:c>
      <x:c r="E24" s="13" t="str">
        <x:v>Operational expense batch 20</x:v>
      </x:c>
      <x:c r="F24" s="13" t="str">
        <x:v>Training</x:v>
      </x:c>
      <x:c r="G24" s="13" t="str">
        <x:v>Corporate Card</x:v>
      </x:c>
      <x:c r="H24" s="13" t="str">
        <x:v>IDR</x:v>
      </x:c>
      <x:c r="I24" s="19" t="n">
        <x:v>2890000</x:v>
      </x:c>
      <x:c r="J24" s="13" t="str">
        <x:v>DOC-2026-0020</x:v>
      </x:c>
      <x:c r="K24" s="13" t="str">
        <x:v>Entered</x:v>
      </x:c>
    </x:row>
    <x:row r="25" ht="23" customHeight="1">
      <x:c r="A25" s="13" t="str">
        <x:v>FIN-0021</x:v>
      </x:c>
      <x:c r="B25" s="16" t="n">
        <x:v>46129</x:v>
      </x:c>
      <x:c r="C25" s="13" t="str">
        <x:v>BNK-03021</x:v>
      </x:c>
      <x:c r="D25" s="13" t="str">
        <x:v>Nusa Office Supply</x:v>
      </x:c>
      <x:c r="E25" s="13" t="str">
        <x:v>Operational expense batch 21</x:v>
      </x:c>
      <x:c r="F25" s="13" t="str">
        <x:v>Office Supplies</x:v>
      </x:c>
      <x:c r="G25" s="13" t="str">
        <x:v>Direct Debit</x:v>
      </x:c>
      <x:c r="H25" s="13" t="str">
        <x:v>IDR</x:v>
      </x:c>
      <x:c r="I25" s="19"/>
      <x:c r="J25" s="13" t="str">
        <x:v>DOC-2026-0021</x:v>
      </x:c>
      <x:c r="K25" s="13" t="str">
        <x:v>Entered</x:v>
      </x:c>
    </x:row>
    <x:row r="26" ht="23" customHeight="1">
      <x:c r="A26" s="13" t="str">
        <x:v>FIN-0022</x:v>
      </x:c>
      <x:c r="B26" s="16" t="n">
        <x:v>46162</x:v>
      </x:c>
      <x:c r="C26" s="13" t="str">
        <x:v>BNK-03022</x:v>
      </x:c>
      <x:c r="D26" s="13" t="str">
        <x:v>CloudDesk Software</x:v>
      </x:c>
      <x:c r="E26" s="13" t="str">
        <x:v>Operational expense batch 22</x:v>
      </x:c>
      <x:c r="F26" s="13" t="str">
        <x:v>Software</x:v>
      </x:c>
      <x:c r="G26" s="13" t="str">
        <x:v>Bank Transfer</x:v>
      </x:c>
      <x:c r="H26" s="13" t="str">
        <x:v>IDR</x:v>
      </x:c>
      <x:c r="I26" s="19" t="n">
        <x:v>3164000</x:v>
      </x:c>
      <x:c r="J26" s="13" t="str">
        <x:v>DOC-2026-0022</x:v>
      </x:c>
      <x:c r="K26" s="13" t="str">
        <x:v>Entered</x:v>
      </x:c>
    </x:row>
    <x:row r="27" ht="23" customHeight="1">
      <x:c r="A27" s="13" t="str">
        <x:v>FIN-0023</x:v>
      </x:c>
      <x:c r="B27" s="16" t="n">
        <x:v>46196</x:v>
      </x:c>
      <x:c r="C27" s="13" t="str">
        <x:v>BNK-03023</x:v>
      </x:c>
      <x:c r="D27" s="13" t="str">
        <x:v>Metro Courier</x:v>
      </x:c>
      <x:c r="E27" s="13" t="str">
        <x:v>Operational expense batch 23</x:v>
      </x:c>
      <x:c r="F27" s="13" t="str">
        <x:v>Courier</x:v>
      </x:c>
      <x:c r="G27" s="13" t="str">
        <x:v>Corporate Card</x:v>
      </x:c>
      <x:c r="H27" s="13" t="str">
        <x:v>IDR</x:v>
      </x:c>
      <x:c r="I27" s="19" t="n">
        <x:v>3301000</x:v>
      </x:c>
      <x:c r="J27" s="13" t="str">
        <x:v>DOC-2026-0023</x:v>
      </x:c>
      <x:c r="K27" s="13" t="str">
        <x:v>Entered</x:v>
      </x:c>
    </x:row>
    <x:row r="28" ht="23" customHeight="1">
      <x:c r="A28" s="13" t="str">
        <x:v>FIN-0024</x:v>
      </x:c>
      <x:c r="B28" s="16" t="n">
        <x:v>46024</x:v>
      </x:c>
      <x:c r="C28" s="13" t="str">
        <x:v>BNK-03024</x:v>
      </x:c>
      <x:c r="D28" s="13" t="str">
        <x:v>Bright Clean Services</x:v>
      </x:c>
      <x:c r="E28" s="13" t="str">
        <x:v>Operational expense batch 24</x:v>
      </x:c>
      <x:c r="F28" s="13" t="str">
        <x:v>Facilities</x:v>
      </x:c>
      <x:c r="G28" s="13" t="str">
        <x:v>Direct Debit</x:v>
      </x:c>
      <x:c r="H28" s="13" t="str">
        <x:v>IDR</x:v>
      </x:c>
      <x:c r="I28" s="19" t="n">
        <x:v>3438000</x:v>
      </x:c>
      <x:c r="J28" s="13" t="str">
        <x:v>DOC-2026-0024</x:v>
      </x:c>
      <x:c r="K28" s="13" t="str">
        <x:v>Entered</x:v>
      </x:c>
    </x:row>
    <x:row r="29" ht="23" customHeight="1">
      <x:c r="A29" s="13" t="str">
        <x:v>FIN-0025</x:v>
      </x:c>
      <x:c r="B29" s="16" t="n">
        <x:v>46058</x:v>
      </x:c>
      <x:c r="C29" s="13" t="str">
        <x:v>BNK-03025</x:v>
      </x:c>
      <x:c r="D29" s="13" t="str">
        <x:v>Sinar Telecom</x:v>
      </x:c>
      <x:c r="E29" s="13" t="str">
        <x:v>Operational expense batch 25</x:v>
      </x:c>
      <x:c r="F29" s="13" t="str">
        <x:v>Telecommunications</x:v>
      </x:c>
      <x:c r="G29" s="13" t="str">
        <x:v>Bank Transfer</x:v>
      </x:c>
      <x:c r="H29" s="13" t="str">
        <x:v>IDR</x:v>
      </x:c>
      <x:c r="I29" s="19" t="n">
        <x:v>3575000</x:v>
      </x:c>
      <x:c r="J29" s="13" t="str">
        <x:v>DOC-2026-0025</x:v>
      </x:c>
      <x:c r="K29" s="13" t="str">
        <x:v>Entered</x:v>
      </x:c>
    </x:row>
    <x:row r="30" ht="23" customHeight="1">
      <x:c r="A30" s="13" t="str">
        <x:v>FIN-0026</x:v>
      </x:c>
      <x:c r="B30" s="16" t="n">
        <x:v>46089</x:v>
      </x:c>
      <x:c r="C30" s="13" t="str">
        <x:v>BNK-03026</x:v>
      </x:c>
      <x:c r="D30" s="13" t="str">
        <x:v>Karya Printing</x:v>
      </x:c>
      <x:c r="E30" s="13" t="str">
        <x:v>Operational expense batch 26</x:v>
      </x:c>
      <x:c r="F30" s="13" t="str">
        <x:v>Printing</x:v>
      </x:c>
      <x:c r="G30" s="13" t="str">
        <x:v>Corporate Card</x:v>
      </x:c>
      <x:c r="H30" s="13" t="str">
        <x:v>IDR</x:v>
      </x:c>
      <x:c r="I30" s="19" t="n">
        <x:v>3712000</x:v>
      </x:c>
      <x:c r="J30" s="13" t="str">
        <x:v>DOC-2026-0026</x:v>
      </x:c>
      <x:c r="K30" s="13" t="str">
        <x:v>Entered</x:v>
      </x:c>
    </x:row>
    <x:row r="31" ht="23" customHeight="1">
      <x:c r="A31" s="13" t="str">
        <x:v>FIN-0027</x:v>
      </x:c>
      <x:c r="B31" s="16" t="n">
        <x:v>46123</x:v>
      </x:c>
      <x:c r="C31" s="13" t="str">
        <x:v>BNK-03027</x:v>
      </x:c>
      <x:c r="D31" s="13" t="str">
        <x:v>Archipelago Travel</x:v>
      </x:c>
      <x:c r="E31" s="13" t="str">
        <x:v>Operational expense batch 27</x:v>
      </x:c>
      <x:c r="F31" s="13" t="str">
        <x:v>Travel</x:v>
      </x:c>
      <x:c r="G31" s="13" t="str">
        <x:v>Direct Debit</x:v>
      </x:c>
      <x:c r="H31" s="13" t="str">
        <x:v>IDR</x:v>
      </x:c>
      <x:c r="I31" s="19" t="n">
        <x:v>3849000</x:v>
      </x:c>
      <x:c r="J31" s="13" t="str">
        <x:v>DOC-2026-0027</x:v>
      </x:c>
      <x:c r="K31" s="13" t="str">
        <x:v>Entered</x:v>
      </x:c>
    </x:row>
    <x:row r="32" ht="23" customHeight="1">
      <x:c r="A32" s="13" t="str">
        <x:v>FIN-0028</x:v>
      </x:c>
      <x:c r="B32" s="16" t="n">
        <x:v>46156</x:v>
      </x:c>
      <x:c r="C32" s="13" t="str">
        <x:v>BNK-03028</x:v>
      </x:c>
      <x:c r="D32" s="13" t="str">
        <x:v>Prima Utilities</x:v>
      </x:c>
      <x:c r="E32" s="13" t="str">
        <x:v>Operational expense batch 28</x:v>
      </x:c>
      <x:c r="F32" s="13" t="str">
        <x:v>Utilities</x:v>
      </x:c>
      <x:c r="G32" s="13" t="str">
        <x:v>Bank Transfer</x:v>
      </x:c>
      <x:c r="H32" s="13" t="str">
        <x:v>IDR</x:v>
      </x:c>
      <x:c r="I32" s="19" t="n">
        <x:v>3986000</x:v>
      </x:c>
      <x:c r="J32" s="13" t="str">
        <x:v>DOC-2026-0028</x:v>
      </x:c>
      <x:c r="K32" s="13" t="str">
        <x:v>Entered</x:v>
      </x:c>
    </x:row>
    <x:row r="33" ht="23" customHeight="1">
      <x:c r="A33" s="13" t="str">
        <x:v>FIN-0029</x:v>
      </x:c>
      <x:c r="B33" s="16" t="n">
        <x:v>46190</x:v>
      </x:c>
      <x:c r="C33" s="13" t="str">
        <x:v>BNK-03029</x:v>
      </x:c>
      <x:c r="D33" s="13" t="str">
        <x:v>DataSecure Hosting</x:v>
      </x:c>
      <x:c r="E33" s="13" t="str">
        <x:v>Operational expense batch 29</x:v>
      </x:c>
      <x:c r="F33" s="13" t="str">
        <x:v>IT Services</x:v>
      </x:c>
      <x:c r="G33" s="13" t="str">
        <x:v>Corporate Card</x:v>
      </x:c>
      <x:c r="H33" s="13" t="str">
        <x:v>IDR</x:v>
      </x:c>
      <x:c r="I33" s="19" t="n">
        <x:v>273000</x:v>
      </x:c>
      <x:c r="J33" s="13"/>
      <x:c r="K33" s="13" t="str">
        <x:v>Entered</x:v>
      </x:c>
    </x:row>
    <x:row r="34" ht="23" customHeight="1">
      <x:c r="A34" s="13" t="str">
        <x:v>FIN-0030</x:v>
      </x:c>
      <x:c r="B34" s="16" t="n">
        <x:v>46042</x:v>
      </x:c>
      <x:c r="C34" s="13" t="str">
        <x:v>BNK-03030</x:v>
      </x:c>
      <x:c r="D34" s="13" t="str">
        <x:v>Maju Training Center</x:v>
      </x:c>
      <x:c r="E34" s="13" t="str">
        <x:v>Operational expense batch 30</x:v>
      </x:c>
      <x:c r="F34" s="13" t="str">
        <x:v>Training</x:v>
      </x:c>
      <x:c r="G34" s="13" t="str">
        <x:v>Direct Debit</x:v>
      </x:c>
      <x:c r="H34" s="13" t="str">
        <x:v>IDR</x:v>
      </x:c>
      <x:c r="I34" s="19" t="n">
        <x:v>410000</x:v>
      </x:c>
      <x:c r="J34" s="13" t="str">
        <x:v>DOC-2026-0030</x:v>
      </x:c>
      <x:c r="K34" s="13" t="str">
        <x:v>Entered</x:v>
      </x:c>
    </x:row>
    <x:row r="35" ht="23" customHeight="1">
      <x:c r="A35" s="13" t="str">
        <x:v>FIN-0031</x:v>
      </x:c>
      <x:c r="B35" s="16" t="n">
        <x:v>46076</x:v>
      </x:c>
      <x:c r="C35" s="13" t="str">
        <x:v>BNK-03031</x:v>
      </x:c>
      <x:c r="D35" s="13" t="str">
        <x:v>Nusa Office Supply</x:v>
      </x:c>
      <x:c r="E35" s="13" t="str">
        <x:v>Operational expense batch 31</x:v>
      </x:c>
      <x:c r="F35" s="13" t="str">
        <x:v>Office Supplies</x:v>
      </x:c>
      <x:c r="G35" s="13" t="str">
        <x:v>Bank Transfer</x:v>
      </x:c>
      <x:c r="H35" s="13" t="str">
        <x:v>IDR</x:v>
      </x:c>
      <x:c r="I35" s="19" t="n">
        <x:v>547000</x:v>
      </x:c>
      <x:c r="J35" s="13" t="str">
        <x:v>DOC-2026-0031</x:v>
      </x:c>
      <x:c r="K35" s="13" t="str">
        <x:v>Entered</x:v>
      </x:c>
    </x:row>
    <x:row r="36" ht="23" customHeight="1">
      <x:c r="A36" s="13" t="str">
        <x:v>FIN-0032</x:v>
      </x:c>
      <x:c r="B36" s="16" t="n">
        <x:v>46083</x:v>
      </x:c>
      <x:c r="C36" s="13" t="str">
        <x:v>BNK-03032</x:v>
      </x:c>
      <x:c r="D36" s="13" t="str">
        <x:v>CloudDesk Software</x:v>
      </x:c>
      <x:c r="E36" s="13" t="str">
        <x:v>Operational expense batch 32</x:v>
      </x:c>
      <x:c r="F36" s="13" t="str">
        <x:v>Software</x:v>
      </x:c>
      <x:c r="G36" s="13" t="str">
        <x:v>Corporate Card</x:v>
      </x:c>
      <x:c r="H36" s="13" t="str">
        <x:v>IDR</x:v>
      </x:c>
      <x:c r="I36" s="19" t="n">
        <x:v>684000</x:v>
      </x:c>
      <x:c r="J36" s="13" t="str">
        <x:v>DOC-2026-0032</x:v>
      </x:c>
      <x:c r="K36" s="13" t="str">
        <x:v>Entered</x:v>
      </x:c>
    </x:row>
    <x:row r="37" ht="23" customHeight="1">
      <x:c r="A37" s="13" t="str">
        <x:v>FIN-0033</x:v>
      </x:c>
      <x:c r="B37" s="16" t="n">
        <x:v>46117</x:v>
      </x:c>
      <x:c r="C37" s="13" t="str">
        <x:v>BNK-03033</x:v>
      </x:c>
      <x:c r="D37" s="13" t="str">
        <x:v>Metro Courier</x:v>
      </x:c>
      <x:c r="E37" s="13" t="str">
        <x:v>Operational expense batch 33</x:v>
      </x:c>
      <x:c r="F37" s="13" t="str">
        <x:v>Courier</x:v>
      </x:c>
      <x:c r="G37" s="13" t="str">
        <x:v>Direct Debit</x:v>
      </x:c>
      <x:c r="H37" s="13" t="str">
        <x:v>IDR</x:v>
      </x:c>
      <x:c r="I37" s="19" t="n">
        <x:v>821000</x:v>
      </x:c>
      <x:c r="J37" s="13" t="str">
        <x:v>DOC-2026-0033</x:v>
      </x:c>
      <x:c r="K37" s="13" t="str">
        <x:v>Entered</x:v>
      </x:c>
    </x:row>
    <x:row r="38" ht="23" customHeight="1">
      <x:c r="A38" s="13" t="str">
        <x:v>FIN-0034</x:v>
      </x:c>
      <x:c r="B38" s="16" t="n">
        <x:v>46150</x:v>
      </x:c>
      <x:c r="C38" s="13" t="str">
        <x:v>BNK-03034</x:v>
      </x:c>
      <x:c r="D38" s="13" t="str">
        <x:v>Bright Clean Services</x:v>
      </x:c>
      <x:c r="E38" s="13" t="str">
        <x:v>Operational expense batch 34</x:v>
      </x:c>
      <x:c r="F38" s="13" t="str">
        <x:v>Facilities</x:v>
      </x:c>
      <x:c r="G38" s="13" t="str">
        <x:v>Bank Transfer</x:v>
      </x:c>
      <x:c r="H38" s="13" t="str">
        <x:v>US</x:v>
      </x:c>
      <x:c r="I38" s="19" t="n">
        <x:v>958000</x:v>
      </x:c>
      <x:c r="J38" s="13" t="str">
        <x:v>DOC-2026-0034</x:v>
      </x:c>
      <x:c r="K38" s="13" t="str">
        <x:v>Entered</x:v>
      </x:c>
    </x:row>
    <x:row r="39" ht="23" customHeight="1">
      <x:c r="A39" s="13" t="str">
        <x:v>FIN-0035</x:v>
      </x:c>
      <x:c r="B39" s="16" t="n">
        <x:v>46184</x:v>
      </x:c>
      <x:c r="C39" s="13" t="str">
        <x:v>BNK-03035</x:v>
      </x:c>
      <x:c r="D39" s="13" t="str">
        <x:v>Sinar Telecom</x:v>
      </x:c>
      <x:c r="E39" s="13" t="str">
        <x:v>Operational expense batch 35</x:v>
      </x:c>
      <x:c r="F39" s="13" t="str">
        <x:v>Telecommunications</x:v>
      </x:c>
      <x:c r="G39" s="13" t="str">
        <x:v>Corporate Card</x:v>
      </x:c>
      <x:c r="H39" s="13" t="str">
        <x:v>IDR</x:v>
      </x:c>
      <x:c r="I39" s="19" t="n">
        <x:v>1095000</x:v>
      </x:c>
      <x:c r="J39" s="13" t="str">
        <x:v>DOC-2026-0035</x:v>
      </x:c>
      <x:c r="K39" s="13" t="str">
        <x:v>Entered</x:v>
      </x:c>
    </x:row>
    <x:row r="40" ht="23" customHeight="1">
      <x:c r="A40" s="13" t="str">
        <x:v>FIN-0036</x:v>
      </x:c>
      <x:c r="B40" s="16" t="n">
        <x:v>46036</x:v>
      </x:c>
      <x:c r="C40" s="13" t="str">
        <x:v>BNK-03036</x:v>
      </x:c>
      <x:c r="D40" s="13" t="str">
        <x:v>Karya Printing</x:v>
      </x:c>
      <x:c r="E40" s="13" t="str">
        <x:v>Operational expense batch 36</x:v>
      </x:c>
      <x:c r="F40" s="13" t="str">
        <x:v>Printing</x:v>
      </x:c>
      <x:c r="G40" s="13" t="str">
        <x:v>Direct Debit</x:v>
      </x:c>
      <x:c r="H40" s="13" t="str">
        <x:v>IDR</x:v>
      </x:c>
      <x:c r="I40" s="19" t="n">
        <x:v>1232000</x:v>
      </x:c>
      <x:c r="J40" s="13" t="str">
        <x:v>DOC-2026-0036</x:v>
      </x:c>
      <x:c r="K40" s="13" t="str">
        <x:v>Entered</x:v>
      </x:c>
    </x:row>
    <x:row r="41" ht="23" customHeight="1">
      <x:c r="A41" s="13" t="str">
        <x:v>FIN-0037</x:v>
      </x:c>
      <x:c r="B41" s="16" t="n">
        <x:v>46070</x:v>
      </x:c>
      <x:c r="C41" s="13" t="str">
        <x:v>BNK-03037</x:v>
      </x:c>
      <x:c r="D41" s="13" t="str">
        <x:v>Archipelago Travel</x:v>
      </x:c>
      <x:c r="E41" s="13" t="str">
        <x:v>Operational expense batch 37</x:v>
      </x:c>
      <x:c r="F41" s="13" t="str">
        <x:v>Travel</x:v>
      </x:c>
      <x:c r="G41" s="13" t="str">
        <x:v>Bank Transfer</x:v>
      </x:c>
      <x:c r="H41" s="13" t="str">
        <x:v>IDR</x:v>
      </x:c>
      <x:c r="I41" s="19" t="n">
        <x:v>1369000</x:v>
      </x:c>
      <x:c r="J41" s="13" t="str">
        <x:v>DOC-2026-0037</x:v>
      </x:c>
      <x:c r="K41" s="13" t="str">
        <x:v>Entered</x:v>
      </x:c>
    </x:row>
    <x:row r="42" ht="23" customHeight="1">
      <x:c r="A42" s="13" t="str">
        <x:v>FIN-0038</x:v>
      </x:c>
      <x:c r="B42" s="16" t="n">
        <x:v>46101</x:v>
      </x:c>
      <x:c r="C42" s="13" t="str">
        <x:v>BNK-03038</x:v>
      </x:c>
      <x:c r="D42" s="13" t="str">
        <x:v>Prima Utilities</x:v>
      </x:c>
      <x:c r="E42" s="13" t="str">
        <x:v>Operational expense batch 38</x:v>
      </x:c>
      <x:c r="F42" s="13" t="str">
        <x:v>Utilities</x:v>
      </x:c>
      <x:c r="G42" s="13" t="str">
        <x:v>Corporate Card</x:v>
      </x:c>
      <x:c r="H42" s="13" t="str">
        <x:v>IDR</x:v>
      </x:c>
      <x:c r="I42" s="19" t="n">
        <x:v>1506000</x:v>
      </x:c>
      <x:c r="J42" s="13" t="str">
        <x:v>DOC-2026-0038</x:v>
      </x:c>
      <x:c r="K42" s="13" t="str">
        <x:v>Entered</x:v>
      </x:c>
    </x:row>
    <x:row r="43" ht="23" customHeight="1">
      <x:c r="A43" s="13" t="str">
        <x:v>FIN-0038</x:v>
      </x:c>
      <x:c r="B43" s="16" t="n">
        <x:v>46135</x:v>
      </x:c>
      <x:c r="C43" s="13" t="str">
        <x:v>BNK-03039</x:v>
      </x:c>
      <x:c r="D43" s="13" t="str">
        <x:v>DataSecure Hosting</x:v>
      </x:c>
      <x:c r="E43" s="13" t="str">
        <x:v>Operational expense batch 39</x:v>
      </x:c>
      <x:c r="F43" s="13" t="str">
        <x:v>IT Services</x:v>
      </x:c>
      <x:c r="G43" s="13" t="str">
        <x:v>Direct Debit</x:v>
      </x:c>
      <x:c r="H43" s="13" t="str">
        <x:v>IDR</x:v>
      </x:c>
      <x:c r="I43" s="19" t="n">
        <x:v>1643000</x:v>
      </x:c>
      <x:c r="J43" s="13" t="str">
        <x:v>DOC-2026-0039</x:v>
      </x:c>
      <x:c r="K43" s="13" t="str">
        <x:v>Entered</x:v>
      </x:c>
    </x:row>
    <x:row r="44" ht="23" customHeight="1">
      <x:c r="A44" s="13" t="str">
        <x:v>FIN-0040</x:v>
      </x:c>
      <x:c r="B44" s="16" t="n">
        <x:v>46144</x:v>
      </x:c>
      <x:c r="C44" s="13" t="str">
        <x:v>BNK-03040</x:v>
      </x:c>
      <x:c r="D44" s="13" t="str">
        <x:v>Maju Training Center</x:v>
      </x:c>
      <x:c r="E44" s="13" t="str">
        <x:v>Operational expense batch 40</x:v>
      </x:c>
      <x:c r="F44" s="13" t="str">
        <x:v>Training</x:v>
      </x:c>
      <x:c r="G44" s="13" t="str">
        <x:v>Bank Transfer</x:v>
      </x:c>
      <x:c r="H44" s="13" t="str">
        <x:v>IDR</x:v>
      </x:c>
      <x:c r="I44" s="19" t="n">
        <x:v>1780000</x:v>
      </x:c>
      <x:c r="J44" s="13"/>
      <x:c r="K44" s="13" t="str">
        <x:v>Entered</x:v>
      </x:c>
    </x:row>
    <x:row r="45" ht="23" customHeight="1">
      <x:c r="A45" s="13" t="str">
        <x:v>FIN-0041</x:v>
      </x:c>
      <x:c r="B45" s="16" t="n">
        <x:v>46178</x:v>
      </x:c>
      <x:c r="C45" s="13" t="str">
        <x:v>BNK-03041</x:v>
      </x:c>
      <x:c r="D45" s="13" t="str">
        <x:v>Nusa Office Supply</x:v>
      </x:c>
      <x:c r="E45" s="13" t="str">
        <x:v>Operational expense batch 41</x:v>
      </x:c>
      <x:c r="F45" s="13" t="str">
        <x:v>Office Supplies</x:v>
      </x:c>
      <x:c r="G45" s="13" t="str">
        <x:v>Corporate Card</x:v>
      </x:c>
      <x:c r="H45" s="13" t="str">
        <x:v>IDR</x:v>
      </x:c>
      <x:c r="I45" s="19" t="n">
        <x:v>1917000</x:v>
      </x:c>
      <x:c r="J45" s="13" t="str">
        <x:v>DOC-2026-0041</x:v>
      </x:c>
      <x:c r="K45" s="13" t="str">
        <x:v>Entered</x:v>
      </x:c>
    </x:row>
    <x:row r="46" ht="23" customHeight="1">
      <x:c r="A46" s="13" t="str">
        <x:v>FIN-0042</x:v>
      </x:c>
      <x:c r="B46" s="16" t="n">
        <x:v>46030</x:v>
      </x:c>
      <x:c r="C46" s="13" t="str">
        <x:v>BNK-03042</x:v>
      </x:c>
      <x:c r="D46" s="13" t="str">
        <x:v>CloudDesk Software</x:v>
      </x:c>
      <x:c r="E46" s="13" t="str">
        <x:v>Operational expense batch 42</x:v>
      </x:c>
      <x:c r="F46" s="13" t="str">
        <x:v>Software</x:v>
      </x:c>
      <x:c r="G46" s="13" t="str">
        <x:v>Direct Debit</x:v>
      </x:c>
      <x:c r="H46" s="13" t="str">
        <x:v>IDR</x:v>
      </x:c>
      <x:c r="I46" s="19" t="n">
        <x:v>2054000</x:v>
      </x:c>
      <x:c r="J46" s="13" t="str">
        <x:v>DOC-2026-0042</x:v>
      </x:c>
      <x:c r="K46" s="13" t="str">
        <x:v>Entered</x:v>
      </x:c>
    </x:row>
    <x:row r="47" ht="23" customHeight="1">
      <x:c r="A47" s="13" t="str">
        <x:v>FIN-0043</x:v>
      </x:c>
      <x:c r="B47" s="16" t="n">
        <x:v>46064</x:v>
      </x:c>
      <x:c r="C47" s="13" t="str">
        <x:v>BNK-03043</x:v>
      </x:c>
      <x:c r="D47" s="13" t="str">
        <x:v>Metro Courier</x:v>
      </x:c>
      <x:c r="E47" s="13" t="str">
        <x:v>Operational expense batch 43</x:v>
      </x:c>
      <x:c r="F47" s="13" t="str">
        <x:v>Other</x:v>
      </x:c>
      <x:c r="G47" s="13" t="str">
        <x:v>Bank Transfer</x:v>
      </x:c>
      <x:c r="H47" s="13" t="str">
        <x:v>IDR</x:v>
      </x:c>
      <x:c r="I47" s="19" t="n">
        <x:v>2191000</x:v>
      </x:c>
      <x:c r="J47" s="13" t="str">
        <x:v>DOC-2026-0043</x:v>
      </x:c>
      <x:c r="K47" s="13" t="str">
        <x:v>Entered</x:v>
      </x:c>
    </x:row>
    <x:row r="48" ht="23" customHeight="1">
      <x:c r="A48" s="13" t="str">
        <x:v>FIN-0044</x:v>
      </x:c>
      <x:c r="B48" s="16" t="n">
        <x:v>46095</x:v>
      </x:c>
      <x:c r="C48" s="13" t="str">
        <x:v>BNK-03044</x:v>
      </x:c>
      <x:c r="D48" s="13" t="str">
        <x:v>Bright Clean Services</x:v>
      </x:c>
      <x:c r="E48" s="13" t="str">
        <x:v>Operational expense batch 44</x:v>
      </x:c>
      <x:c r="F48" s="13" t="str">
        <x:v>Facilities</x:v>
      </x:c>
      <x:c r="G48" s="13" t="str">
        <x:v>Corporate Card</x:v>
      </x:c>
      <x:c r="H48" s="13" t="str">
        <x:v>IDR</x:v>
      </x:c>
      <x:c r="I48" s="19" t="n">
        <x:v>2328000</x:v>
      </x:c>
      <x:c r="J48" s="13" t="str">
        <x:v>DOC-2026-0044</x:v>
      </x:c>
      <x:c r="K48" s="13" t="str">
        <x:v>Entered</x:v>
      </x:c>
    </x:row>
    <x:row r="49" ht="23" customHeight="1">
      <x:c r="A49" s="13" t="str">
        <x:v>FIN-0045</x:v>
      </x:c>
      <x:c r="B49" s="16" t="n">
        <x:v>46129</x:v>
      </x:c>
      <x:c r="C49" s="13" t="str">
        <x:v>BNK-03045</x:v>
      </x:c>
      <x:c r="D49" s="13" t="str">
        <x:v>Sinar Telecom</x:v>
      </x:c>
      <x:c r="E49" s="13" t="str">
        <x:v>Operational expense batch 45</x:v>
      </x:c>
      <x:c r="F49" s="13" t="str">
        <x:v>Telecommunications</x:v>
      </x:c>
      <x:c r="G49" s="13" t="str">
        <x:v>Direct Debit</x:v>
      </x:c>
      <x:c r="H49" s="13" t="str">
        <x:v>IDR</x:v>
      </x:c>
      <x:c r="I49" s="19" t="n">
        <x:v>2465000</x:v>
      </x:c>
      <x:c r="J49" s="13" t="str">
        <x:v>DOC-2026-0045</x:v>
      </x:c>
      <x:c r="K49" s="13" t="str">
        <x:v>Entered</x:v>
      </x:c>
    </x:row>
    <x:row r="50" ht="23" customHeight="1">
      <x:c r="A50" s="13" t="str">
        <x:v>FIN-0046</x:v>
      </x:c>
      <x:c r="B50" s="16" t="n">
        <x:v>46162</x:v>
      </x:c>
      <x:c r="C50" s="13" t="str">
        <x:v>BNK-03046</x:v>
      </x:c>
      <x:c r="D50" s="13" t="str">
        <x:v>Karya Printing</x:v>
      </x:c>
      <x:c r="E50" s="13" t="str">
        <x:v>Operational expense batch 46</x:v>
      </x:c>
      <x:c r="F50" s="13" t="str">
        <x:v>Printing</x:v>
      </x:c>
      <x:c r="G50" s="13" t="str">
        <x:v>Bank Transfer</x:v>
      </x:c>
      <x:c r="H50" s="13" t="str">
        <x:v>IDR</x:v>
      </x:c>
      <x:c r="I50" s="19" t="n">
        <x:v>-250000</x:v>
      </x:c>
      <x:c r="J50" s="13" t="str">
        <x:v>DOC-2026-0046</x:v>
      </x:c>
      <x:c r="K50" s="13" t="str">
        <x:v>Entered</x:v>
      </x:c>
    </x:row>
    <x:row r="51" ht="23" customHeight="1">
      <x:c r="A51" s="13" t="str">
        <x:v>FIN-0047</x:v>
      </x:c>
      <x:c r="B51" s="16" t="n">
        <x:v>46196</x:v>
      </x:c>
      <x:c r="C51" s="13" t="str">
        <x:v>BNK-03047</x:v>
      </x:c>
      <x:c r="D51" s="13" t="str">
        <x:v>Archipelago Travel</x:v>
      </x:c>
      <x:c r="E51" s="13" t="str">
        <x:v>Operational expense batch 47</x:v>
      </x:c>
      <x:c r="F51" s="13" t="str">
        <x:v>Travel</x:v>
      </x:c>
      <x:c r="G51" s="13" t="str">
        <x:v>Corporate Card</x:v>
      </x:c>
      <x:c r="H51" s="13" t="str">
        <x:v>IDR</x:v>
      </x:c>
      <x:c r="I51" s="19" t="n">
        <x:v>2739000</x:v>
      </x:c>
      <x:c r="J51" s="13" t="str">
        <x:v>DOC-2026-0047</x:v>
      </x:c>
      <x:c r="K51" s="13" t="str">
        <x:v>Entered</x:v>
      </x:c>
    </x:row>
    <x:row r="52" ht="23" customHeight="1">
      <x:c r="A52" s="13" t="str">
        <x:v>FIN-0048</x:v>
      </x:c>
      <x:c r="B52" s="16" t="n">
        <x:v>46024</x:v>
      </x:c>
      <x:c r="C52" s="13" t="str">
        <x:v>BNK-03048</x:v>
      </x:c>
      <x:c r="D52" s="13" t="str">
        <x:v>Prima Utilities</x:v>
      </x:c>
      <x:c r="E52" s="13" t="str">
        <x:v>Operational expense batch 48</x:v>
      </x:c>
      <x:c r="F52" s="13" t="str">
        <x:v>Utilities</x:v>
      </x:c>
      <x:c r="G52" s="13" t="str">
        <x:v>Direct Debit</x:v>
      </x:c>
      <x:c r="H52" s="13" t="str">
        <x:v>IDR</x:v>
      </x:c>
      <x:c r="I52" s="19" t="n">
        <x:v>2876000</x:v>
      </x:c>
      <x:c r="J52" s="13" t="str">
        <x:v>DOC-2026-0048</x:v>
      </x:c>
      <x:c r="K52" s="13" t="str">
        <x:v>Entered</x:v>
      </x:c>
    </x:row>
    <x:row r="53" ht="23" customHeight="1">
      <x:c r="A53" s="13" t="str">
        <x:v>FIN-0049</x:v>
      </x:c>
      <x:c r="B53" s="16" t="n">
        <x:v>46058</x:v>
      </x:c>
      <x:c r="C53" s="13" t="str">
        <x:v>BNK-03049</x:v>
      </x:c>
      <x:c r="D53" s="13" t="str">
        <x:v>DataSecure Hosting</x:v>
      </x:c>
      <x:c r="E53" s="13" t="str">
        <x:v>Operational expense batch 49</x:v>
      </x:c>
      <x:c r="F53" s="13" t="str">
        <x:v>IT Services</x:v>
      </x:c>
      <x:c r="G53" s="13" t="str">
        <x:v>Bank Transfer</x:v>
      </x:c>
      <x:c r="H53" s="13" t="str">
        <x:v>IDR</x:v>
      </x:c>
      <x:c r="I53" s="19" t="n">
        <x:v>3013000</x:v>
      </x:c>
      <x:c r="J53" s="13" t="str">
        <x:v>DOC-2026-0049</x:v>
      </x:c>
      <x:c r="K53" s="13" t="str">
        <x:v>Entered</x:v>
      </x:c>
    </x:row>
    <x:row r="54" ht="23" customHeight="1">
      <x:c r="A54" s="13" t="str">
        <x:v>FIN-0050</x:v>
      </x:c>
      <x:c r="B54" s="16" t="n">
        <x:v>46089</x:v>
      </x:c>
      <x:c r="C54" s="13" t="str">
        <x:v>BNK-03050</x:v>
      </x:c>
      <x:c r="D54" s="13" t="str">
        <x:v>Maju Training Center</x:v>
      </x:c>
      <x:c r="E54" s="13" t="str">
        <x:v>Operational expense batch 50</x:v>
      </x:c>
      <x:c r="F54" s="13" t="str">
        <x:v>Training</x:v>
      </x:c>
      <x:c r="G54" s="13" t="str">
        <x:v>Corporate Card</x:v>
      </x:c>
      <x:c r="H54" s="13" t="str">
        <x:v>IDR</x:v>
      </x:c>
      <x:c r="I54" s="19" t="n">
        <x:v>3150000</x:v>
      </x:c>
      <x:c r="J54" s="13" t="str">
        <x:v>DOC-2026-0050</x:v>
      </x:c>
      <x:c r="K54" s="13" t="str">
        <x:v>Entered</x:v>
      </x:c>
    </x:row>
    <x:row r="55" ht="23" customHeight="1">
      <x:c r="A55" s="13" t="str">
        <x:v>FIN-0051</x:v>
      </x:c>
      <x:c r="B55" s="16" t="n">
        <x:v>46123</x:v>
      </x:c>
      <x:c r="C55" s="13" t="str">
        <x:v>BNK-03051</x:v>
      </x:c>
      <x:c r="D55" s="13" t="str">
        <x:v>Nusa Office Supply</x:v>
      </x:c>
      <x:c r="E55" s="13" t="str">
        <x:v>Operational expense batch 51</x:v>
      </x:c>
      <x:c r="F55" s="13" t="str">
        <x:v>Office Supplies</x:v>
      </x:c>
      <x:c r="G55" s="13" t="str">
        <x:v>Direct Debit</x:v>
      </x:c>
      <x:c r="H55" s="13" t="str">
        <x:v>IDR</x:v>
      </x:c>
      <x:c r="I55" s="19" t="n">
        <x:v>3287000</x:v>
      </x:c>
      <x:c r="J55" s="13"/>
      <x:c r="K55" s="13" t="str">
        <x:v>Entered</x:v>
      </x:c>
    </x:row>
    <x:row r="56" ht="23" customHeight="1">
      <x:c r="A56" s="13" t="str">
        <x:v>FIN-0052</x:v>
      </x:c>
      <x:c r="B56" s="16" t="n">
        <x:v>46156</x:v>
      </x:c>
      <x:c r="C56" s="13" t="str">
        <x:v>BNK-03052</x:v>
      </x:c>
      <x:c r="D56" s="13" t="str">
        <x:v>CloudDesk Software</x:v>
      </x:c>
      <x:c r="E56" s="13" t="str">
        <x:v>Operational expense batch 52</x:v>
      </x:c>
      <x:c r="F56" s="13" t="str">
        <x:v>Software</x:v>
      </x:c>
      <x:c r="G56" s="13" t="str">
        <x:v>Bank Transfer</x:v>
      </x:c>
      <x:c r="H56" s="13" t="str">
        <x:v>IDR</x:v>
      </x:c>
      <x:c r="I56" s="19" t="n">
        <x:v>3424000</x:v>
      </x:c>
      <x:c r="J56" s="13" t="str">
        <x:v>DOC-2026-0052</x:v>
      </x:c>
      <x:c r="K56" s="13" t="str">
        <x:v>Entered</x:v>
      </x:c>
    </x:row>
    <x:row r="57" ht="23" customHeight="1">
      <x:c r="A57" s="13" t="str">
        <x:v>FIN-0053</x:v>
      </x:c>
      <x:c r="B57" s="16" t="n">
        <x:v>46190</x:v>
      </x:c>
      <x:c r="C57" s="13" t="str">
        <x:v>BNK-03053</x:v>
      </x:c>
      <x:c r="D57" s="13" t="str">
        <x:v>Metro Courier</x:v>
      </x:c>
      <x:c r="E57" s="13" t="str">
        <x:v>Operational expense batch 53</x:v>
      </x:c>
      <x:c r="F57" s="13" t="str">
        <x:v>Courier</x:v>
      </x:c>
      <x:c r="G57" s="13" t="str">
        <x:v>Corporate Card</x:v>
      </x:c>
      <x:c r="H57" s="13" t="str">
        <x:v>IDR</x:v>
      </x:c>
      <x:c r="I57" s="19" t="n">
        <x:v>3561000</x:v>
      </x:c>
      <x:c r="J57" s="13" t="str">
        <x:v>DOC-2026-0053</x:v>
      </x:c>
      <x:c r="K57" s="13" t="str">
        <x:v>Entered</x:v>
      </x:c>
    </x:row>
    <x:row r="58" ht="23" customHeight="1">
      <x:c r="A58" s="13" t="str">
        <x:v>FIN-0054</x:v>
      </x:c>
      <x:c r="B58" s="16" t="n">
        <x:v>46042</x:v>
      </x:c>
      <x:c r="C58" s="13" t="str">
        <x:v>BNK-03054</x:v>
      </x:c>
      <x:c r="D58" s="13" t="str">
        <x:v>Bright Clean Services</x:v>
      </x:c>
      <x:c r="E58" s="13" t="str">
        <x:v>Operational expense batch 54</x:v>
      </x:c>
      <x:c r="F58" s="13" t="str">
        <x:v>Facilities</x:v>
      </x:c>
      <x:c r="G58" s="13" t="str">
        <x:v>Direct Debit</x:v>
      </x:c>
      <x:c r="H58" s="13" t="str">
        <x:v>IDR</x:v>
      </x:c>
      <x:c r="I58" s="19" t="n">
        <x:v>3698000</x:v>
      </x:c>
      <x:c r="J58" s="13" t="str">
        <x:v>DOC-2026-0054</x:v>
      </x:c>
      <x:c r="K58" s="13" t="str">
        <x:v>Entered</x:v>
      </x:c>
    </x:row>
    <x:row r="59" ht="23" customHeight="1">
      <x:c r="A59" s="13" t="str">
        <x:v>FIN-0055</x:v>
      </x:c>
      <x:c r="B59" s="16" t="n">
        <x:v>46076</x:v>
      </x:c>
      <x:c r="C59" s="13" t="str">
        <x:v>BNK-03055</x:v>
      </x:c>
      <x:c r="D59" s="13" t="str">
        <x:v>Sinar Telecom</x:v>
      </x:c>
      <x:c r="E59" s="13" t="str">
        <x:v>Operational expense batch 55</x:v>
      </x:c>
      <x:c r="F59" s="13" t="str">
        <x:v>Telecommunications</x:v>
      </x:c>
      <x:c r="G59" s="13" t="str">
        <x:v>Bank Transfer</x:v>
      </x:c>
      <x:c r="H59" s="13" t="str">
        <x:v>IDR</x:v>
      </x:c>
      <x:c r="I59" s="19" t="n">
        <x:v>3835000</x:v>
      </x:c>
      <x:c r="J59" s="13" t="str">
        <x:v>DOC-2026-0055</x:v>
      </x:c>
      <x:c r="K59" s="13" t="str">
        <x:v>Entered</x:v>
      </x:c>
    </x:row>
    <x:row r="60" ht="23" customHeight="1">
      <x:c r="A60" s="13" t="str">
        <x:v>FIN-0056</x:v>
      </x:c>
      <x:c r="B60" s="16" t="n">
        <x:v>46083</x:v>
      </x:c>
      <x:c r="C60" s="13" t="str">
        <x:v>BNK-03056</x:v>
      </x:c>
      <x:c r="D60" s="13" t="str">
        <x:v>Karya Printing</x:v>
      </x:c>
      <x:c r="E60" s="13" t="str">
        <x:v>Operational expense batch 56</x:v>
      </x:c>
      <x:c r="F60" s="13" t="str">
        <x:v>Printing</x:v>
      </x:c>
      <x:c r="G60" s="13" t="str">
        <x:v>Corporate Card</x:v>
      </x:c>
      <x:c r="H60" s="13" t="str">
        <x:v>IDR</x:v>
      </x:c>
      <x:c r="I60" s="19" t="n">
        <x:v>3972000</x:v>
      </x:c>
      <x:c r="J60" s="13" t="str">
        <x:v>DOC-2026-0056</x:v>
      </x:c>
      <x:c r="K60" s="13" t="str">
        <x:v>Entered</x:v>
      </x:c>
    </x:row>
    <x:row r="61" ht="23" customHeight="1">
      <x:c r="A61" s="13" t="str">
        <x:v>FIN-0057</x:v>
      </x:c>
      <x:c r="B61" s="16" t="n">
        <x:v>46117</x:v>
      </x:c>
      <x:c r="C61" s="13" t="str">
        <x:v>BNK-03057</x:v>
      </x:c>
      <x:c r="D61" s="13" t="str">
        <x:v>Archipelago Travel</x:v>
      </x:c>
      <x:c r="E61" s="13" t="str">
        <x:v>Operational expense batch 57</x:v>
      </x:c>
      <x:c r="F61" s="13" t="str">
        <x:v>Travel</x:v>
      </x:c>
      <x:c r="G61" s="13" t="str">
        <x:v>Direct Debit</x:v>
      </x:c>
      <x:c r="H61" s="13" t="str">
        <x:v>IDR</x:v>
      </x:c>
      <x:c r="I61" s="19" t="n">
        <x:v>259000</x:v>
      </x:c>
      <x:c r="J61" s="13" t="str">
        <x:v>DOC-2026-0057</x:v>
      </x:c>
      <x:c r="K61" s="13" t="str">
        <x:v>Entered</x:v>
      </x:c>
    </x:row>
    <x:row r="62" ht="23" customHeight="1">
      <x:c r="A62" s="13" t="str">
        <x:v>FIN-0058</x:v>
      </x:c>
      <x:c r="B62" s="16" t="n">
        <x:v>46150</x:v>
      </x:c>
      <x:c r="C62" s="13" t="str">
        <x:v>BNK-03058</x:v>
      </x:c>
      <x:c r="D62" s="13" t="str">
        <x:v>Prima Utilities</x:v>
      </x:c>
      <x:c r="E62" s="13" t="str">
        <x:v>Operational expense batch 58</x:v>
      </x:c>
      <x:c r="F62" s="13" t="str">
        <x:v>Utilities</x:v>
      </x:c>
      <x:c r="G62" s="13" t="str">
        <x:v>Bank Transfer</x:v>
      </x:c>
      <x:c r="H62" s="13" t="str">
        <x:v>IDR</x:v>
      </x:c>
      <x:c r="I62" s="19" t="n">
        <x:v>396000</x:v>
      </x:c>
      <x:c r="J62" s="13" t="str">
        <x:v>DOC-2026-0058</x:v>
      </x:c>
      <x:c r="K62" s="13" t="str">
        <x:v>Entered</x:v>
      </x:c>
    </x:row>
    <x:row r="63" ht="23" customHeight="1">
      <x:c r="A63" s="13" t="str">
        <x:v>FIN-0059</x:v>
      </x:c>
      <x:c r="B63" s="16" t="n">
        <x:v>46184</x:v>
      </x:c>
      <x:c r="C63" s="13" t="str">
        <x:v>BNK-03059</x:v>
      </x:c>
      <x:c r="D63" s="13" t="str">
        <x:v>DataSecure Hosting</x:v>
      </x:c>
      <x:c r="E63" s="13" t="str">
        <x:v>Operational expense batch 59</x:v>
      </x:c>
      <x:c r="F63" s="13" t="str">
        <x:v>IT Services</x:v>
      </x:c>
      <x:c r="G63" s="13" t="str">
        <x:v>Corporate Card</x:v>
      </x:c>
      <x:c r="H63" s="13" t="str">
        <x:v>IDR</x:v>
      </x:c>
      <x:c r="I63" s="19" t="n">
        <x:v>533000</x:v>
      </x:c>
      <x:c r="J63" s="13" t="str">
        <x:v>DOC-2026-0059</x:v>
      </x:c>
      <x:c r="K63" s="13" t="str">
        <x:v>Entered</x:v>
      </x:c>
    </x:row>
    <x:row r="64" ht="23" customHeight="1">
      <x:c r="A64" s="14" t="str">
        <x:v>FIN-0060</x:v>
      </x:c>
      <x:c r="B64" s="17" t="n">
        <x:v>46036</x:v>
      </x:c>
      <x:c r="C64" s="14" t="str">
        <x:v>BNK-03060</x:v>
      </x:c>
      <x:c r="D64" s="14" t="str">
        <x:v>Maju Training Center</x:v>
      </x:c>
      <x:c r="E64" s="14" t="str">
        <x:v>Operational expense batch 60</x:v>
      </x:c>
      <x:c r="F64" s="14" t="str">
        <x:v>Training</x:v>
      </x:c>
      <x:c r="G64" s="14" t="str">
        <x:v>Direct Debit</x:v>
      </x:c>
      <x:c r="H64" s="14" t="str">
        <x:v>IDR</x:v>
      </x:c>
      <x:c r="I64" s="20" t="n">
        <x:v>670000</x:v>
      </x:c>
      <x:c r="J64" s="14" t="str">
        <x:v>DOC-2026-0060</x:v>
      </x:c>
      <x:c r="K64" s="14" t="str">
        <x:v>Entered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6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2" t="str">
        <x:v>PROJ-008 | BANK STATEMENT IMPORT</x:v>
      </x:c>
      <x:c r="B1" s="2"/>
      <x:c r="C1" s="2"/>
      <x:c r="D1" s="2"/>
      <x:c r="E1" s="2"/>
      <x:c r="F1" s="2"/>
      <x:c r="G1" s="2"/>
    </x:row>
    <x:row r="2" ht="24" customHeight="1">
      <x:c r="A2" s="4" t="str">
        <x:v>Simulated bank export • preserved separately for two-way reconciliation</x:v>
      </x:c>
      <x:c r="B2" s="4"/>
      <x:c r="C2" s="4"/>
      <x:c r="D2" s="4"/>
      <x:c r="E2" s="4"/>
      <x:c r="F2" s="4"/>
      <x:c r="G2" s="4"/>
    </x:row>
    <x:row r="4" ht="34" customHeight="1">
      <x:c r="A4" s="10" t="str">
        <x:v>Statement Row</x:v>
      </x:c>
      <x:c r="B4" s="10" t="str">
        <x:v>Bank Date</x:v>
      </x:c>
      <x:c r="C4" s="10" t="str">
        <x:v>Bank Reference</x:v>
      </x:c>
      <x:c r="D4" s="10" t="str">
        <x:v>Counterparty</x:v>
      </x:c>
      <x:c r="E4" s="10" t="str">
        <x:v>Bank Amount</x:v>
      </x:c>
      <x:c r="F4" s="10" t="str">
        <x:v>Flow</x:v>
      </x:c>
      <x:c r="G4" s="10" t="str">
        <x:v>Import Status</x:v>
      </x:c>
    </x:row>
    <x:row r="5" ht="23" customHeight="1">
      <x:c r="A5" s="12" t="str">
        <x:v>STMT-0001</x:v>
      </x:c>
      <x:c r="B5" s="15" t="n">
        <x:v>46058</x:v>
      </x:c>
      <x:c r="C5" s="12" t="str">
        <x:v>BNK-03001</x:v>
      </x:c>
      <x:c r="D5" s="12" t="str">
        <x:v>Nusa Office Supply</x:v>
      </x:c>
      <x:c r="E5" s="18" t="n">
        <x:v>287000</x:v>
      </x:c>
      <x:c r="F5" s="12" t="str">
        <x:v>Debit</x:v>
      </x:c>
      <x:c r="G5" s="12" t="str">
        <x:v>Imported</x:v>
      </x:c>
    </x:row>
    <x:row r="6" ht="23" customHeight="1">
      <x:c r="A6" s="13" t="str">
        <x:v>STMT-0002</x:v>
      </x:c>
      <x:c r="B6" s="16" t="n">
        <x:v>46089</x:v>
      </x:c>
      <x:c r="C6" s="13" t="str">
        <x:v>BNK-03002</x:v>
      </x:c>
      <x:c r="D6" s="13" t="str">
        <x:v>CloudDesk Software</x:v>
      </x:c>
      <x:c r="E6" s="19" t="n">
        <x:v>424000</x:v>
      </x:c>
      <x:c r="F6" s="13" t="str">
        <x:v>Debit</x:v>
      </x:c>
      <x:c r="G6" s="13" t="str">
        <x:v>Imported</x:v>
      </x:c>
    </x:row>
    <x:row r="7" ht="23" customHeight="1">
      <x:c r="A7" s="13" t="str">
        <x:v>STMT-0003</x:v>
      </x:c>
      <x:c r="B7" s="16" t="n">
        <x:v>46123</x:v>
      </x:c>
      <x:c r="C7" s="13" t="str">
        <x:v>BNK-03003</x:v>
      </x:c>
      <x:c r="D7" s="13" t="str">
        <x:v>Metro Courier</x:v>
      </x:c>
      <x:c r="E7" s="19" t="n">
        <x:v>561000</x:v>
      </x:c>
      <x:c r="F7" s="13" t="str">
        <x:v>Debit</x:v>
      </x:c>
      <x:c r="G7" s="13" t="str">
        <x:v>Imported</x:v>
      </x:c>
    </x:row>
    <x:row r="8" ht="23" customHeight="1">
      <x:c r="A8" s="13" t="str">
        <x:v>STMT-0004</x:v>
      </x:c>
      <x:c r="B8" s="16" t="n">
        <x:v>46156</x:v>
      </x:c>
      <x:c r="C8" s="13" t="str">
        <x:v>BNK-03004</x:v>
      </x:c>
      <x:c r="D8" s="13" t="str">
        <x:v>Bright Clean Services</x:v>
      </x:c>
      <x:c r="E8" s="19" t="n">
        <x:v>698000</x:v>
      </x:c>
      <x:c r="F8" s="13" t="str">
        <x:v>Debit</x:v>
      </x:c>
      <x:c r="G8" s="13" t="str">
        <x:v>Imported</x:v>
      </x:c>
    </x:row>
    <x:row r="9" ht="23" customHeight="1">
      <x:c r="A9" s="13" t="str">
        <x:v>STMT-0005</x:v>
      </x:c>
      <x:c r="B9" s="16" t="n">
        <x:v>46042</x:v>
      </x:c>
      <x:c r="C9" s="13" t="str">
        <x:v>BNK-03006</x:v>
      </x:c>
      <x:c r="D9" s="13" t="str">
        <x:v>Karya Printing</x:v>
      </x:c>
      <x:c r="E9" s="19" t="n">
        <x:v>972000</x:v>
      </x:c>
      <x:c r="F9" s="13" t="str">
        <x:v>Debit</x:v>
      </x:c>
      <x:c r="G9" s="13" t="str">
        <x:v>Imported</x:v>
      </x:c>
    </x:row>
    <x:row r="10" ht="23" customHeight="1">
      <x:c r="A10" s="13" t="str">
        <x:v>STMT-0006</x:v>
      </x:c>
      <x:c r="B10" s="16" t="n">
        <x:v>46076</x:v>
      </x:c>
      <x:c r="C10" s="13" t="str">
        <x:v>BNK-03007</x:v>
      </x:c>
      <x:c r="D10" s="13" t="str">
        <x:v>Archipelago Travel</x:v>
      </x:c>
      <x:c r="E10" s="19" t="n">
        <x:v>1109000</x:v>
      </x:c>
      <x:c r="F10" s="13" t="str">
        <x:v>Debit</x:v>
      </x:c>
      <x:c r="G10" s="13" t="str">
        <x:v>Imported</x:v>
      </x:c>
    </x:row>
    <x:row r="11" ht="23" customHeight="1">
      <x:c r="A11" s="13" t="str">
        <x:v>STMT-0007</x:v>
      </x:c>
      <x:c r="B11" s="16" t="n">
        <x:v>46087</x:v>
      </x:c>
      <x:c r="C11" s="13" t="str">
        <x:v>BNK-03008</x:v>
      </x:c>
      <x:c r="D11" s="13" t="str">
        <x:v>Prima Utilities</x:v>
      </x:c>
      <x:c r="E11" s="19" t="n">
        <x:v>1246000</x:v>
      </x:c>
      <x:c r="F11" s="13" t="str">
        <x:v>Debit</x:v>
      </x:c>
      <x:c r="G11" s="13" t="str">
        <x:v>Imported</x:v>
      </x:c>
    </x:row>
    <x:row r="12" ht="23" customHeight="1">
      <x:c r="A12" s="13" t="str">
        <x:v>STMT-0008</x:v>
      </x:c>
      <x:c r="B12" s="16" t="n">
        <x:v>46117</x:v>
      </x:c>
      <x:c r="C12" s="13" t="str">
        <x:v>BNK-03009</x:v>
      </x:c>
      <x:c r="D12" s="13" t="str">
        <x:v>DataSecure Hosting</x:v>
      </x:c>
      <x:c r="E12" s="19" t="n">
        <x:v>1383000</x:v>
      </x:c>
      <x:c r="F12" s="13" t="str">
        <x:v>Debit</x:v>
      </x:c>
      <x:c r="G12" s="13" t="str">
        <x:v>Imported</x:v>
      </x:c>
    </x:row>
    <x:row r="13" ht="23" customHeight="1">
      <x:c r="A13" s="13" t="str">
        <x:v>STMT-0009</x:v>
      </x:c>
      <x:c r="B13" s="16" t="n">
        <x:v>46150</x:v>
      </x:c>
      <x:c r="C13" s="13" t="str">
        <x:v>BNK-03010</x:v>
      </x:c>
      <x:c r="D13" s="13" t="str">
        <x:v>Maju Training Center</x:v>
      </x:c>
      <x:c r="E13" s="19" t="n">
        <x:v>1520000</x:v>
      </x:c>
      <x:c r="F13" s="13" t="str">
        <x:v>Debit</x:v>
      </x:c>
      <x:c r="G13" s="13" t="str">
        <x:v>Imported</x:v>
      </x:c>
    </x:row>
    <x:row r="14" ht="23" customHeight="1">
      <x:c r="A14" s="13" t="str">
        <x:v>STMT-0010</x:v>
      </x:c>
      <x:c r="B14" s="16" t="n">
        <x:v>46184</x:v>
      </x:c>
      <x:c r="C14" s="13" t="str">
        <x:v>BNK-03011</x:v>
      </x:c>
      <x:c r="D14" s="13" t="str">
        <x:v>Nusa Office Supply</x:v>
      </x:c>
      <x:c r="E14" s="19" t="n">
        <x:v>1657000</x:v>
      </x:c>
      <x:c r="F14" s="13" t="str">
        <x:v>Debit</x:v>
      </x:c>
      <x:c r="G14" s="13" t="str">
        <x:v>Imported</x:v>
      </x:c>
    </x:row>
    <x:row r="15" ht="23" customHeight="1">
      <x:c r="A15" s="13" t="str">
        <x:v>STMT-0011</x:v>
      </x:c>
      <x:c r="B15" s="16" t="n">
        <x:v>46036</x:v>
      </x:c>
      <x:c r="C15" s="13" t="str">
        <x:v>BNK-03012</x:v>
      </x:c>
      <x:c r="D15" s="13" t="str">
        <x:v>CloudDesk Software</x:v>
      </x:c>
      <x:c r="E15" s="19" t="n">
        <x:v>1794000</x:v>
      </x:c>
      <x:c r="F15" s="13" t="str">
        <x:v>Debit</x:v>
      </x:c>
      <x:c r="G15" s="13" t="str">
        <x:v>Imported</x:v>
      </x:c>
    </x:row>
    <x:row r="16" ht="23" customHeight="1">
      <x:c r="A16" s="13" t="str">
        <x:v>STMT-0012</x:v>
      </x:c>
      <x:c r="B16" s="16" t="n">
        <x:v>46070</x:v>
      </x:c>
      <x:c r="C16" s="13" t="str">
        <x:v>BNK-03013</x:v>
      </x:c>
      <x:c r="D16" s="13" t="str">
        <x:v>Metro Courier</x:v>
      </x:c>
      <x:c r="E16" s="19" t="n">
        <x:v>1931000</x:v>
      </x:c>
      <x:c r="F16" s="13" t="str">
        <x:v>Debit</x:v>
      </x:c>
      <x:c r="G16" s="13" t="str">
        <x:v>Imported</x:v>
      </x:c>
    </x:row>
    <x:row r="17" ht="23" customHeight="1">
      <x:c r="A17" s="13" t="str">
        <x:v>STMT-0013</x:v>
      </x:c>
      <x:c r="B17" s="16" t="n">
        <x:v>46101</x:v>
      </x:c>
      <x:c r="C17" s="13" t="str">
        <x:v>BNK-03014</x:v>
      </x:c>
      <x:c r="D17" s="13" t="str">
        <x:v>Bright Clean Services</x:v>
      </x:c>
      <x:c r="E17" s="19" t="n">
        <x:v>2068000</x:v>
      </x:c>
      <x:c r="F17" s="13" t="str">
        <x:v>Debit</x:v>
      </x:c>
      <x:c r="G17" s="13" t="str">
        <x:v>Imported</x:v>
      </x:c>
    </x:row>
    <x:row r="18" ht="23" customHeight="1">
      <x:c r="A18" s="13" t="str">
        <x:v>STMT-0014</x:v>
      </x:c>
      <x:c r="B18" s="16" t="n">
        <x:v>46135</x:v>
      </x:c>
      <x:c r="C18" s="13" t="str">
        <x:v>BNK-03015</x:v>
      </x:c>
      <x:c r="D18" s="13" t="str">
        <x:v>Sinar Telecom</x:v>
      </x:c>
      <x:c r="E18" s="19" t="n">
        <x:v>2205000</x:v>
      </x:c>
      <x:c r="F18" s="13" t="str">
        <x:v>Debit</x:v>
      </x:c>
      <x:c r="G18" s="13" t="str">
        <x:v>Imported</x:v>
      </x:c>
    </x:row>
    <x:row r="19" ht="23" customHeight="1">
      <x:c r="A19" s="13" t="str">
        <x:v>STMT-0015</x:v>
      </x:c>
      <x:c r="B19" s="16" t="n">
        <x:v>46144</x:v>
      </x:c>
      <x:c r="C19" s="13" t="str">
        <x:v>BNK-03016</x:v>
      </x:c>
      <x:c r="D19" s="13" t="str">
        <x:v>Karya Printing</x:v>
      </x:c>
      <x:c r="E19" s="19" t="n">
        <x:v>2342000</x:v>
      </x:c>
      <x:c r="F19" s="13" t="str">
        <x:v>Debit</x:v>
      </x:c>
      <x:c r="G19" s="13" t="str">
        <x:v>Imported</x:v>
      </x:c>
    </x:row>
    <x:row r="20" ht="23" customHeight="1">
      <x:c r="A20" s="13" t="str">
        <x:v>STMT-0016</x:v>
      </x:c>
      <x:c r="B20" s="16" t="n">
        <x:v>46178</x:v>
      </x:c>
      <x:c r="C20" s="13" t="str">
        <x:v>BNK-03017</x:v>
      </x:c>
      <x:c r="D20" s="13" t="str">
        <x:v>Archipelago Travel</x:v>
      </x:c>
      <x:c r="E20" s="19" t="n">
        <x:v>2554000</x:v>
      </x:c>
      <x:c r="F20" s="13" t="str">
        <x:v>Debit</x:v>
      </x:c>
      <x:c r="G20" s="13" t="str">
        <x:v>Imported</x:v>
      </x:c>
    </x:row>
    <x:row r="21" ht="23" customHeight="1">
      <x:c r="A21" s="13" t="str">
        <x:v>STMT-0017</x:v>
      </x:c>
      <x:c r="B21" s="16" t="n">
        <x:v>46030</x:v>
      </x:c>
      <x:c r="C21" s="13" t="str">
        <x:v>BNK-03018</x:v>
      </x:c>
      <x:c r="D21" s="13" t="str">
        <x:v>Prima Utilities</x:v>
      </x:c>
      <x:c r="E21" s="19" t="n">
        <x:v>2616000</x:v>
      </x:c>
      <x:c r="F21" s="13" t="str">
        <x:v>Debit</x:v>
      </x:c>
      <x:c r="G21" s="13" t="str">
        <x:v>Imported</x:v>
      </x:c>
    </x:row>
    <x:row r="22" ht="23" customHeight="1">
      <x:c r="A22" s="13" t="str">
        <x:v>STMT-0018</x:v>
      </x:c>
      <x:c r="B22" s="16" t="n">
        <x:v>46064</x:v>
      </x:c>
      <x:c r="C22" s="13" t="str">
        <x:v>BNK-03019</x:v>
      </x:c>
      <x:c r="D22" s="13" t="str">
        <x:v>DataSecure Hosting</x:v>
      </x:c>
      <x:c r="E22" s="19" t="n">
        <x:v>2753000</x:v>
      </x:c>
      <x:c r="F22" s="13" t="str">
        <x:v>Debit</x:v>
      </x:c>
      <x:c r="G22" s="13" t="str">
        <x:v>Imported</x:v>
      </x:c>
    </x:row>
    <x:row r="23" ht="23" customHeight="1">
      <x:c r="A23" s="13" t="str">
        <x:v>STMT-0019</x:v>
      </x:c>
      <x:c r="B23" s="16" t="n">
        <x:v>46095</x:v>
      </x:c>
      <x:c r="C23" s="13" t="str">
        <x:v>BNK-03020</x:v>
      </x:c>
      <x:c r="D23" s="13" t="str">
        <x:v>Maju Training Center</x:v>
      </x:c>
      <x:c r="E23" s="19" t="n">
        <x:v>2890000</x:v>
      </x:c>
      <x:c r="F23" s="13" t="str">
        <x:v>Debit</x:v>
      </x:c>
      <x:c r="G23" s="13" t="str">
        <x:v>Imported</x:v>
      </x:c>
    </x:row>
    <x:row r="24" ht="23" customHeight="1">
      <x:c r="A24" s="13" t="str">
        <x:v>STMT-0020</x:v>
      </x:c>
      <x:c r="B24" s="16" t="n">
        <x:v>46129</x:v>
      </x:c>
      <x:c r="C24" s="13" t="str">
        <x:v>BNK-03021</x:v>
      </x:c>
      <x:c r="D24" s="13" t="str">
        <x:v>Nusa Office Supply</x:v>
      </x:c>
      <x:c r="E24" s="19" t="n">
        <x:v>0</x:v>
      </x:c>
      <x:c r="F24" s="13" t="str">
        <x:v>Debit</x:v>
      </x:c>
      <x:c r="G24" s="13" t="str">
        <x:v>Imported</x:v>
      </x:c>
    </x:row>
    <x:row r="25" ht="23" customHeight="1">
      <x:c r="A25" s="13" t="str">
        <x:v>STMT-0021</x:v>
      </x:c>
      <x:c r="B25" s="16" t="n">
        <x:v>46196</x:v>
      </x:c>
      <x:c r="C25" s="13" t="str">
        <x:v>BNK-03023</x:v>
      </x:c>
      <x:c r="D25" s="13" t="str">
        <x:v>Metro Courier</x:v>
      </x:c>
      <x:c r="E25" s="19" t="n">
        <x:v>3301000</x:v>
      </x:c>
      <x:c r="F25" s="13" t="str">
        <x:v>Debit</x:v>
      </x:c>
      <x:c r="G25" s="13" t="str">
        <x:v>Imported</x:v>
      </x:c>
    </x:row>
    <x:row r="26" ht="23" customHeight="1">
      <x:c r="A26" s="13" t="str">
        <x:v>STMT-0022</x:v>
      </x:c>
      <x:c r="B26" s="16" t="n">
        <x:v>46024</x:v>
      </x:c>
      <x:c r="C26" s="13" t="str">
        <x:v>BNK-03024</x:v>
      </x:c>
      <x:c r="D26" s="13" t="str">
        <x:v>Bright Clean Services</x:v>
      </x:c>
      <x:c r="E26" s="19" t="n">
        <x:v>3438000</x:v>
      </x:c>
      <x:c r="F26" s="13" t="str">
        <x:v>Debit</x:v>
      </x:c>
      <x:c r="G26" s="13" t="str">
        <x:v>Imported</x:v>
      </x:c>
    </x:row>
    <x:row r="27" ht="23" customHeight="1">
      <x:c r="A27" s="13" t="str">
        <x:v>STMT-0023</x:v>
      </x:c>
      <x:c r="B27" s="16" t="n">
        <x:v>46058</x:v>
      </x:c>
      <x:c r="C27" s="13" t="str">
        <x:v>BNK-03025</x:v>
      </x:c>
      <x:c r="D27" s="13" t="str">
        <x:v>Sinar Telecom</x:v>
      </x:c>
      <x:c r="E27" s="19" t="n">
        <x:v>3575000</x:v>
      </x:c>
      <x:c r="F27" s="13" t="str">
        <x:v>Debit</x:v>
      </x:c>
      <x:c r="G27" s="13" t="str">
        <x:v>Imported</x:v>
      </x:c>
    </x:row>
    <x:row r="28" ht="23" customHeight="1">
      <x:c r="A28" s="13" t="str">
        <x:v>STMT-0024</x:v>
      </x:c>
      <x:c r="B28" s="16" t="n">
        <x:v>46089</x:v>
      </x:c>
      <x:c r="C28" s="13" t="str">
        <x:v>BNK-03026</x:v>
      </x:c>
      <x:c r="D28" s="13" t="str">
        <x:v>Karya Printing</x:v>
      </x:c>
      <x:c r="E28" s="19" t="n">
        <x:v>3712000</x:v>
      </x:c>
      <x:c r="F28" s="13" t="str">
        <x:v>Debit</x:v>
      </x:c>
      <x:c r="G28" s="13" t="str">
        <x:v>Imported</x:v>
      </x:c>
    </x:row>
    <x:row r="29" ht="23" customHeight="1">
      <x:c r="A29" s="13" t="str">
        <x:v>STMT-0025</x:v>
      </x:c>
      <x:c r="B29" s="16" t="n">
        <x:v>46123</x:v>
      </x:c>
      <x:c r="C29" s="13" t="str">
        <x:v>BNK-03027</x:v>
      </x:c>
      <x:c r="D29" s="13" t="str">
        <x:v>Archipelago Travel</x:v>
      </x:c>
      <x:c r="E29" s="19" t="n">
        <x:v>3849000</x:v>
      </x:c>
      <x:c r="F29" s="13" t="str">
        <x:v>Debit</x:v>
      </x:c>
      <x:c r="G29" s="13" t="str">
        <x:v>Imported</x:v>
      </x:c>
    </x:row>
    <x:row r="30" ht="23" customHeight="1">
      <x:c r="A30" s="13" t="str">
        <x:v>STMT-0026</x:v>
      </x:c>
      <x:c r="B30" s="16" t="n">
        <x:v>46156</x:v>
      </x:c>
      <x:c r="C30" s="13" t="str">
        <x:v>BNK-03028</x:v>
      </x:c>
      <x:c r="D30" s="13" t="str">
        <x:v>Prima Utilities</x:v>
      </x:c>
      <x:c r="E30" s="19" t="n">
        <x:v>3986000</x:v>
      </x:c>
      <x:c r="F30" s="13" t="str">
        <x:v>Debit</x:v>
      </x:c>
      <x:c r="G30" s="13" t="str">
        <x:v>Imported</x:v>
      </x:c>
    </x:row>
    <x:row r="31" ht="23" customHeight="1">
      <x:c r="A31" s="13" t="str">
        <x:v>STMT-0027</x:v>
      </x:c>
      <x:c r="B31" s="16" t="n">
        <x:v>46190</x:v>
      </x:c>
      <x:c r="C31" s="13" t="str">
        <x:v>BNK-03029</x:v>
      </x:c>
      <x:c r="D31" s="13" t="str">
        <x:v>DataSecure Hosting</x:v>
      </x:c>
      <x:c r="E31" s="19" t="n">
        <x:v>273000</x:v>
      </x:c>
      <x:c r="F31" s="13" t="str">
        <x:v>Debit</x:v>
      </x:c>
      <x:c r="G31" s="13" t="str">
        <x:v>Imported</x:v>
      </x:c>
    </x:row>
    <x:row r="32" ht="23" customHeight="1">
      <x:c r="A32" s="13" t="str">
        <x:v>STMT-0028</x:v>
      </x:c>
      <x:c r="B32" s="16" t="n">
        <x:v>46042</x:v>
      </x:c>
      <x:c r="C32" s="13" t="str">
        <x:v>BNK-03030</x:v>
      </x:c>
      <x:c r="D32" s="13" t="str">
        <x:v>Maju Training Center</x:v>
      </x:c>
      <x:c r="E32" s="19" t="n">
        <x:v>410000</x:v>
      </x:c>
      <x:c r="F32" s="13" t="str">
        <x:v>Debit</x:v>
      </x:c>
      <x:c r="G32" s="13" t="str">
        <x:v>Imported</x:v>
      </x:c>
    </x:row>
    <x:row r="33" ht="23" customHeight="1">
      <x:c r="A33" s="13" t="str">
        <x:v>STMT-0029</x:v>
      </x:c>
      <x:c r="B33" s="16" t="n">
        <x:v>46080</x:v>
      </x:c>
      <x:c r="C33" s="13" t="str">
        <x:v>BNK-03031</x:v>
      </x:c>
      <x:c r="D33" s="13" t="str">
        <x:v>Nusa Office Supply</x:v>
      </x:c>
      <x:c r="E33" s="19" t="n">
        <x:v>547000</x:v>
      </x:c>
      <x:c r="F33" s="13" t="str">
        <x:v>Debit</x:v>
      </x:c>
      <x:c r="G33" s="13" t="str">
        <x:v>Imported</x:v>
      </x:c>
    </x:row>
    <x:row r="34" ht="23" customHeight="1">
      <x:c r="A34" s="13" t="str">
        <x:v>STMT-0030</x:v>
      </x:c>
      <x:c r="B34" s="16" t="n">
        <x:v>46083</x:v>
      </x:c>
      <x:c r="C34" s="13" t="str">
        <x:v>BNK-03032</x:v>
      </x:c>
      <x:c r="D34" s="13" t="str">
        <x:v>CloudDesk Software</x:v>
      </x:c>
      <x:c r="E34" s="19" t="n">
        <x:v>684000</x:v>
      </x:c>
      <x:c r="F34" s="13" t="str">
        <x:v>Debit</x:v>
      </x:c>
      <x:c r="G34" s="13" t="str">
        <x:v>Imported</x:v>
      </x:c>
    </x:row>
    <x:row r="35" ht="23" customHeight="1">
      <x:c r="A35" s="13" t="str">
        <x:v>STMT-0031</x:v>
      </x:c>
      <x:c r="B35" s="16" t="n">
        <x:v>46117</x:v>
      </x:c>
      <x:c r="C35" s="13" t="str">
        <x:v>BNK-03033</x:v>
      </x:c>
      <x:c r="D35" s="13" t="str">
        <x:v>Metro Courier</x:v>
      </x:c>
      <x:c r="E35" s="19" t="n">
        <x:v>821000</x:v>
      </x:c>
      <x:c r="F35" s="13" t="str">
        <x:v>Debit</x:v>
      </x:c>
      <x:c r="G35" s="13" t="str">
        <x:v>Imported</x:v>
      </x:c>
    </x:row>
    <x:row r="36" ht="23" customHeight="1">
      <x:c r="A36" s="13" t="str">
        <x:v>STMT-0032</x:v>
      </x:c>
      <x:c r="B36" s="16" t="n">
        <x:v>46150</x:v>
      </x:c>
      <x:c r="C36" s="13" t="str">
        <x:v>BNK-03034</x:v>
      </x:c>
      <x:c r="D36" s="13" t="str">
        <x:v>Bright Clean Services</x:v>
      </x:c>
      <x:c r="E36" s="19" t="n">
        <x:v>958000</x:v>
      </x:c>
      <x:c r="F36" s="13" t="str">
        <x:v>Debit</x:v>
      </x:c>
      <x:c r="G36" s="13" t="str">
        <x:v>Imported</x:v>
      </x:c>
    </x:row>
    <x:row r="37" ht="23" customHeight="1">
      <x:c r="A37" s="13" t="str">
        <x:v>STMT-0033</x:v>
      </x:c>
      <x:c r="B37" s="16" t="n">
        <x:v>46184</x:v>
      </x:c>
      <x:c r="C37" s="13" t="str">
        <x:v>BNK-03035</x:v>
      </x:c>
      <x:c r="D37" s="13" t="str">
        <x:v>Sinar Telecom</x:v>
      </x:c>
      <x:c r="E37" s="19" t="n">
        <x:v>1095000</x:v>
      </x:c>
      <x:c r="F37" s="13" t="str">
        <x:v>Debit</x:v>
      </x:c>
      <x:c r="G37" s="13" t="str">
        <x:v>Imported</x:v>
      </x:c>
    </x:row>
    <x:row r="38" ht="23" customHeight="1">
      <x:c r="A38" s="13" t="str">
        <x:v>STMT-0034</x:v>
      </x:c>
      <x:c r="B38" s="16" t="n">
        <x:v>46036</x:v>
      </x:c>
      <x:c r="C38" s="13" t="str">
        <x:v>BNK-03036</x:v>
      </x:c>
      <x:c r="D38" s="13" t="str">
        <x:v>Karya Printing</x:v>
      </x:c>
      <x:c r="E38" s="19" t="n">
        <x:v>1307000</x:v>
      </x:c>
      <x:c r="F38" s="13" t="str">
        <x:v>Debit</x:v>
      </x:c>
      <x:c r="G38" s="13" t="str">
        <x:v>Imported</x:v>
      </x:c>
    </x:row>
    <x:row r="39" ht="23" customHeight="1">
      <x:c r="A39" s="13" t="str">
        <x:v>STMT-0035</x:v>
      </x:c>
      <x:c r="B39" s="16" t="n">
        <x:v>46070</x:v>
      </x:c>
      <x:c r="C39" s="13" t="str">
        <x:v>BNK-03037</x:v>
      </x:c>
      <x:c r="D39" s="13" t="str">
        <x:v>Archipelago Travel</x:v>
      </x:c>
      <x:c r="E39" s="19" t="n">
        <x:v>1369000</x:v>
      </x:c>
      <x:c r="F39" s="13" t="str">
        <x:v>Debit</x:v>
      </x:c>
      <x:c r="G39" s="13" t="str">
        <x:v>Imported</x:v>
      </x:c>
    </x:row>
    <x:row r="40" ht="23" customHeight="1">
      <x:c r="A40" s="13" t="str">
        <x:v>STMT-0036</x:v>
      </x:c>
      <x:c r="B40" s="16" t="n">
        <x:v>46101</x:v>
      </x:c>
      <x:c r="C40" s="13" t="str">
        <x:v>BNK-03038</x:v>
      </x:c>
      <x:c r="D40" s="13" t="str">
        <x:v>Prima Utilities</x:v>
      </x:c>
      <x:c r="E40" s="19" t="n">
        <x:v>1506000</x:v>
      </x:c>
      <x:c r="F40" s="13" t="str">
        <x:v>Debit</x:v>
      </x:c>
      <x:c r="G40" s="13" t="str">
        <x:v>Imported</x:v>
      </x:c>
    </x:row>
    <x:row r="41" ht="23" customHeight="1">
      <x:c r="A41" s="13" t="str">
        <x:v>STMT-0037</x:v>
      </x:c>
      <x:c r="B41" s="16" t="n">
        <x:v>46135</x:v>
      </x:c>
      <x:c r="C41" s="13" t="str">
        <x:v>BNK-03039</x:v>
      </x:c>
      <x:c r="D41" s="13" t="str">
        <x:v>DataSecure Hosting</x:v>
      </x:c>
      <x:c r="E41" s="19" t="n">
        <x:v>1643000</x:v>
      </x:c>
      <x:c r="F41" s="13" t="str">
        <x:v>Debit</x:v>
      </x:c>
      <x:c r="G41" s="13" t="str">
        <x:v>Imported</x:v>
      </x:c>
    </x:row>
    <x:row r="42" ht="23" customHeight="1">
      <x:c r="A42" s="13" t="str">
        <x:v>STMT-0038</x:v>
      </x:c>
      <x:c r="B42" s="16" t="n">
        <x:v>46144</x:v>
      </x:c>
      <x:c r="C42" s="13" t="str">
        <x:v>BNK-03040</x:v>
      </x:c>
      <x:c r="D42" s="13" t="str">
        <x:v>Maju Training Center</x:v>
      </x:c>
      <x:c r="E42" s="19" t="n">
        <x:v>1780000</x:v>
      </x:c>
      <x:c r="F42" s="13" t="str">
        <x:v>Debit</x:v>
      </x:c>
      <x:c r="G42" s="13" t="str">
        <x:v>Imported</x:v>
      </x:c>
    </x:row>
    <x:row r="43" ht="23" customHeight="1">
      <x:c r="A43" s="13" t="str">
        <x:v>STMT-0039</x:v>
      </x:c>
      <x:c r="B43" s="16" t="n">
        <x:v>46030</x:v>
      </x:c>
      <x:c r="C43" s="13" t="str">
        <x:v>BNK-03042</x:v>
      </x:c>
      <x:c r="D43" s="13" t="str">
        <x:v>CloudDesk Software</x:v>
      </x:c>
      <x:c r="E43" s="19" t="n">
        <x:v>2054000</x:v>
      </x:c>
      <x:c r="F43" s="13" t="str">
        <x:v>Debit</x:v>
      </x:c>
      <x:c r="G43" s="13" t="str">
        <x:v>Imported</x:v>
      </x:c>
    </x:row>
    <x:row r="44" ht="23" customHeight="1">
      <x:c r="A44" s="13" t="str">
        <x:v>STMT-0040</x:v>
      </x:c>
      <x:c r="B44" s="16" t="n">
        <x:v>46064</x:v>
      </x:c>
      <x:c r="C44" s="13" t="str">
        <x:v>BNK-03043</x:v>
      </x:c>
      <x:c r="D44" s="13" t="str">
        <x:v>Metro Courier</x:v>
      </x:c>
      <x:c r="E44" s="19" t="n">
        <x:v>2191000</x:v>
      </x:c>
      <x:c r="F44" s="13" t="str">
        <x:v>Debit</x:v>
      </x:c>
      <x:c r="G44" s="13" t="str">
        <x:v>Imported</x:v>
      </x:c>
    </x:row>
    <x:row r="45" ht="23" customHeight="1">
      <x:c r="A45" s="13" t="str">
        <x:v>STMT-0041</x:v>
      </x:c>
      <x:c r="B45" s="16" t="n">
        <x:v>46095</x:v>
      </x:c>
      <x:c r="C45" s="13" t="str">
        <x:v>BNK-03044</x:v>
      </x:c>
      <x:c r="D45" s="13" t="str">
        <x:v>Bright Clean Services</x:v>
      </x:c>
      <x:c r="E45" s="19" t="n">
        <x:v>2328000</x:v>
      </x:c>
      <x:c r="F45" s="13" t="str">
        <x:v>Debit</x:v>
      </x:c>
      <x:c r="G45" s="13" t="str">
        <x:v>Imported</x:v>
      </x:c>
    </x:row>
    <x:row r="46" ht="23" customHeight="1">
      <x:c r="A46" s="13" t="str">
        <x:v>STMT-0042</x:v>
      </x:c>
      <x:c r="B46" s="16" t="n">
        <x:v>46129</x:v>
      </x:c>
      <x:c r="C46" s="13" t="str">
        <x:v>BNK-03045</x:v>
      </x:c>
      <x:c r="D46" s="13" t="str">
        <x:v>Sinar Telecom</x:v>
      </x:c>
      <x:c r="E46" s="19" t="n">
        <x:v>2465000</x:v>
      </x:c>
      <x:c r="F46" s="13" t="str">
        <x:v>Debit</x:v>
      </x:c>
      <x:c r="G46" s="13" t="str">
        <x:v>Imported</x:v>
      </x:c>
    </x:row>
    <x:row r="47" ht="23" customHeight="1">
      <x:c r="A47" s="13" t="str">
        <x:v>STMT-0043</x:v>
      </x:c>
      <x:c r="B47" s="16" t="n">
        <x:v>46162</x:v>
      </x:c>
      <x:c r="C47" s="13" t="str">
        <x:v>BNK-03046</x:v>
      </x:c>
      <x:c r="D47" s="13" t="str">
        <x:v>Karya Printing</x:v>
      </x:c>
      <x:c r="E47" s="19" t="n">
        <x:v>-250000</x:v>
      </x:c>
      <x:c r="F47" s="13" t="str">
        <x:v>Debit</x:v>
      </x:c>
      <x:c r="G47" s="13" t="str">
        <x:v>Imported</x:v>
      </x:c>
    </x:row>
    <x:row r="48" ht="23" customHeight="1">
      <x:c r="A48" s="13" t="str">
        <x:v>STMT-0044</x:v>
      </x:c>
      <x:c r="B48" s="16" t="n">
        <x:v>46196</x:v>
      </x:c>
      <x:c r="C48" s="13" t="str">
        <x:v>BNK-03047</x:v>
      </x:c>
      <x:c r="D48" s="13" t="str">
        <x:v>Archipelago Travel</x:v>
      </x:c>
      <x:c r="E48" s="19" t="n">
        <x:v>2739000</x:v>
      </x:c>
      <x:c r="F48" s="13" t="str">
        <x:v>Debit</x:v>
      </x:c>
      <x:c r="G48" s="13" t="str">
        <x:v>Imported</x:v>
      </x:c>
    </x:row>
    <x:row r="49" ht="23" customHeight="1">
      <x:c r="A49" s="13" t="str">
        <x:v>STMT-0045</x:v>
      </x:c>
      <x:c r="B49" s="16" t="n">
        <x:v>46024</x:v>
      </x:c>
      <x:c r="C49" s="13" t="str">
        <x:v>BNK-03048</x:v>
      </x:c>
      <x:c r="D49" s="13" t="str">
        <x:v>Prima Utilities</x:v>
      </x:c>
      <x:c r="E49" s="19" t="n">
        <x:v>2876000</x:v>
      </x:c>
      <x:c r="F49" s="13" t="str">
        <x:v>Debit</x:v>
      </x:c>
      <x:c r="G49" s="13" t="str">
        <x:v>Imported</x:v>
      </x:c>
    </x:row>
    <x:row r="50" ht="23" customHeight="1">
      <x:c r="A50" s="13" t="str">
        <x:v>STMT-0046</x:v>
      </x:c>
      <x:c r="B50" s="16" t="n">
        <x:v>46062</x:v>
      </x:c>
      <x:c r="C50" s="13" t="str">
        <x:v>BNK-03049</x:v>
      </x:c>
      <x:c r="D50" s="13" t="str">
        <x:v>DataSecure Hosting</x:v>
      </x:c>
      <x:c r="E50" s="19" t="n">
        <x:v>3013000</x:v>
      </x:c>
      <x:c r="F50" s="13" t="str">
        <x:v>Debit</x:v>
      </x:c>
      <x:c r="G50" s="13" t="str">
        <x:v>Imported</x:v>
      </x:c>
    </x:row>
    <x:row r="51" ht="23" customHeight="1">
      <x:c r="A51" s="13" t="str">
        <x:v>STMT-0047</x:v>
      </x:c>
      <x:c r="B51" s="16" t="n">
        <x:v>46089</x:v>
      </x:c>
      <x:c r="C51" s="13" t="str">
        <x:v>BNK-03050</x:v>
      </x:c>
      <x:c r="D51" s="13" t="str">
        <x:v>Maju Training Center</x:v>
      </x:c>
      <x:c r="E51" s="19" t="n">
        <x:v>3150000</x:v>
      </x:c>
      <x:c r="F51" s="13" t="str">
        <x:v>Debit</x:v>
      </x:c>
      <x:c r="G51" s="13" t="str">
        <x:v>Imported</x:v>
      </x:c>
    </x:row>
    <x:row r="52" ht="23" customHeight="1">
      <x:c r="A52" s="13" t="str">
        <x:v>STMT-0048</x:v>
      </x:c>
      <x:c r="B52" s="16" t="n">
        <x:v>46123</x:v>
      </x:c>
      <x:c r="C52" s="13" t="str">
        <x:v>BNK-03051</x:v>
      </x:c>
      <x:c r="D52" s="13" t="str">
        <x:v>Nusa Office Supply</x:v>
      </x:c>
      <x:c r="E52" s="19" t="n">
        <x:v>3287000</x:v>
      </x:c>
      <x:c r="F52" s="13" t="str">
        <x:v>Debit</x:v>
      </x:c>
      <x:c r="G52" s="13" t="str">
        <x:v>Imported</x:v>
      </x:c>
    </x:row>
    <x:row r="53" ht="23" customHeight="1">
      <x:c r="A53" s="13" t="str">
        <x:v>STMT-0049</x:v>
      </x:c>
      <x:c r="B53" s="16" t="n">
        <x:v>46156</x:v>
      </x:c>
      <x:c r="C53" s="13" t="str">
        <x:v>BNK-03052</x:v>
      </x:c>
      <x:c r="D53" s="13" t="str">
        <x:v>CloudDesk Software</x:v>
      </x:c>
      <x:c r="E53" s="19" t="n">
        <x:v>3424000</x:v>
      </x:c>
      <x:c r="F53" s="13" t="str">
        <x:v>Debit</x:v>
      </x:c>
      <x:c r="G53" s="13" t="str">
        <x:v>Imported</x:v>
      </x:c>
    </x:row>
    <x:row r="54" ht="23" customHeight="1">
      <x:c r="A54" s="13" t="str">
        <x:v>STMT-0050</x:v>
      </x:c>
      <x:c r="B54" s="16" t="n">
        <x:v>46190</x:v>
      </x:c>
      <x:c r="C54" s="13" t="str">
        <x:v>BNK-03053</x:v>
      </x:c>
      <x:c r="D54" s="13" t="str">
        <x:v>Metro Courier</x:v>
      </x:c>
      <x:c r="E54" s="19" t="n">
        <x:v>3636000</x:v>
      </x:c>
      <x:c r="F54" s="13" t="str">
        <x:v>Debit</x:v>
      </x:c>
      <x:c r="G54" s="13" t="str">
        <x:v>Imported</x:v>
      </x:c>
    </x:row>
    <x:row r="55" ht="23" customHeight="1">
      <x:c r="A55" s="13" t="str">
        <x:v>STMT-0051</x:v>
      </x:c>
      <x:c r="B55" s="16" t="n">
        <x:v>46042</x:v>
      </x:c>
      <x:c r="C55" s="13" t="str">
        <x:v>BNK-03054</x:v>
      </x:c>
      <x:c r="D55" s="13" t="str">
        <x:v>Bright Clean Services</x:v>
      </x:c>
      <x:c r="E55" s="19" t="n">
        <x:v>3698000</x:v>
      </x:c>
      <x:c r="F55" s="13" t="str">
        <x:v>Debit</x:v>
      </x:c>
      <x:c r="G55" s="13" t="str">
        <x:v>Imported</x:v>
      </x:c>
    </x:row>
    <x:row r="56" ht="23" customHeight="1">
      <x:c r="A56" s="13" t="str">
        <x:v>STMT-0052</x:v>
      </x:c>
      <x:c r="B56" s="16" t="n">
        <x:v>46076</x:v>
      </x:c>
      <x:c r="C56" s="13" t="str">
        <x:v>BNK-03055</x:v>
      </x:c>
      <x:c r="D56" s="13" t="str">
        <x:v>Sinar Telecom</x:v>
      </x:c>
      <x:c r="E56" s="19" t="n">
        <x:v>3835000</x:v>
      </x:c>
      <x:c r="F56" s="13" t="str">
        <x:v>Debit</x:v>
      </x:c>
      <x:c r="G56" s="13" t="str">
        <x:v>Imported</x:v>
      </x:c>
    </x:row>
    <x:row r="57" ht="23" customHeight="1">
      <x:c r="A57" s="13" t="str">
        <x:v>STMT-0053</x:v>
      </x:c>
      <x:c r="B57" s="16" t="n">
        <x:v>46117</x:v>
      </x:c>
      <x:c r="C57" s="13" t="str">
        <x:v>BNK-03057</x:v>
      </x:c>
      <x:c r="D57" s="13" t="str">
        <x:v>Archipelago Travel</x:v>
      </x:c>
      <x:c r="E57" s="19" t="n">
        <x:v>259000</x:v>
      </x:c>
      <x:c r="F57" s="13" t="str">
        <x:v>Debit</x:v>
      </x:c>
      <x:c r="G57" s="13" t="str">
        <x:v>Imported</x:v>
      </x:c>
    </x:row>
    <x:row r="58" ht="23" customHeight="1">
      <x:c r="A58" s="13" t="str">
        <x:v>STMT-0054</x:v>
      </x:c>
      <x:c r="B58" s="16" t="n">
        <x:v>46150</x:v>
      </x:c>
      <x:c r="C58" s="13" t="str">
        <x:v>BNK-03058</x:v>
      </x:c>
      <x:c r="D58" s="13" t="str">
        <x:v>Prima Utilities</x:v>
      </x:c>
      <x:c r="E58" s="19" t="n">
        <x:v>396000</x:v>
      </x:c>
      <x:c r="F58" s="13" t="str">
        <x:v>Debit</x:v>
      </x:c>
      <x:c r="G58" s="13" t="str">
        <x:v>Imported</x:v>
      </x:c>
    </x:row>
    <x:row r="59" ht="23" customHeight="1">
      <x:c r="A59" s="13" t="str">
        <x:v>STMT-0055</x:v>
      </x:c>
      <x:c r="B59" s="16" t="n">
        <x:v>46184</x:v>
      </x:c>
      <x:c r="C59" s="13" t="str">
        <x:v>BNK-03059</x:v>
      </x:c>
      <x:c r="D59" s="13" t="str">
        <x:v>DataSecure Hosting</x:v>
      </x:c>
      <x:c r="E59" s="19" t="n">
        <x:v>533000</x:v>
      </x:c>
      <x:c r="F59" s="13" t="str">
        <x:v>Debit</x:v>
      </x:c>
      <x:c r="G59" s="13" t="str">
        <x:v>Imported</x:v>
      </x:c>
    </x:row>
    <x:row r="60" ht="23" customHeight="1">
      <x:c r="A60" s="13" t="str">
        <x:v>STMT-0056</x:v>
      </x:c>
      <x:c r="B60" s="16" t="n">
        <x:v>46036</x:v>
      </x:c>
      <x:c r="C60" s="13" t="str">
        <x:v>BNK-03060</x:v>
      </x:c>
      <x:c r="D60" s="13" t="str">
        <x:v>Maju Training Center</x:v>
      </x:c>
      <x:c r="E60" s="19" t="n">
        <x:v>670000</x:v>
      </x:c>
      <x:c r="F60" s="13" t="str">
        <x:v>Debit</x:v>
      </x:c>
      <x:c r="G60" s="13" t="str">
        <x:v>Imported</x:v>
      </x:c>
    </x:row>
    <x:row r="61" ht="23" customHeight="1">
      <x:c r="A61" s="13" t="str">
        <x:v>STMT-0057</x:v>
      </x:c>
      <x:c r="B61" s="16" t="n">
        <x:v>46200</x:v>
      </x:c>
      <x:c r="C61" s="13" t="str">
        <x:v>BNK-09991</x:v>
      </x:c>
      <x:c r="D61" s="13" t="str">
        <x:v>Unidentified Merchant</x:v>
      </x:c>
      <x:c r="E61" s="19" t="n">
        <x:v>425000</x:v>
      </x:c>
      <x:c r="F61" s="13" t="str">
        <x:v>Debit</x:v>
      </x:c>
      <x:c r="G61" s="13" t="str">
        <x:v>Imported</x:v>
      </x:c>
    </x:row>
    <x:row r="62" ht="23" customHeight="1">
      <x:c r="A62" s="14" t="str">
        <x:v>STMT-0058</x:v>
      </x:c>
      <x:c r="B62" s="17" t="n">
        <x:v>46201</x:v>
      </x:c>
      <x:c r="C62" s="14" t="str">
        <x:v>BNK-09992</x:v>
      </x:c>
      <x:c r="D62" s="14" t="str">
        <x:v>Unidentified Merchant</x:v>
      </x:c>
      <x:c r="E62" s="20" t="n">
        <x:v>680000</x:v>
      </x:c>
      <x:c r="F62" s="14" t="str">
        <x:v>Debit</x:v>
      </x:c>
      <x:c r="G62" s="14" t="str">
        <x:v>Imported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0" customHeight="1">
      <x:c r="A1" s="2" t="str">
        <x:v>PROJ-008 | CONTROLLED FINANCE REFERENCES</x:v>
      </x:c>
      <x:c r="B1" s="2"/>
      <x:c r="C1" s="2"/>
      <x:c r="D1" s="2"/>
      <x:c r="E1" s="2"/>
      <x:c r="F1" s="2"/>
    </x:row>
    <x:row r="2" ht="24" customHeight="1">
      <x:c r="A2" s="4" t="str">
        <x:v>Approved categories, currencies, payment methods, and priority rules</x:v>
      </x:c>
      <x:c r="B2" s="4"/>
      <x:c r="C2" s="4"/>
      <x:c r="D2" s="4"/>
      <x:c r="E2" s="4"/>
      <x:c r="F2" s="4"/>
    </x:row>
    <x:row r="4" ht="34" customHeight="1">
      <x:c r="A4" s="10" t="str">
        <x:v>Raw Category</x:v>
      </x:c>
      <x:c r="B4" s="10" t="str">
        <x:v>Standard Category</x:v>
      </x:c>
      <x:c r="D4" s="10" t="str">
        <x:v>Approved Currency</x:v>
      </x:c>
      <x:c r="F4" s="10" t="str">
        <x:v>Approved Payment Method</x:v>
      </x:c>
    </x:row>
    <x:row r="5">
      <x:c r="A5" s="21" t="str">
        <x:v>Office Supplies</x:v>
      </x:c>
      <x:c r="B5" s="21" t="str">
        <x:v>Office Supplies</x:v>
      </x:c>
      <x:c r="C5" s="21"/>
      <x:c r="D5" s="21" t="str">
        <x:v>IDR</x:v>
      </x:c>
      <x:c r="E5" s="21"/>
      <x:c r="F5" s="21" t="str">
        <x:v>Bank Transfer</x:v>
      </x:c>
    </x:row>
    <x:row r="6">
      <x:c r="A6" s="22" t="str">
        <x:v>Software</x:v>
      </x:c>
      <x:c r="B6" s="22" t="str">
        <x:v>Software</x:v>
      </x:c>
      <x:c r="C6" s="22"/>
      <x:c r="D6" s="22" t="str">
        <x:v>USD</x:v>
      </x:c>
      <x:c r="E6" s="22"/>
      <x:c r="F6" s="22" t="str">
        <x:v>Corporate Card</x:v>
      </x:c>
    </x:row>
    <x:row r="7">
      <x:c r="A7" s="22" t="str">
        <x:v>Courier</x:v>
      </x:c>
      <x:c r="B7" s="22" t="str">
        <x:v>Courier</x:v>
      </x:c>
      <x:c r="C7" s="22"/>
      <x:c r="D7" s="22" t="str">
        <x:v>SGD</x:v>
      </x:c>
      <x:c r="E7" s="22"/>
      <x:c r="F7" s="22" t="str">
        <x:v>Direct Debit</x:v>
      </x:c>
    </x:row>
    <x:row r="8">
      <x:c r="A8" s="22" t="str">
        <x:v>Facilities</x:v>
      </x:c>
      <x:c r="B8" s="22" t="str">
        <x:v>Facilities</x:v>
      </x:c>
      <x:c r="C8" s="22"/>
      <x:c r="D8" s="22"/>
      <x:c r="E8" s="22"/>
      <x:c r="F8" s="22"/>
    </x:row>
    <x:row r="9">
      <x:c r="A9" s="22" t="str">
        <x:v>Telecommunications</x:v>
      </x:c>
      <x:c r="B9" s="22" t="str">
        <x:v>Telecommunications</x:v>
      </x:c>
      <x:c r="C9" s="22"/>
      <x:c r="D9" s="22"/>
      <x:c r="E9" s="22"/>
      <x:c r="F9" s="22"/>
    </x:row>
    <x:row r="10">
      <x:c r="A10" s="22" t="str">
        <x:v>Printing</x:v>
      </x:c>
      <x:c r="B10" s="22" t="str">
        <x:v>Printing</x:v>
      </x:c>
      <x:c r="C10" s="22"/>
      <x:c r="D10" s="22"/>
      <x:c r="E10" s="22"/>
      <x:c r="F10" s="22"/>
    </x:row>
    <x:row r="11">
      <x:c r="A11" s="22" t="str">
        <x:v>Travel</x:v>
      </x:c>
      <x:c r="B11" s="22" t="str">
        <x:v>Travel</x:v>
      </x:c>
      <x:c r="C11" s="22"/>
      <x:c r="D11" s="22"/>
      <x:c r="E11" s="22"/>
      <x:c r="F11" s="22"/>
    </x:row>
    <x:row r="12">
      <x:c r="A12" s="22" t="str">
        <x:v>Utilities</x:v>
      </x:c>
      <x:c r="B12" s="22" t="str">
        <x:v>Utilities</x:v>
      </x:c>
      <x:c r="C12" s="22"/>
      <x:c r="D12" s="22"/>
      <x:c r="E12" s="22"/>
      <x:c r="F12" s="22"/>
    </x:row>
    <x:row r="13">
      <x:c r="A13" s="22" t="str">
        <x:v>IT Services</x:v>
      </x:c>
      <x:c r="B13" s="22" t="str">
        <x:v>IT Services</x:v>
      </x:c>
      <x:c r="C13" s="22"/>
      <x:c r="D13" s="22"/>
      <x:c r="E13" s="22"/>
      <x:c r="F13" s="22"/>
    </x:row>
    <x:row r="14">
      <x:c r="A14" s="22" t="str">
        <x:v>Training</x:v>
      </x:c>
      <x:c r="B14" s="22" t="str">
        <x:v>Training</x:v>
      </x:c>
      <x:c r="C14" s="22"/>
      <x:c r="D14" s="22"/>
      <x:c r="E14" s="22"/>
      <x:c r="F14" s="22"/>
    </x:row>
    <x:row r="15">
      <x:c r="A15" s="22" t="str">
        <x:v>Misc</x:v>
      </x:c>
      <x:c r="B15" s="22" t="str">
        <x:v>NOT MAPPED - INVALID</x:v>
      </x:c>
      <x:c r="C15" s="22"/>
      <x:c r="D15" s="22"/>
      <x:c r="E15" s="22"/>
      <x:c r="F15" s="22"/>
    </x:row>
    <x:row r="16">
      <x:c r="A16" s="22" t="str">
        <x:v>Other</x:v>
      </x:c>
      <x:c r="B16" s="22" t="str">
        <x:v>NOT MAPPED - INVALID</x:v>
      </x:c>
      <x:c r="C16" s="22"/>
      <x:c r="D16" s="22"/>
      <x:c r="E16" s="22"/>
      <x:c r="F16" s="22"/>
    </x:row>
    <x:row r="17">
      <x:c r="A17" s="22"/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  <x:row r="19">
      <x:c r="A19" s="22"/>
      <x:c r="B19" s="22"/>
      <x:c r="C19" s="22"/>
      <x:c r="D19" s="22"/>
      <x:c r="E19" s="22"/>
      <x:c r="F19" s="22"/>
    </x:row>
    <x:row r="20">
      <x:c r="A20" s="23"/>
      <x:c r="B20" s="23"/>
      <x:c r="C20" s="23"/>
      <x:c r="D20" s="23"/>
      <x:c r="E20" s="23"/>
      <x:c r="F20" s="23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2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38" hidden="0" customWidth="1"/>
  </x:cols>
  <x:sheetData>
    <x:row r="1" ht="30" customHeight="1">
      <x:c r="A1" s="2" t="str">
        <x:v>PROJ-008 | TRANSACTION VALIDATION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A2" s="4" t="str">
        <x:v>Formula-linked source • duplicate, category, currency, amount, and document controls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4" ht="34" customHeight="1">
      <x:c r="A4" s="10" t="str">
        <x:v>Raw Row</x:v>
      </x:c>
      <x:c r="B4" s="10" t="str">
        <x:v>Transaction ID</x:v>
      </x:c>
      <x:c r="C4" s="10" t="str">
        <x:v>Transaction Date</x:v>
      </x:c>
      <x:c r="D4" s="10" t="str">
        <x:v>Bank Reference</x:v>
      </x:c>
      <x:c r="E4" s="10" t="str">
        <x:v>Vendor / Payee</x:v>
      </x:c>
      <x:c r="F4" s="10" t="str">
        <x:v>Category (Raw)</x:v>
      </x:c>
      <x:c r="G4" s="10" t="str">
        <x:v>Category (Standard)</x:v>
      </x:c>
      <x:c r="H4" s="10" t="str">
        <x:v>Currency</x:v>
      </x:c>
      <x:c r="I4" s="10" t="str">
        <x:v>Amount</x:v>
      </x:c>
      <x:c r="J4" s="10" t="str">
        <x:v>Document Ref</x:v>
      </x:c>
      <x:c r="K4" s="10" t="str">
        <x:v>Duplicate Count</x:v>
      </x:c>
      <x:c r="L4" s="10" t="str">
        <x:v>Category Check</x:v>
      </x:c>
      <x:c r="M4" s="10" t="str">
        <x:v>Currency Check</x:v>
      </x:c>
      <x:c r="N4" s="10" t="str">
        <x:v>Amount Check</x:v>
      </x:c>
      <x:c r="O4" s="10" t="str">
        <x:v>Document Check</x:v>
      </x:c>
      <x:c r="P4" s="10" t="str">
        <x:v>Issue Count</x:v>
      </x:c>
      <x:c r="Q4" s="10" t="str">
        <x:v>Review Status</x:v>
      </x:c>
      <x:c r="R4" s="10" t="str">
        <x:v>Recommended Written Action</x:v>
      </x:c>
    </x:row>
    <x:row r="5" ht="24" customHeight="1">
      <x:c r="A5" s="11" t="n">
        <x:f>ROW()</x:f>
        <x:v>5</x:v>
      </x:c>
      <x:c r="B5" s="11" t="str">
        <x:f>'Raw Transactions'!A5</x:f>
        <x:v>FIN-0001</x:v>
      </x:c>
      <x:c r="C5" s="25" t="n">
        <x:f>'Raw Transactions'!B5</x:f>
        <x:v>46058</x:v>
      </x:c>
      <x:c r="D5" s="11" t="str">
        <x:f>'Raw Transactions'!C5</x:f>
        <x:v>BNK-03001</x:v>
      </x:c>
      <x:c r="E5" s="11" t="str">
        <x:f>'Raw Transactions'!D5</x:f>
        <x:v>Nusa Office Supply</x:v>
      </x:c>
      <x:c r="F5" s="11" t="str">
        <x:f>'Raw Transactions'!F5</x:f>
        <x:v>Office Supplies</x:v>
      </x:c>
      <x:c r="G5" s="11" t="str">
        <x:f>IFERROR(VLOOKUP(F5,'References'!A5:B16,2,FALSE),"NOT MAPPED - INVALID")</x:f>
        <x:v>Office Supplies</x:v>
      </x:c>
      <x:c r="H5" s="11" t="str">
        <x:f>'Raw Transactions'!H5</x:f>
        <x:v>IDR</x:v>
      </x:c>
      <x:c r="I5" s="27" t="n">
        <x:f>'Raw Transactions'!I5</x:f>
        <x:v>287000</x:v>
      </x:c>
      <x:c r="J5" s="11" t="str">
        <x:f>IF('Raw Transactions'!J5="","",'Raw Transactions'!J5)</x:f>
        <x:v>DOC-2026-0001</x:v>
      </x:c>
      <x:c r="K5" s="11" t="n">
        <x:f>COUNTIF('Raw Transactions'!A5:A64,B5)</x:f>
        <x:v>1</x:v>
      </x:c>
      <x:c r="L5" s="11" t="str">
        <x:f>IF(G5="NOT MAPPED - INVALID","Invalid Category","OK")</x:f>
        <x:v>OK</x:v>
      </x:c>
      <x:c r="M5" s="11" t="str">
        <x:f>IF(COUNTIF('References'!D5:D7,H5)=0,"Invalid Currency","OK")</x:f>
        <x:v>OK</x:v>
      </x:c>
      <x:c r="N5" s="11" t="str">
        <x:f>IF(OR(NOT(ISNUMBER(I5)),I5&lt;=0),"Invalid Amount","OK")</x:f>
        <x:v>OK</x:v>
      </x:c>
      <x:c r="O5" s="11" t="str">
        <x:f>IF(J5="","Missing Document","OK")</x:f>
        <x:v>OK</x:v>
      </x:c>
      <x:c r="P5" s="11" t="n">
        <x:f>IF(K5&gt;1,1,0)+IF(L5&lt;&gt;"OK",1,0)+IF(M5&lt;&gt;"OK",1,0)+IF(N5&lt;&gt;"OK",1,0)+IF(O5&lt;&gt;"OK",1,0)</x:f>
        <x:v>0</x:v>
      </x:c>
      <x:c r="Q5" s="11" t="str">
        <x:f>IF(P5=0,"Ready",IF(OR(K5&gt;1,N5&lt;&gt;"OK"),"High Priority Review","Review"))</x:f>
        <x:v>Ready</x:v>
      </x:c>
      <x:c r="R5" s="11" t="str">
        <x:f>IF(K5&gt;1,"Compare duplicate transaction records",IF(N5&lt;&gt;"OK","Verify amount against approved source",IF(L5&lt;&gt;"OK","Confirm approved finance category",IF(M5&lt;&gt;"OK","Confirm approved currency",IF(O5&lt;&gt;"OK","Request supporting document in writing","No action required")))))</x:f>
        <x:v>No action required</x:v>
      </x:c>
    </x:row>
    <x:row r="6" ht="24" customHeight="1">
      <x:c r="A6" s="24" t="n">
        <x:f>ROW()</x:f>
        <x:v>6</x:v>
      </x:c>
      <x:c r="B6" s="24" t="str">
        <x:f>'Raw Transactions'!A6</x:f>
        <x:v>FIN-0002</x:v>
      </x:c>
      <x:c r="C6" s="26" t="n">
        <x:f>'Raw Transactions'!B6</x:f>
        <x:v>46089</x:v>
      </x:c>
      <x:c r="D6" s="24" t="str">
        <x:f>'Raw Transactions'!C6</x:f>
        <x:v>BNK-03002</x:v>
      </x:c>
      <x:c r="E6" s="24" t="str">
        <x:f>'Raw Transactions'!D6</x:f>
        <x:v>CloudDesk Software</x:v>
      </x:c>
      <x:c r="F6" s="24" t="str">
        <x:f>'Raw Transactions'!F6</x:f>
        <x:v>Software</x:v>
      </x:c>
      <x:c r="G6" s="24" t="str">
        <x:f>IFERROR(VLOOKUP(F6,'References'!A5:B16,2,FALSE),"NOT MAPPED - INVALID")</x:f>
        <x:v>Software</x:v>
      </x:c>
      <x:c r="H6" s="24" t="str">
        <x:f>'Raw Transactions'!H6</x:f>
        <x:v>IDR</x:v>
      </x:c>
      <x:c r="I6" s="28" t="n">
        <x:f>'Raw Transactions'!I6</x:f>
        <x:v>424000</x:v>
      </x:c>
      <x:c r="J6" s="24" t="str">
        <x:f>IF('Raw Transactions'!J6="","",'Raw Transactions'!J6)</x:f>
        <x:v>DOC-2026-0002</x:v>
      </x:c>
      <x:c r="K6" s="24" t="n">
        <x:f>COUNTIF('Raw Transactions'!A5:A64,B6)</x:f>
        <x:v>1</x:v>
      </x:c>
      <x:c r="L6" s="24" t="str">
        <x:f>IF(G6="NOT MAPPED - INVALID","Invalid Category","OK")</x:f>
        <x:v>OK</x:v>
      </x:c>
      <x:c r="M6" s="24" t="str">
        <x:f>IF(COUNTIF('References'!D5:D7,H6)=0,"Invalid Currency","OK")</x:f>
        <x:v>OK</x:v>
      </x:c>
      <x:c r="N6" s="24" t="str">
        <x:f>IF(OR(NOT(ISNUMBER(I6)),I6&lt;=0),"Invalid Amount","OK")</x:f>
        <x:v>OK</x:v>
      </x:c>
      <x:c r="O6" s="24" t="str">
        <x:f>IF(J6="","Missing Document","OK")</x:f>
        <x:v>OK</x:v>
      </x:c>
      <x:c r="P6" s="24" t="n">
        <x:f>IF(K6&gt;1,1,0)+IF(L6&lt;&gt;"OK",1,0)+IF(M6&lt;&gt;"OK",1,0)+IF(N6&lt;&gt;"OK",1,0)+IF(O6&lt;&gt;"OK",1,0)</x:f>
        <x:v>0</x:v>
      </x:c>
      <x:c r="Q6" s="24" t="str">
        <x:f>IF(P6=0,"Ready",IF(OR(K6&gt;1,N6&lt;&gt;"OK"),"High Priority Review","Review"))</x:f>
        <x:v>Ready</x:v>
      </x:c>
      <x:c r="R6" s="24" t="str">
        <x:f>IF(K6&gt;1,"Compare duplicate transaction records",IF(N6&lt;&gt;"OK","Verify amount against approved source",IF(L6&lt;&gt;"OK","Confirm approved finance category",IF(M6&lt;&gt;"OK","Confirm approved currency",IF(O6&lt;&gt;"OK","Request supporting document in writing","No action required")))))</x:f>
        <x:v>No action required</x:v>
      </x:c>
    </x:row>
    <x:row r="7" ht="24" customHeight="1">
      <x:c r="A7" s="11" t="n">
        <x:f>ROW()</x:f>
        <x:v>7</x:v>
      </x:c>
      <x:c r="B7" s="11" t="str">
        <x:f>'Raw Transactions'!A7</x:f>
        <x:v>FIN-0003</x:v>
      </x:c>
      <x:c r="C7" s="25" t="n">
        <x:f>'Raw Transactions'!B7</x:f>
        <x:v>46123</x:v>
      </x:c>
      <x:c r="D7" s="11" t="str">
        <x:f>'Raw Transactions'!C7</x:f>
        <x:v>BNK-03003</x:v>
      </x:c>
      <x:c r="E7" s="11" t="str">
        <x:f>'Raw Transactions'!D7</x:f>
        <x:v>Metro Courier</x:v>
      </x:c>
      <x:c r="F7" s="11" t="str">
        <x:f>'Raw Transactions'!F7</x:f>
        <x:v>Courier</x:v>
      </x:c>
      <x:c r="G7" s="11" t="str">
        <x:f>IFERROR(VLOOKUP(F7,'References'!A5:B16,2,FALSE),"NOT MAPPED - INVALID")</x:f>
        <x:v>Courier</x:v>
      </x:c>
      <x:c r="H7" s="11" t="str">
        <x:f>'Raw Transactions'!H7</x:f>
        <x:v>IDR</x:v>
      </x:c>
      <x:c r="I7" s="27" t="n">
        <x:f>'Raw Transactions'!I7</x:f>
        <x:v>561000</x:v>
      </x:c>
      <x:c r="J7" s="11" t="str">
        <x:f>IF('Raw Transactions'!J7="","",'Raw Transactions'!J7)</x:f>
        <x:v>DOC-2026-0003</x:v>
      </x:c>
      <x:c r="K7" s="11" t="n">
        <x:f>COUNTIF('Raw Transactions'!A5:A64,B7)</x:f>
        <x:v>1</x:v>
      </x:c>
      <x:c r="L7" s="11" t="str">
        <x:f>IF(G7="NOT MAPPED - INVALID","Invalid Category","OK")</x:f>
        <x:v>OK</x:v>
      </x:c>
      <x:c r="M7" s="11" t="str">
        <x:f>IF(COUNTIF('References'!D5:D7,H7)=0,"Invalid Currency","OK")</x:f>
        <x:v>OK</x:v>
      </x:c>
      <x:c r="N7" s="11" t="str">
        <x:f>IF(OR(NOT(ISNUMBER(I7)),I7&lt;=0),"Invalid Amount","OK")</x:f>
        <x:v>OK</x:v>
      </x:c>
      <x:c r="O7" s="11" t="str">
        <x:f>IF(J7="","Missing Document","OK")</x:f>
        <x:v>OK</x:v>
      </x:c>
      <x:c r="P7" s="11" t="n">
        <x:f>IF(K7&gt;1,1,0)+IF(L7&lt;&gt;"OK",1,0)+IF(M7&lt;&gt;"OK",1,0)+IF(N7&lt;&gt;"OK",1,0)+IF(O7&lt;&gt;"OK",1,0)</x:f>
        <x:v>0</x:v>
      </x:c>
      <x:c r="Q7" s="11" t="str">
        <x:f>IF(P7=0,"Ready",IF(OR(K7&gt;1,N7&lt;&gt;"OK"),"High Priority Review","Review"))</x:f>
        <x:v>Ready</x:v>
      </x:c>
      <x:c r="R7" s="11" t="str">
        <x:f>IF(K7&gt;1,"Compare duplicate transaction records",IF(N7&lt;&gt;"OK","Verify amount against approved source",IF(L7&lt;&gt;"OK","Confirm approved finance category",IF(M7&lt;&gt;"OK","Confirm approved currency",IF(O7&lt;&gt;"OK","Request supporting document in writing","No action required")))))</x:f>
        <x:v>No action required</x:v>
      </x:c>
    </x:row>
    <x:row r="8" ht="24" customHeight="1">
      <x:c r="A8" s="24" t="n">
        <x:f>ROW()</x:f>
        <x:v>8</x:v>
      </x:c>
      <x:c r="B8" s="24" t="str">
        <x:f>'Raw Transactions'!A8</x:f>
        <x:v>FIN-0004</x:v>
      </x:c>
      <x:c r="C8" s="26" t="n">
        <x:f>'Raw Transactions'!B8</x:f>
        <x:v>46156</x:v>
      </x:c>
      <x:c r="D8" s="24" t="str">
        <x:f>'Raw Transactions'!C8</x:f>
        <x:v>BNK-03004</x:v>
      </x:c>
      <x:c r="E8" s="24" t="str">
        <x:f>'Raw Transactions'!D8</x:f>
        <x:v>Bright Clean Services</x:v>
      </x:c>
      <x:c r="F8" s="24" t="str">
        <x:f>'Raw Transactions'!F8</x:f>
        <x:v>Facilities</x:v>
      </x:c>
      <x:c r="G8" s="24" t="str">
        <x:f>IFERROR(VLOOKUP(F8,'References'!A5:B16,2,FALSE),"NOT MAPPED - INVALID")</x:f>
        <x:v>Facilities</x:v>
      </x:c>
      <x:c r="H8" s="24" t="str">
        <x:f>'Raw Transactions'!H8</x:f>
        <x:v>IDR</x:v>
      </x:c>
      <x:c r="I8" s="28" t="n">
        <x:f>'Raw Transactions'!I8</x:f>
        <x:v>698000</x:v>
      </x:c>
      <x:c r="J8" s="24" t="str">
        <x:f>IF('Raw Transactions'!J8="","",'Raw Transactions'!J8)</x:f>
        <x:v>DOC-2026-0004</x:v>
      </x:c>
      <x:c r="K8" s="24" t="n">
        <x:f>COUNTIF('Raw Transactions'!A5:A64,B8)</x:f>
        <x:v>1</x:v>
      </x:c>
      <x:c r="L8" s="24" t="str">
        <x:f>IF(G8="NOT MAPPED - INVALID","Invalid Category","OK")</x:f>
        <x:v>OK</x:v>
      </x:c>
      <x:c r="M8" s="24" t="str">
        <x:f>IF(COUNTIF('References'!D5:D7,H8)=0,"Invalid Currency","OK")</x:f>
        <x:v>OK</x:v>
      </x:c>
      <x:c r="N8" s="24" t="str">
        <x:f>IF(OR(NOT(ISNUMBER(I8)),I8&lt;=0),"Invalid Amount","OK")</x:f>
        <x:v>OK</x:v>
      </x:c>
      <x:c r="O8" s="24" t="str">
        <x:f>IF(J8="","Missing Document","OK")</x:f>
        <x:v>OK</x:v>
      </x:c>
      <x:c r="P8" s="24" t="n">
        <x:f>IF(K8&gt;1,1,0)+IF(L8&lt;&gt;"OK",1,0)+IF(M8&lt;&gt;"OK",1,0)+IF(N8&lt;&gt;"OK",1,0)+IF(O8&lt;&gt;"OK",1,0)</x:f>
        <x:v>0</x:v>
      </x:c>
      <x:c r="Q8" s="24" t="str">
        <x:f>IF(P8=0,"Ready",IF(OR(K8&gt;1,N8&lt;&gt;"OK"),"High Priority Review","Review"))</x:f>
        <x:v>Ready</x:v>
      </x:c>
      <x:c r="R8" s="24" t="str">
        <x:f>IF(K8&gt;1,"Compare duplicate transaction records",IF(N8&lt;&gt;"OK","Verify amount against approved source",IF(L8&lt;&gt;"OK","Confirm approved finance category",IF(M8&lt;&gt;"OK","Confirm approved currency",IF(O8&lt;&gt;"OK","Request supporting document in writing","No action required")))))</x:f>
        <x:v>No action required</x:v>
      </x:c>
    </x:row>
    <x:row r="9" ht="24" customHeight="1">
      <x:c r="A9" s="11" t="n">
        <x:f>ROW()</x:f>
        <x:v>9</x:v>
      </x:c>
      <x:c r="B9" s="11" t="str">
        <x:f>'Raw Transactions'!A9</x:f>
        <x:v>FIN-0005</x:v>
      </x:c>
      <x:c r="C9" s="25" t="n">
        <x:f>'Raw Transactions'!B9</x:f>
        <x:v>46190</x:v>
      </x:c>
      <x:c r="D9" s="11" t="str">
        <x:f>'Raw Transactions'!C9</x:f>
        <x:v>BNK-03005</x:v>
      </x:c>
      <x:c r="E9" s="11" t="str">
        <x:f>'Raw Transactions'!D9</x:f>
        <x:v>Sinar Telecom</x:v>
      </x:c>
      <x:c r="F9" s="11" t="str">
        <x:f>'Raw Transactions'!F9</x:f>
        <x:v>Telecommunications</x:v>
      </x:c>
      <x:c r="G9" s="11" t="str">
        <x:f>IFERROR(VLOOKUP(F9,'References'!A5:B16,2,FALSE),"NOT MAPPED - INVALID")</x:f>
        <x:v>Telecommunications</x:v>
      </x:c>
      <x:c r="H9" s="11" t="str">
        <x:f>'Raw Transactions'!H9</x:f>
        <x:v>IDR</x:v>
      </x:c>
      <x:c r="I9" s="27" t="n">
        <x:f>'Raw Transactions'!I9</x:f>
        <x:v>835000</x:v>
      </x:c>
      <x:c r="J9" s="11" t="str">
        <x:f>IF('Raw Transactions'!J9="","",'Raw Transactions'!J9)</x:f>
        <x:v>DOC-2026-0005</x:v>
      </x:c>
      <x:c r="K9" s="11" t="n">
        <x:f>COUNTIF('Raw Transactions'!A5:A64,B9)</x:f>
        <x:v>1</x:v>
      </x:c>
      <x:c r="L9" s="11" t="str">
        <x:f>IF(G9="NOT MAPPED - INVALID","Invalid Category","OK")</x:f>
        <x:v>OK</x:v>
      </x:c>
      <x:c r="M9" s="11" t="str">
        <x:f>IF(COUNTIF('References'!D5:D7,H9)=0,"Invalid Currency","OK")</x:f>
        <x:v>OK</x:v>
      </x:c>
      <x:c r="N9" s="11" t="str">
        <x:f>IF(OR(NOT(ISNUMBER(I9)),I9&lt;=0),"Invalid Amount","OK")</x:f>
        <x:v>OK</x:v>
      </x:c>
      <x:c r="O9" s="11" t="str">
        <x:f>IF(J9="","Missing Document","OK")</x:f>
        <x:v>OK</x:v>
      </x:c>
      <x:c r="P9" s="11" t="n">
        <x:f>IF(K9&gt;1,1,0)+IF(L9&lt;&gt;"OK",1,0)+IF(M9&lt;&gt;"OK",1,0)+IF(N9&lt;&gt;"OK",1,0)+IF(O9&lt;&gt;"OK",1,0)</x:f>
        <x:v>0</x:v>
      </x:c>
      <x:c r="Q9" s="11" t="str">
        <x:f>IF(P9=0,"Ready",IF(OR(K9&gt;1,N9&lt;&gt;"OK"),"High Priority Review","Review"))</x:f>
        <x:v>Ready</x:v>
      </x:c>
      <x:c r="R9" s="11" t="str">
        <x:f>IF(K9&gt;1,"Compare duplicate transaction records",IF(N9&lt;&gt;"OK","Verify amount against approved source",IF(L9&lt;&gt;"OK","Confirm approved finance category",IF(M9&lt;&gt;"OK","Confirm approved currency",IF(O9&lt;&gt;"OK","Request supporting document in writing","No action required")))))</x:f>
        <x:v>No action required</x:v>
      </x:c>
    </x:row>
    <x:row r="10" ht="24" customHeight="1">
      <x:c r="A10" s="24" t="n">
        <x:f>ROW()</x:f>
        <x:v>10</x:v>
      </x:c>
      <x:c r="B10" s="24" t="str">
        <x:f>'Raw Transactions'!A10</x:f>
        <x:v>FIN-0006</x:v>
      </x:c>
      <x:c r="C10" s="26" t="n">
        <x:f>'Raw Transactions'!B10</x:f>
        <x:v>46042</x:v>
      </x:c>
      <x:c r="D10" s="24" t="str">
        <x:f>'Raw Transactions'!C10</x:f>
        <x:v>BNK-03006</x:v>
      </x:c>
      <x:c r="E10" s="24" t="str">
        <x:f>'Raw Transactions'!D10</x:f>
        <x:v>Karya Printing</x:v>
      </x:c>
      <x:c r="F10" s="24" t="str">
        <x:f>'Raw Transactions'!F10</x:f>
        <x:v>Printing</x:v>
      </x:c>
      <x:c r="G10" s="24" t="str">
        <x:f>IFERROR(VLOOKUP(F10,'References'!A5:B16,2,FALSE),"NOT MAPPED - INVALID")</x:f>
        <x:v>Printing</x:v>
      </x:c>
      <x:c r="H10" s="24" t="str">
        <x:f>'Raw Transactions'!H10</x:f>
        <x:v>IDR</x:v>
      </x:c>
      <x:c r="I10" s="28" t="n">
        <x:f>'Raw Transactions'!I10</x:f>
        <x:v>972000</x:v>
      </x:c>
      <x:c r="J10" s="24" t="str">
        <x:f>IF('Raw Transactions'!J10="","",'Raw Transactions'!J10)</x:f>
        <x:v>DOC-2026-0006</x:v>
      </x:c>
      <x:c r="K10" s="24" t="n">
        <x:f>COUNTIF('Raw Transactions'!A5:A64,B10)</x:f>
        <x:v>1</x:v>
      </x:c>
      <x:c r="L10" s="24" t="str">
        <x:f>IF(G10="NOT MAPPED - INVALID","Invalid Category","OK")</x:f>
        <x:v>OK</x:v>
      </x:c>
      <x:c r="M10" s="24" t="str">
        <x:f>IF(COUNTIF('References'!D5:D7,H10)=0,"Invalid Currency","OK")</x:f>
        <x:v>OK</x:v>
      </x:c>
      <x:c r="N10" s="24" t="str">
        <x:f>IF(OR(NOT(ISNUMBER(I10)),I10&lt;=0),"Invalid Amount","OK")</x:f>
        <x:v>OK</x:v>
      </x:c>
      <x:c r="O10" s="24" t="str">
        <x:f>IF(J10="","Missing Document","OK")</x:f>
        <x:v>OK</x:v>
      </x:c>
      <x:c r="P10" s="24" t="n">
        <x:f>IF(K10&gt;1,1,0)+IF(L10&lt;&gt;"OK",1,0)+IF(M10&lt;&gt;"OK",1,0)+IF(N10&lt;&gt;"OK",1,0)+IF(O10&lt;&gt;"OK",1,0)</x:f>
        <x:v>0</x:v>
      </x:c>
      <x:c r="Q10" s="24" t="str">
        <x:f>IF(P10=0,"Ready",IF(OR(K10&gt;1,N10&lt;&gt;"OK"),"High Priority Review","Review"))</x:f>
        <x:v>Ready</x:v>
      </x:c>
      <x:c r="R10" s="24" t="str">
        <x:f>IF(K10&gt;1,"Compare duplicate transaction records",IF(N10&lt;&gt;"OK","Verify amount against approved source",IF(L10&lt;&gt;"OK","Confirm approved finance category",IF(M10&lt;&gt;"OK","Confirm approved currency",IF(O10&lt;&gt;"OK","Request supporting document in writing","No action required")))))</x:f>
        <x:v>No action required</x:v>
      </x:c>
    </x:row>
    <x:row r="11" ht="24" customHeight="1">
      <x:c r="A11" s="11" t="n">
        <x:f>ROW()</x:f>
        <x:v>11</x:v>
      </x:c>
      <x:c r="B11" s="11" t="str">
        <x:f>'Raw Transactions'!A11</x:f>
        <x:v>FIN-0007</x:v>
      </x:c>
      <x:c r="C11" s="25" t="n">
        <x:f>'Raw Transactions'!B11</x:f>
        <x:v>46076</x:v>
      </x:c>
      <x:c r="D11" s="11" t="str">
        <x:f>'Raw Transactions'!C11</x:f>
        <x:v>BNK-03007</x:v>
      </x:c>
      <x:c r="E11" s="11" t="str">
        <x:f>'Raw Transactions'!D11</x:f>
        <x:v>Archipelago Travel</x:v>
      </x:c>
      <x:c r="F11" s="11" t="str">
        <x:f>'Raw Transactions'!F11</x:f>
        <x:v>Travel</x:v>
      </x:c>
      <x:c r="G11" s="11" t="str">
        <x:f>IFERROR(VLOOKUP(F11,'References'!A5:B16,2,FALSE),"NOT MAPPED - INVALID")</x:f>
        <x:v>Travel</x:v>
      </x:c>
      <x:c r="H11" s="11" t="str">
        <x:f>'Raw Transactions'!H11</x:f>
        <x:v>IDR</x:v>
      </x:c>
      <x:c r="I11" s="27" t="n">
        <x:f>'Raw Transactions'!I11</x:f>
        <x:v>1109000</x:v>
      </x:c>
      <x:c r="J11" s="11" t="str">
        <x:f>IF('Raw Transactions'!J11="","",'Raw Transactions'!J11)</x:f>
      </x:c>
      <x:c r="K11" s="11" t="n">
        <x:f>COUNTIF('Raw Transactions'!A5:A64,B11)</x:f>
        <x:v>1</x:v>
      </x:c>
      <x:c r="L11" s="11" t="str">
        <x:f>IF(G11="NOT MAPPED - INVALID","Invalid Category","OK")</x:f>
        <x:v>OK</x:v>
      </x:c>
      <x:c r="M11" s="11" t="str">
        <x:f>IF(COUNTIF('References'!D5:D7,H11)=0,"Invalid Currency","OK")</x:f>
        <x:v>OK</x:v>
      </x:c>
      <x:c r="N11" s="11" t="str">
        <x:f>IF(OR(NOT(ISNUMBER(I11)),I11&lt;=0),"Invalid Amount","OK")</x:f>
        <x:v>OK</x:v>
      </x:c>
      <x:c r="O11" s="11" t="str">
        <x:f>IF(J11="","Missing Document","OK")</x:f>
        <x:v>Missing Document</x:v>
      </x:c>
      <x:c r="P11" s="11" t="n">
        <x:f>IF(K11&gt;1,1,0)+IF(L11&lt;&gt;"OK",1,0)+IF(M11&lt;&gt;"OK",1,0)+IF(N11&lt;&gt;"OK",1,0)+IF(O11&lt;&gt;"OK",1,0)</x:f>
        <x:v>1</x:v>
      </x:c>
      <x:c r="Q11" s="11" t="str">
        <x:f>IF(P11=0,"Ready",IF(OR(K11&gt;1,N11&lt;&gt;"OK"),"High Priority Review","Review"))</x:f>
        <x:v>Review</x:v>
      </x:c>
      <x:c r="R11" s="11" t="str">
        <x:f>IF(K11&gt;1,"Compare duplicate transaction records",IF(N11&lt;&gt;"OK","Verify amount against approved source",IF(L11&lt;&gt;"OK","Confirm approved finance category",IF(M11&lt;&gt;"OK","Confirm approved currency",IF(O11&lt;&gt;"OK","Request supporting document in writing","No action required")))))</x:f>
        <x:v>Request supporting document in writing</x:v>
      </x:c>
    </x:row>
    <x:row r="12" ht="24" customHeight="1">
      <x:c r="A12" s="24" t="n">
        <x:f>ROW()</x:f>
        <x:v>12</x:v>
      </x:c>
      <x:c r="B12" s="24" t="str">
        <x:f>'Raw Transactions'!A12</x:f>
        <x:v>FIN-0008</x:v>
      </x:c>
      <x:c r="C12" s="26" t="n">
        <x:f>'Raw Transactions'!B12</x:f>
        <x:v>46083</x:v>
      </x:c>
      <x:c r="D12" s="24" t="str">
        <x:f>'Raw Transactions'!C12</x:f>
        <x:v>BNK-03008</x:v>
      </x:c>
      <x:c r="E12" s="24" t="str">
        <x:f>'Raw Transactions'!D12</x:f>
        <x:v>Prima Utilities</x:v>
      </x:c>
      <x:c r="F12" s="24" t="str">
        <x:f>'Raw Transactions'!F12</x:f>
        <x:v>Utilities</x:v>
      </x:c>
      <x:c r="G12" s="24" t="str">
        <x:f>IFERROR(VLOOKUP(F12,'References'!A5:B16,2,FALSE),"NOT MAPPED - INVALID")</x:f>
        <x:v>Utilities</x:v>
      </x:c>
      <x:c r="H12" s="24" t="str">
        <x:f>'Raw Transactions'!H12</x:f>
        <x:v>IDR</x:v>
      </x:c>
      <x:c r="I12" s="28" t="n">
        <x:f>'Raw Transactions'!I12</x:f>
        <x:v>1246000</x:v>
      </x:c>
      <x:c r="J12" s="24" t="str">
        <x:f>IF('Raw Transactions'!J12="","",'Raw Transactions'!J12)</x:f>
        <x:v>DOC-2026-0008</x:v>
      </x:c>
      <x:c r="K12" s="24" t="n">
        <x:f>COUNTIF('Raw Transactions'!A5:A64,B12)</x:f>
        <x:v>1</x:v>
      </x:c>
      <x:c r="L12" s="24" t="str">
        <x:f>IF(G12="NOT MAPPED - INVALID","Invalid Category","OK")</x:f>
        <x:v>OK</x:v>
      </x:c>
      <x:c r="M12" s="24" t="str">
        <x:f>IF(COUNTIF('References'!D5:D7,H12)=0,"Invalid Currency","OK")</x:f>
        <x:v>OK</x:v>
      </x:c>
      <x:c r="N12" s="24" t="str">
        <x:f>IF(OR(NOT(ISNUMBER(I12)),I12&lt;=0),"Invalid Amount","OK")</x:f>
        <x:v>OK</x:v>
      </x:c>
      <x:c r="O12" s="24" t="str">
        <x:f>IF(J12="","Missing Document","OK")</x:f>
        <x:v>OK</x:v>
      </x:c>
      <x:c r="P12" s="24" t="n">
        <x:f>IF(K12&gt;1,1,0)+IF(L12&lt;&gt;"OK",1,0)+IF(M12&lt;&gt;"OK",1,0)+IF(N12&lt;&gt;"OK",1,0)+IF(O12&lt;&gt;"OK",1,0)</x:f>
        <x:v>0</x:v>
      </x:c>
      <x:c r="Q12" s="24" t="str">
        <x:f>IF(P12=0,"Ready",IF(OR(K12&gt;1,N12&lt;&gt;"OK"),"High Priority Review","Review"))</x:f>
        <x:v>Ready</x:v>
      </x:c>
      <x:c r="R12" s="24" t="str">
        <x:f>IF(K12&gt;1,"Compare duplicate transaction records",IF(N12&lt;&gt;"OK","Verify amount against approved source",IF(L12&lt;&gt;"OK","Confirm approved finance category",IF(M12&lt;&gt;"OK","Confirm approved currency",IF(O12&lt;&gt;"OK","Request supporting document in writing","No action required")))))</x:f>
        <x:v>No action required</x:v>
      </x:c>
    </x:row>
    <x:row r="13" ht="24" customHeight="1">
      <x:c r="A13" s="11" t="n">
        <x:f>ROW()</x:f>
        <x:v>13</x:v>
      </x:c>
      <x:c r="B13" s="11" t="str">
        <x:f>'Raw Transactions'!A13</x:f>
        <x:v>FIN-0009</x:v>
      </x:c>
      <x:c r="C13" s="25" t="n">
        <x:f>'Raw Transactions'!B13</x:f>
        <x:v>46117</x:v>
      </x:c>
      <x:c r="D13" s="11" t="str">
        <x:f>'Raw Transactions'!C13</x:f>
        <x:v>BNK-03009</x:v>
      </x:c>
      <x:c r="E13" s="11" t="str">
        <x:f>'Raw Transactions'!D13</x:f>
        <x:v>DataSecure Hosting</x:v>
      </x:c>
      <x:c r="F13" s="11" t="str">
        <x:f>'Raw Transactions'!F13</x:f>
        <x:v>IT Services</x:v>
      </x:c>
      <x:c r="G13" s="11" t="str">
        <x:f>IFERROR(VLOOKUP(F13,'References'!A5:B16,2,FALSE),"NOT MAPPED - INVALID")</x:f>
        <x:v>IT Services</x:v>
      </x:c>
      <x:c r="H13" s="11" t="str">
        <x:f>'Raw Transactions'!H13</x:f>
        <x:v>IDR</x:v>
      </x:c>
      <x:c r="I13" s="27" t="n">
        <x:f>'Raw Transactions'!I13</x:f>
        <x:v>1383000</x:v>
      </x:c>
      <x:c r="J13" s="11" t="str">
        <x:f>IF('Raw Transactions'!J13="","",'Raw Transactions'!J13)</x:f>
        <x:v>DOC-2026-0009</x:v>
      </x:c>
      <x:c r="K13" s="11" t="n">
        <x:f>COUNTIF('Raw Transactions'!A5:A64,B13)</x:f>
        <x:v>1</x:v>
      </x:c>
      <x:c r="L13" s="11" t="str">
        <x:f>IF(G13="NOT MAPPED - INVALID","Invalid Category","OK")</x:f>
        <x:v>OK</x:v>
      </x:c>
      <x:c r="M13" s="11" t="str">
        <x:f>IF(COUNTIF('References'!D5:D7,H13)=0,"Invalid Currency","OK")</x:f>
        <x:v>OK</x:v>
      </x:c>
      <x:c r="N13" s="11" t="str">
        <x:f>IF(OR(NOT(ISNUMBER(I13)),I13&lt;=0),"Invalid Amount","OK")</x:f>
        <x:v>OK</x:v>
      </x:c>
      <x:c r="O13" s="11" t="str">
        <x:f>IF(J13="","Missing Document","OK")</x:f>
        <x:v>OK</x:v>
      </x:c>
      <x:c r="P13" s="11" t="n">
        <x:f>IF(K13&gt;1,1,0)+IF(L13&lt;&gt;"OK",1,0)+IF(M13&lt;&gt;"OK",1,0)+IF(N13&lt;&gt;"OK",1,0)+IF(O13&lt;&gt;"OK",1,0)</x:f>
        <x:v>0</x:v>
      </x:c>
      <x:c r="Q13" s="11" t="str">
        <x:f>IF(P13=0,"Ready",IF(OR(K13&gt;1,N13&lt;&gt;"OK"),"High Priority Review","Review"))</x:f>
        <x:v>Ready</x:v>
      </x:c>
      <x:c r="R13" s="11" t="str">
        <x:f>IF(K13&gt;1,"Compare duplicate transaction records",IF(N13&lt;&gt;"OK","Verify amount against approved source",IF(L13&lt;&gt;"OK","Confirm approved finance category",IF(M13&lt;&gt;"OK","Confirm approved currency",IF(O13&lt;&gt;"OK","Request supporting document in writing","No action required")))))</x:f>
        <x:v>No action required</x:v>
      </x:c>
    </x:row>
    <x:row r="14" ht="24" customHeight="1">
      <x:c r="A14" s="24" t="n">
        <x:f>ROW()</x:f>
        <x:v>14</x:v>
      </x:c>
      <x:c r="B14" s="24" t="str">
        <x:f>'Raw Transactions'!A14</x:f>
        <x:v>FIN-0010</x:v>
      </x:c>
      <x:c r="C14" s="26" t="n">
        <x:f>'Raw Transactions'!B14</x:f>
        <x:v>46150</x:v>
      </x:c>
      <x:c r="D14" s="24" t="str">
        <x:f>'Raw Transactions'!C14</x:f>
        <x:v>BNK-03010</x:v>
      </x:c>
      <x:c r="E14" s="24" t="str">
        <x:f>'Raw Transactions'!D14</x:f>
        <x:v>Maju Training Center</x:v>
      </x:c>
      <x:c r="F14" s="24" t="str">
        <x:f>'Raw Transactions'!F14</x:f>
        <x:v>Misc</x:v>
      </x:c>
      <x:c r="G14" s="24" t="str">
        <x:f>IFERROR(VLOOKUP(F14,'References'!A5:B16,2,FALSE),"NOT MAPPED - INVALID")</x:f>
        <x:v>NOT MAPPED - INVALID</x:v>
      </x:c>
      <x:c r="H14" s="24" t="str">
        <x:f>'Raw Transactions'!H14</x:f>
        <x:v>IDR</x:v>
      </x:c>
      <x:c r="I14" s="28" t="n">
        <x:f>'Raw Transactions'!I14</x:f>
        <x:v>1520000</x:v>
      </x:c>
      <x:c r="J14" s="24" t="str">
        <x:f>IF('Raw Transactions'!J14="","",'Raw Transactions'!J14)</x:f>
        <x:v>DOC-2026-0010</x:v>
      </x:c>
      <x:c r="K14" s="24" t="n">
        <x:f>COUNTIF('Raw Transactions'!A5:A64,B14)</x:f>
        <x:v>1</x:v>
      </x:c>
      <x:c r="L14" s="24" t="str">
        <x:f>IF(G14="NOT MAPPED - INVALID","Invalid Category","OK")</x:f>
        <x:v>Invalid Category</x:v>
      </x:c>
      <x:c r="M14" s="24" t="str">
        <x:f>IF(COUNTIF('References'!D5:D7,H14)=0,"Invalid Currency","OK")</x:f>
        <x:v>OK</x:v>
      </x:c>
      <x:c r="N14" s="24" t="str">
        <x:f>IF(OR(NOT(ISNUMBER(I14)),I14&lt;=0),"Invalid Amount","OK")</x:f>
        <x:v>OK</x:v>
      </x:c>
      <x:c r="O14" s="24" t="str">
        <x:f>IF(J14="","Missing Document","OK")</x:f>
        <x:v>OK</x:v>
      </x:c>
      <x:c r="P14" s="24" t="n">
        <x:f>IF(K14&gt;1,1,0)+IF(L14&lt;&gt;"OK",1,0)+IF(M14&lt;&gt;"OK",1,0)+IF(N14&lt;&gt;"OK",1,0)+IF(O14&lt;&gt;"OK",1,0)</x:f>
        <x:v>1</x:v>
      </x:c>
      <x:c r="Q14" s="24" t="str">
        <x:f>IF(P14=0,"Ready",IF(OR(K14&gt;1,N14&lt;&gt;"OK"),"High Priority Review","Review"))</x:f>
        <x:v>Review</x:v>
      </x:c>
      <x:c r="R14" s="24" t="str">
        <x:f>IF(K14&gt;1,"Compare duplicate transaction records",IF(N14&lt;&gt;"OK","Verify amount against approved source",IF(L14&lt;&gt;"OK","Confirm approved finance category",IF(M14&lt;&gt;"OK","Confirm approved currency",IF(O14&lt;&gt;"OK","Request supporting document in writing","No action required")))))</x:f>
        <x:v>Confirm approved finance category</x:v>
      </x:c>
    </x:row>
    <x:row r="15" ht="24" customHeight="1">
      <x:c r="A15" s="11" t="n">
        <x:f>ROW()</x:f>
        <x:v>15</x:v>
      </x:c>
      <x:c r="B15" s="11" t="str">
        <x:f>'Raw Transactions'!A15</x:f>
        <x:v>FIN-0011</x:v>
      </x:c>
      <x:c r="C15" s="25" t="n">
        <x:f>'Raw Transactions'!B15</x:f>
        <x:v>46184</x:v>
      </x:c>
      <x:c r="D15" s="11" t="str">
        <x:f>'Raw Transactions'!C15</x:f>
        <x:v>BNK-03011</x:v>
      </x:c>
      <x:c r="E15" s="11" t="str">
        <x:f>'Raw Transactions'!D15</x:f>
        <x:v>Nusa Office Supply</x:v>
      </x:c>
      <x:c r="F15" s="11" t="str">
        <x:f>'Raw Transactions'!F15</x:f>
        <x:v>Office Supplies</x:v>
      </x:c>
      <x:c r="G15" s="11" t="str">
        <x:f>IFERROR(VLOOKUP(F15,'References'!A5:B16,2,FALSE),"NOT MAPPED - INVALID")</x:f>
        <x:v>Office Supplies</x:v>
      </x:c>
      <x:c r="H15" s="11" t="str">
        <x:f>'Raw Transactions'!H15</x:f>
        <x:v>IDR</x:v>
      </x:c>
      <x:c r="I15" s="27" t="n">
        <x:f>'Raw Transactions'!I15</x:f>
        <x:v>1657000</x:v>
      </x:c>
      <x:c r="J15" s="11" t="str">
        <x:f>IF('Raw Transactions'!J15="","",'Raw Transactions'!J15)</x:f>
        <x:v>DOC-2026-0011</x:v>
      </x:c>
      <x:c r="K15" s="11" t="n">
        <x:f>COUNTIF('Raw Transactions'!A5:A64,B15)</x:f>
        <x:v>1</x:v>
      </x:c>
      <x:c r="L15" s="11" t="str">
        <x:f>IF(G15="NOT MAPPED - INVALID","Invalid Category","OK")</x:f>
        <x:v>OK</x:v>
      </x:c>
      <x:c r="M15" s="11" t="str">
        <x:f>IF(COUNTIF('References'!D5:D7,H15)=0,"Invalid Currency","OK")</x:f>
        <x:v>OK</x:v>
      </x:c>
      <x:c r="N15" s="11" t="str">
        <x:f>IF(OR(NOT(ISNUMBER(I15)),I15&lt;=0),"Invalid Amount","OK")</x:f>
        <x:v>OK</x:v>
      </x:c>
      <x:c r="O15" s="11" t="str">
        <x:f>IF(J15="","Missing Document","OK")</x:f>
        <x:v>OK</x:v>
      </x:c>
      <x:c r="P15" s="11" t="n">
        <x:f>IF(K15&gt;1,1,0)+IF(L15&lt;&gt;"OK",1,0)+IF(M15&lt;&gt;"OK",1,0)+IF(N15&lt;&gt;"OK",1,0)+IF(O15&lt;&gt;"OK",1,0)</x:f>
        <x:v>0</x:v>
      </x:c>
      <x:c r="Q15" s="11" t="str">
        <x:f>IF(P15=0,"Ready",IF(OR(K15&gt;1,N15&lt;&gt;"OK"),"High Priority Review","Review"))</x:f>
        <x:v>Ready</x:v>
      </x:c>
      <x:c r="R15" s="11" t="str">
        <x:f>IF(K15&gt;1,"Compare duplicate transaction records",IF(N15&lt;&gt;"OK","Verify amount against approved source",IF(L15&lt;&gt;"OK","Confirm approved finance category",IF(M15&lt;&gt;"OK","Confirm approved currency",IF(O15&lt;&gt;"OK","Request supporting document in writing","No action required")))))</x:f>
        <x:v>No action required</x:v>
      </x:c>
    </x:row>
    <x:row r="16" ht="24" customHeight="1">
      <x:c r="A16" s="24" t="n">
        <x:f>ROW()</x:f>
        <x:v>16</x:v>
      </x:c>
      <x:c r="B16" s="24" t="str">
        <x:f>'Raw Transactions'!A16</x:f>
        <x:v>FIN-0012</x:v>
      </x:c>
      <x:c r="C16" s="26" t="n">
        <x:f>'Raw Transactions'!B16</x:f>
        <x:v>46036</x:v>
      </x:c>
      <x:c r="D16" s="24" t="str">
        <x:f>'Raw Transactions'!C16</x:f>
        <x:v>BNK-03012</x:v>
      </x:c>
      <x:c r="E16" s="24" t="str">
        <x:f>'Raw Transactions'!D16</x:f>
        <x:v>CloudDesk Software</x:v>
      </x:c>
      <x:c r="F16" s="24" t="str">
        <x:f>'Raw Transactions'!F16</x:f>
        <x:v>Software</x:v>
      </x:c>
      <x:c r="G16" s="24" t="str">
        <x:f>IFERROR(VLOOKUP(F16,'References'!A5:B16,2,FALSE),"NOT MAPPED - INVALID")</x:f>
        <x:v>Software</x:v>
      </x:c>
      <x:c r="H16" s="24" t="str">
        <x:f>'Raw Transactions'!H16</x:f>
        <x:v>IDR</x:v>
      </x:c>
      <x:c r="I16" s="28" t="n">
        <x:f>'Raw Transactions'!I16</x:f>
        <x:v>1794000</x:v>
      </x:c>
      <x:c r="J16" s="24" t="str">
        <x:f>IF('Raw Transactions'!J16="","",'Raw Transactions'!J16)</x:f>
        <x:v>DOC-2026-0012</x:v>
      </x:c>
      <x:c r="K16" s="24" t="n">
        <x:f>COUNTIF('Raw Transactions'!A5:A64,B16)</x:f>
        <x:v>2</x:v>
      </x:c>
      <x:c r="L16" s="24" t="str">
        <x:f>IF(G16="NOT MAPPED - INVALID","Invalid Category","OK")</x:f>
        <x:v>OK</x:v>
      </x:c>
      <x:c r="M16" s="24" t="str">
        <x:f>IF(COUNTIF('References'!D5:D7,H16)=0,"Invalid Currency","OK")</x:f>
        <x:v>OK</x:v>
      </x:c>
      <x:c r="N16" s="24" t="str">
        <x:f>IF(OR(NOT(ISNUMBER(I16)),I16&lt;=0),"Invalid Amount","OK")</x:f>
        <x:v>OK</x:v>
      </x:c>
      <x:c r="O16" s="24" t="str">
        <x:f>IF(J16="","Missing Document","OK")</x:f>
        <x:v>OK</x:v>
      </x:c>
      <x:c r="P16" s="24" t="n">
        <x:f>IF(K16&gt;1,1,0)+IF(L16&lt;&gt;"OK",1,0)+IF(M16&lt;&gt;"OK",1,0)+IF(N16&lt;&gt;"OK",1,0)+IF(O16&lt;&gt;"OK",1,0)</x:f>
        <x:v>1</x:v>
      </x:c>
      <x:c r="Q16" s="24" t="str">
        <x:f>IF(P16=0,"Ready",IF(OR(K16&gt;1,N16&lt;&gt;"OK"),"High Priority Review","Review"))</x:f>
        <x:v>High Priority Review</x:v>
      </x:c>
      <x:c r="R16" s="24" t="str">
        <x:f>IF(K16&gt;1,"Compare duplicate transaction records",IF(N16&lt;&gt;"OK","Verify amount against approved source",IF(L16&lt;&gt;"OK","Confirm approved finance category",IF(M16&lt;&gt;"OK","Confirm approved currency",IF(O16&lt;&gt;"OK","Request supporting document in writing","No action required")))))</x:f>
        <x:v>Compare duplicate transaction records</x:v>
      </x:c>
    </x:row>
    <x:row r="17" ht="24" customHeight="1">
      <x:c r="A17" s="11" t="n">
        <x:f>ROW()</x:f>
        <x:v>17</x:v>
      </x:c>
      <x:c r="B17" s="11" t="str">
        <x:f>'Raw Transactions'!A17</x:f>
        <x:v>FIN-0012</x:v>
      </x:c>
      <x:c r="C17" s="25" t="n">
        <x:f>'Raw Transactions'!B17</x:f>
        <x:v>46070</x:v>
      </x:c>
      <x:c r="D17" s="11" t="str">
        <x:f>'Raw Transactions'!C17</x:f>
        <x:v>BNK-03013</x:v>
      </x:c>
      <x:c r="E17" s="11" t="str">
        <x:f>'Raw Transactions'!D17</x:f>
        <x:v>Metro Courier</x:v>
      </x:c>
      <x:c r="F17" s="11" t="str">
        <x:f>'Raw Transactions'!F17</x:f>
        <x:v>Courier</x:v>
      </x:c>
      <x:c r="G17" s="11" t="str">
        <x:f>IFERROR(VLOOKUP(F17,'References'!A5:B16,2,FALSE),"NOT MAPPED - INVALID")</x:f>
        <x:v>Courier</x:v>
      </x:c>
      <x:c r="H17" s="11" t="str">
        <x:f>'Raw Transactions'!H17</x:f>
        <x:v>IDR</x:v>
      </x:c>
      <x:c r="I17" s="27" t="n">
        <x:f>'Raw Transactions'!I17</x:f>
        <x:v>1931000</x:v>
      </x:c>
      <x:c r="J17" s="11" t="str">
        <x:f>IF('Raw Transactions'!J17="","",'Raw Transactions'!J17)</x:f>
        <x:v>DOC-2026-0013</x:v>
      </x:c>
      <x:c r="K17" s="11" t="n">
        <x:f>COUNTIF('Raw Transactions'!A5:A64,B17)</x:f>
        <x:v>2</x:v>
      </x:c>
      <x:c r="L17" s="11" t="str">
        <x:f>IF(G17="NOT MAPPED - INVALID","Invalid Category","OK")</x:f>
        <x:v>OK</x:v>
      </x:c>
      <x:c r="M17" s="11" t="str">
        <x:f>IF(COUNTIF('References'!D5:D7,H17)=0,"Invalid Currency","OK")</x:f>
        <x:v>OK</x:v>
      </x:c>
      <x:c r="N17" s="11" t="str">
        <x:f>IF(OR(NOT(ISNUMBER(I17)),I17&lt;=0),"Invalid Amount","OK")</x:f>
        <x:v>OK</x:v>
      </x:c>
      <x:c r="O17" s="11" t="str">
        <x:f>IF(J17="","Missing Document","OK")</x:f>
        <x:v>OK</x:v>
      </x:c>
      <x:c r="P17" s="11" t="n">
        <x:f>IF(K17&gt;1,1,0)+IF(L17&lt;&gt;"OK",1,0)+IF(M17&lt;&gt;"OK",1,0)+IF(N17&lt;&gt;"OK",1,0)+IF(O17&lt;&gt;"OK",1,0)</x:f>
        <x:v>1</x:v>
      </x:c>
      <x:c r="Q17" s="11" t="str">
        <x:f>IF(P17=0,"Ready",IF(OR(K17&gt;1,N17&lt;&gt;"OK"),"High Priority Review","Review"))</x:f>
        <x:v>High Priority Review</x:v>
      </x:c>
      <x:c r="R17" s="11" t="str">
        <x:f>IF(K17&gt;1,"Compare duplicate transaction records",IF(N17&lt;&gt;"OK","Verify amount against approved source",IF(L17&lt;&gt;"OK","Confirm approved finance category",IF(M17&lt;&gt;"OK","Confirm approved currency",IF(O17&lt;&gt;"OK","Request supporting document in writing","No action required")))))</x:f>
        <x:v>Compare duplicate transaction records</x:v>
      </x:c>
    </x:row>
    <x:row r="18" ht="24" customHeight="1">
      <x:c r="A18" s="24" t="n">
        <x:f>ROW()</x:f>
        <x:v>18</x:v>
      </x:c>
      <x:c r="B18" s="24" t="str">
        <x:f>'Raw Transactions'!A18</x:f>
        <x:v>FIN-0014</x:v>
      </x:c>
      <x:c r="C18" s="26" t="n">
        <x:f>'Raw Transactions'!B18</x:f>
        <x:v>46101</x:v>
      </x:c>
      <x:c r="D18" s="24" t="str">
        <x:f>'Raw Transactions'!C18</x:f>
        <x:v>BNK-03014</x:v>
      </x:c>
      <x:c r="E18" s="24" t="str">
        <x:f>'Raw Transactions'!D18</x:f>
        <x:v>Bright Clean Services</x:v>
      </x:c>
      <x:c r="F18" s="24" t="str">
        <x:f>'Raw Transactions'!F18</x:f>
        <x:v>Facilities</x:v>
      </x:c>
      <x:c r="G18" s="24" t="str">
        <x:f>IFERROR(VLOOKUP(F18,'References'!A5:B16,2,FALSE),"NOT MAPPED - INVALID")</x:f>
        <x:v>Facilities</x:v>
      </x:c>
      <x:c r="H18" s="24" t="str">
        <x:f>'Raw Transactions'!H18</x:f>
        <x:v>IDR</x:v>
      </x:c>
      <x:c r="I18" s="28" t="n">
        <x:f>'Raw Transactions'!I18</x:f>
        <x:v>2068000</x:v>
      </x:c>
      <x:c r="J18" s="24" t="str">
        <x:f>IF('Raw Transactions'!J18="","",'Raw Transactions'!J18)</x:f>
        <x:v>DOC-2026-0014</x:v>
      </x:c>
      <x:c r="K18" s="24" t="n">
        <x:f>COUNTIF('Raw Transactions'!A5:A64,B18)</x:f>
        <x:v>1</x:v>
      </x:c>
      <x:c r="L18" s="24" t="str">
        <x:f>IF(G18="NOT MAPPED - INVALID","Invalid Category","OK")</x:f>
        <x:v>OK</x:v>
      </x:c>
      <x:c r="M18" s="24" t="str">
        <x:f>IF(COUNTIF('References'!D5:D7,H18)=0,"Invalid Currency","OK")</x:f>
        <x:v>OK</x:v>
      </x:c>
      <x:c r="N18" s="24" t="str">
        <x:f>IF(OR(NOT(ISNUMBER(I18)),I18&lt;=0),"Invalid Amount","OK")</x:f>
        <x:v>OK</x:v>
      </x:c>
      <x:c r="O18" s="24" t="str">
        <x:f>IF(J18="","Missing Document","OK")</x:f>
        <x:v>OK</x:v>
      </x:c>
      <x:c r="P18" s="24" t="n">
        <x:f>IF(K18&gt;1,1,0)+IF(L18&lt;&gt;"OK",1,0)+IF(M18&lt;&gt;"OK",1,0)+IF(N18&lt;&gt;"OK",1,0)+IF(O18&lt;&gt;"OK",1,0)</x:f>
        <x:v>0</x:v>
      </x:c>
      <x:c r="Q18" s="24" t="str">
        <x:f>IF(P18=0,"Ready",IF(OR(K18&gt;1,N18&lt;&gt;"OK"),"High Priority Review","Review"))</x:f>
        <x:v>Ready</x:v>
      </x:c>
      <x:c r="R18" s="24" t="str">
        <x:f>IF(K18&gt;1,"Compare duplicate transaction records",IF(N18&lt;&gt;"OK","Verify amount against approved source",IF(L18&lt;&gt;"OK","Confirm approved finance category",IF(M18&lt;&gt;"OK","Confirm approved currency",IF(O18&lt;&gt;"OK","Request supporting document in writing","No action required")))))</x:f>
        <x:v>No action required</x:v>
      </x:c>
    </x:row>
    <x:row r="19" ht="24" customHeight="1">
      <x:c r="A19" s="11" t="n">
        <x:f>ROW()</x:f>
        <x:v>19</x:v>
      </x:c>
      <x:c r="B19" s="11" t="str">
        <x:f>'Raw Transactions'!A19</x:f>
        <x:v>FIN-0015</x:v>
      </x:c>
      <x:c r="C19" s="25" t="n">
        <x:f>'Raw Transactions'!B19</x:f>
        <x:v>46135</x:v>
      </x:c>
      <x:c r="D19" s="11" t="str">
        <x:f>'Raw Transactions'!C19</x:f>
        <x:v>BNK-03015</x:v>
      </x:c>
      <x:c r="E19" s="11" t="str">
        <x:f>'Raw Transactions'!D19</x:f>
        <x:v>Sinar Telecom</x:v>
      </x:c>
      <x:c r="F19" s="11" t="str">
        <x:f>'Raw Transactions'!F19</x:f>
        <x:v>Telecommunications</x:v>
      </x:c>
      <x:c r="G19" s="11" t="str">
        <x:f>IFERROR(VLOOKUP(F19,'References'!A5:B16,2,FALSE),"NOT MAPPED - INVALID")</x:f>
        <x:v>Telecommunications</x:v>
      </x:c>
      <x:c r="H19" s="11" t="str">
        <x:f>'Raw Transactions'!H19</x:f>
        <x:v>IDR</x:v>
      </x:c>
      <x:c r="I19" s="27" t="n">
        <x:f>'Raw Transactions'!I19</x:f>
        <x:v>2205000</x:v>
      </x:c>
      <x:c r="J19" s="11" t="str">
        <x:f>IF('Raw Transactions'!J19="","",'Raw Transactions'!J19)</x:f>
        <x:v>DOC-2026-0015</x:v>
      </x:c>
      <x:c r="K19" s="11" t="n">
        <x:f>COUNTIF('Raw Transactions'!A5:A64,B19)</x:f>
        <x:v>1</x:v>
      </x:c>
      <x:c r="L19" s="11" t="str">
        <x:f>IF(G19="NOT MAPPED - INVALID","Invalid Category","OK")</x:f>
        <x:v>OK</x:v>
      </x:c>
      <x:c r="M19" s="11" t="str">
        <x:f>IF(COUNTIF('References'!D5:D7,H19)=0,"Invalid Currency","OK")</x:f>
        <x:v>OK</x:v>
      </x:c>
      <x:c r="N19" s="11" t="str">
        <x:f>IF(OR(NOT(ISNUMBER(I19)),I19&lt;=0),"Invalid Amount","OK")</x:f>
        <x:v>OK</x:v>
      </x:c>
      <x:c r="O19" s="11" t="str">
        <x:f>IF(J19="","Missing Document","OK")</x:f>
        <x:v>OK</x:v>
      </x:c>
      <x:c r="P19" s="11" t="n">
        <x:f>IF(K19&gt;1,1,0)+IF(L19&lt;&gt;"OK",1,0)+IF(M19&lt;&gt;"OK",1,0)+IF(N19&lt;&gt;"OK",1,0)+IF(O19&lt;&gt;"OK",1,0)</x:f>
        <x:v>0</x:v>
      </x:c>
      <x:c r="Q19" s="11" t="str">
        <x:f>IF(P19=0,"Ready",IF(OR(K19&gt;1,N19&lt;&gt;"OK"),"High Priority Review","Review"))</x:f>
        <x:v>Ready</x:v>
      </x:c>
      <x:c r="R19" s="11" t="str">
        <x:f>IF(K19&gt;1,"Compare duplicate transaction records",IF(N19&lt;&gt;"OK","Verify amount against approved source",IF(L19&lt;&gt;"OK","Confirm approved finance category",IF(M19&lt;&gt;"OK","Confirm approved currency",IF(O19&lt;&gt;"OK","Request supporting document in writing","No action required")))))</x:f>
        <x:v>No action required</x:v>
      </x:c>
    </x:row>
    <x:row r="20" ht="24" customHeight="1">
      <x:c r="A20" s="24" t="n">
        <x:f>ROW()</x:f>
        <x:v>20</x:v>
      </x:c>
      <x:c r="B20" s="24" t="str">
        <x:f>'Raw Transactions'!A20</x:f>
        <x:v>FIN-0016</x:v>
      </x:c>
      <x:c r="C20" s="26" t="n">
        <x:f>'Raw Transactions'!B20</x:f>
        <x:v>46144</x:v>
      </x:c>
      <x:c r="D20" s="24" t="str">
        <x:f>'Raw Transactions'!C20</x:f>
        <x:v>BNK-03016</x:v>
      </x:c>
      <x:c r="E20" s="24" t="str">
        <x:f>'Raw Transactions'!D20</x:f>
        <x:v>Karya Printing</x:v>
      </x:c>
      <x:c r="F20" s="24" t="str">
        <x:f>'Raw Transactions'!F20</x:f>
        <x:v>Printing</x:v>
      </x:c>
      <x:c r="G20" s="24" t="str">
        <x:f>IFERROR(VLOOKUP(F20,'References'!A5:B16,2,FALSE),"NOT MAPPED - INVALID")</x:f>
        <x:v>Printing</x:v>
      </x:c>
      <x:c r="H20" s="24" t="str">
        <x:f>'Raw Transactions'!H20</x:f>
        <x:v>IDR</x:v>
      </x:c>
      <x:c r="I20" s="28" t="n">
        <x:f>'Raw Transactions'!I20</x:f>
        <x:v>2342000</x:v>
      </x:c>
      <x:c r="J20" s="24" t="str">
        <x:f>IF('Raw Transactions'!J20="","",'Raw Transactions'!J20)</x:f>
        <x:v>DOC-2026-0016</x:v>
      </x:c>
      <x:c r="K20" s="24" t="n">
        <x:f>COUNTIF('Raw Transactions'!A5:A64,B20)</x:f>
        <x:v>1</x:v>
      </x:c>
      <x:c r="L20" s="24" t="str">
        <x:f>IF(G20="NOT MAPPED - INVALID","Invalid Category","OK")</x:f>
        <x:v>OK</x:v>
      </x:c>
      <x:c r="M20" s="24" t="str">
        <x:f>IF(COUNTIF('References'!D5:D7,H20)=0,"Invalid Currency","OK")</x:f>
        <x:v>OK</x:v>
      </x:c>
      <x:c r="N20" s="24" t="str">
        <x:f>IF(OR(NOT(ISNUMBER(I20)),I20&lt;=0),"Invalid Amount","OK")</x:f>
        <x:v>OK</x:v>
      </x:c>
      <x:c r="O20" s="24" t="str">
        <x:f>IF(J20="","Missing Document","OK")</x:f>
        <x:v>OK</x:v>
      </x:c>
      <x:c r="P20" s="24" t="n">
        <x:f>IF(K20&gt;1,1,0)+IF(L20&lt;&gt;"OK",1,0)+IF(M20&lt;&gt;"OK",1,0)+IF(N20&lt;&gt;"OK",1,0)+IF(O20&lt;&gt;"OK",1,0)</x:f>
        <x:v>0</x:v>
      </x:c>
      <x:c r="Q20" s="24" t="str">
        <x:f>IF(P20=0,"Ready",IF(OR(K20&gt;1,N20&lt;&gt;"OK"),"High Priority Review","Review"))</x:f>
        <x:v>Ready</x:v>
      </x:c>
      <x:c r="R20" s="24" t="str">
        <x:f>IF(K20&gt;1,"Compare duplicate transaction records",IF(N20&lt;&gt;"OK","Verify amount against approved source",IF(L20&lt;&gt;"OK","Confirm approved finance category",IF(M20&lt;&gt;"OK","Confirm approved currency",IF(O20&lt;&gt;"OK","Request supporting document in writing","No action required")))))</x:f>
        <x:v>No action required</x:v>
      </x:c>
    </x:row>
    <x:row r="21" ht="24" customHeight="1">
      <x:c r="A21" s="11" t="n">
        <x:f>ROW()</x:f>
        <x:v>21</x:v>
      </x:c>
      <x:c r="B21" s="11" t="str">
        <x:f>'Raw Transactions'!A21</x:f>
        <x:v>FIN-0017</x:v>
      </x:c>
      <x:c r="C21" s="25" t="n">
        <x:f>'Raw Transactions'!B21</x:f>
        <x:v>46178</x:v>
      </x:c>
      <x:c r="D21" s="11" t="str">
        <x:f>'Raw Transactions'!C21</x:f>
        <x:v>BNK-03017</x:v>
      </x:c>
      <x:c r="E21" s="11" t="str">
        <x:f>'Raw Transactions'!D21</x:f>
        <x:v>Archipelago Travel</x:v>
      </x:c>
      <x:c r="F21" s="11" t="str">
        <x:f>'Raw Transactions'!F21</x:f>
        <x:v>Travel</x:v>
      </x:c>
      <x:c r="G21" s="11" t="str">
        <x:f>IFERROR(VLOOKUP(F21,'References'!A5:B16,2,FALSE),"NOT MAPPED - INVALID")</x:f>
        <x:v>Travel</x:v>
      </x:c>
      <x:c r="H21" s="11" t="str">
        <x:f>'Raw Transactions'!H21</x:f>
        <x:v>IDR</x:v>
      </x:c>
      <x:c r="I21" s="27" t="n">
        <x:f>'Raw Transactions'!I21</x:f>
        <x:v>2479000</x:v>
      </x:c>
      <x:c r="J21" s="11" t="str">
        <x:f>IF('Raw Transactions'!J21="","",'Raw Transactions'!J21)</x:f>
        <x:v>DOC-2026-0017</x:v>
      </x:c>
      <x:c r="K21" s="11" t="n">
        <x:f>COUNTIF('Raw Transactions'!A5:A64,B21)</x:f>
        <x:v>1</x:v>
      </x:c>
      <x:c r="L21" s="11" t="str">
        <x:f>IF(G21="NOT MAPPED - INVALID","Invalid Category","OK")</x:f>
        <x:v>OK</x:v>
      </x:c>
      <x:c r="M21" s="11" t="str">
        <x:f>IF(COUNTIF('References'!D5:D7,H21)=0,"Invalid Currency","OK")</x:f>
        <x:v>OK</x:v>
      </x:c>
      <x:c r="N21" s="11" t="str">
        <x:f>IF(OR(NOT(ISNUMBER(I21)),I21&lt;=0),"Invalid Amount","OK")</x:f>
        <x:v>OK</x:v>
      </x:c>
      <x:c r="O21" s="11" t="str">
        <x:f>IF(J21="","Missing Document","OK")</x:f>
        <x:v>OK</x:v>
      </x:c>
      <x:c r="P21" s="11" t="n">
        <x:f>IF(K21&gt;1,1,0)+IF(L21&lt;&gt;"OK",1,0)+IF(M21&lt;&gt;"OK",1,0)+IF(N21&lt;&gt;"OK",1,0)+IF(O21&lt;&gt;"OK",1,0)</x:f>
        <x:v>0</x:v>
      </x:c>
      <x:c r="Q21" s="11" t="str">
        <x:f>IF(P21=0,"Ready",IF(OR(K21&gt;1,N21&lt;&gt;"OK"),"High Priority Review","Review"))</x:f>
        <x:v>Ready</x:v>
      </x:c>
      <x:c r="R21" s="11" t="str">
        <x:f>IF(K21&gt;1,"Compare duplicate transaction records",IF(N21&lt;&gt;"OK","Verify amount against approved source",IF(L21&lt;&gt;"OK","Confirm approved finance category",IF(M21&lt;&gt;"OK","Confirm approved currency",IF(O21&lt;&gt;"OK","Request supporting document in writing","No action required")))))</x:f>
        <x:v>No action required</x:v>
      </x:c>
    </x:row>
    <x:row r="22" ht="24" customHeight="1">
      <x:c r="A22" s="24" t="n">
        <x:f>ROW()</x:f>
        <x:v>22</x:v>
      </x:c>
      <x:c r="B22" s="24" t="str">
        <x:f>'Raw Transactions'!A22</x:f>
        <x:v>FIN-0018</x:v>
      </x:c>
      <x:c r="C22" s="26" t="n">
        <x:f>'Raw Transactions'!B22</x:f>
        <x:v>46030</x:v>
      </x:c>
      <x:c r="D22" s="24" t="str">
        <x:f>'Raw Transactions'!C22</x:f>
        <x:v>BNK-03018</x:v>
      </x:c>
      <x:c r="E22" s="24" t="str">
        <x:f>'Raw Transactions'!D22</x:f>
        <x:v>Prima Utilities</x:v>
      </x:c>
      <x:c r="F22" s="24" t="str">
        <x:f>'Raw Transactions'!F22</x:f>
        <x:v>Utilities</x:v>
      </x:c>
      <x:c r="G22" s="24" t="str">
        <x:f>IFERROR(VLOOKUP(F22,'References'!A5:B16,2,FALSE),"NOT MAPPED - INVALID")</x:f>
        <x:v>Utilities</x:v>
      </x:c>
      <x:c r="H22" s="24" t="str">
        <x:f>'Raw Transactions'!H22</x:f>
        <x:v>IDR</x:v>
      </x:c>
      <x:c r="I22" s="28" t="n">
        <x:f>'Raw Transactions'!I22</x:f>
        <x:v>2616000</x:v>
      </x:c>
      <x:c r="J22" s="24" t="str">
        <x:f>IF('Raw Transactions'!J22="","",'Raw Transactions'!J22)</x:f>
      </x:c>
      <x:c r="K22" s="24" t="n">
        <x:f>COUNTIF('Raw Transactions'!A5:A64,B22)</x:f>
        <x:v>1</x:v>
      </x:c>
      <x:c r="L22" s="24" t="str">
        <x:f>IF(G22="NOT MAPPED - INVALID","Invalid Category","OK")</x:f>
        <x:v>OK</x:v>
      </x:c>
      <x:c r="M22" s="24" t="str">
        <x:f>IF(COUNTIF('References'!D5:D7,H22)=0,"Invalid Currency","OK")</x:f>
        <x:v>OK</x:v>
      </x:c>
      <x:c r="N22" s="24" t="str">
        <x:f>IF(OR(NOT(ISNUMBER(I22)),I22&lt;=0),"Invalid Amount","OK")</x:f>
        <x:v>OK</x:v>
      </x:c>
      <x:c r="O22" s="24" t="str">
        <x:f>IF(J22="","Missing Document","OK")</x:f>
        <x:v>Missing Document</x:v>
      </x:c>
      <x:c r="P22" s="24" t="n">
        <x:f>IF(K22&gt;1,1,0)+IF(L22&lt;&gt;"OK",1,0)+IF(M22&lt;&gt;"OK",1,0)+IF(N22&lt;&gt;"OK",1,0)+IF(O22&lt;&gt;"OK",1,0)</x:f>
        <x:v>1</x:v>
      </x:c>
      <x:c r="Q22" s="24" t="str">
        <x:f>IF(P22=0,"Ready",IF(OR(K22&gt;1,N22&lt;&gt;"OK"),"High Priority Review","Review"))</x:f>
        <x:v>Review</x:v>
      </x:c>
      <x:c r="R22" s="24" t="str">
        <x:f>IF(K22&gt;1,"Compare duplicate transaction records",IF(N22&lt;&gt;"OK","Verify amount against approved source",IF(L22&lt;&gt;"OK","Confirm approved finance category",IF(M22&lt;&gt;"OK","Confirm approved currency",IF(O22&lt;&gt;"OK","Request supporting document in writing","No action required")))))</x:f>
        <x:v>Request supporting document in writing</x:v>
      </x:c>
    </x:row>
    <x:row r="23" ht="24" customHeight="1">
      <x:c r="A23" s="11" t="n">
        <x:f>ROW()</x:f>
        <x:v>23</x:v>
      </x:c>
      <x:c r="B23" s="11" t="str">
        <x:f>'Raw Transactions'!A23</x:f>
        <x:v>FIN-0019</x:v>
      </x:c>
      <x:c r="C23" s="25" t="n">
        <x:f>'Raw Transactions'!B23</x:f>
        <x:v>46064</x:v>
      </x:c>
      <x:c r="D23" s="11" t="str">
        <x:f>'Raw Transactions'!C23</x:f>
        <x:v>BNK-03019</x:v>
      </x:c>
      <x:c r="E23" s="11" t="str">
        <x:f>'Raw Transactions'!D23</x:f>
        <x:v>DataSecure Hosting</x:v>
      </x:c>
      <x:c r="F23" s="11" t="str">
        <x:f>'Raw Transactions'!F23</x:f>
        <x:v>IT Services</x:v>
      </x:c>
      <x:c r="G23" s="11" t="str">
        <x:f>IFERROR(VLOOKUP(F23,'References'!A5:B16,2,FALSE),"NOT MAPPED - INVALID")</x:f>
        <x:v>IT Services</x:v>
      </x:c>
      <x:c r="H23" s="11" t="str">
        <x:f>'Raw Transactions'!H23</x:f>
        <x:v>IDR</x:v>
      </x:c>
      <x:c r="I23" s="27" t="n">
        <x:f>'Raw Transactions'!I23</x:f>
        <x:v>2753000</x:v>
      </x:c>
      <x:c r="J23" s="11" t="str">
        <x:f>IF('Raw Transactions'!J23="","",'Raw Transactions'!J23)</x:f>
        <x:v>DOC-2026-0019</x:v>
      </x:c>
      <x:c r="K23" s="11" t="n">
        <x:f>COUNTIF('Raw Transactions'!A5:A64,B23)</x:f>
        <x:v>1</x:v>
      </x:c>
      <x:c r="L23" s="11" t="str">
        <x:f>IF(G23="NOT MAPPED - INVALID","Invalid Category","OK")</x:f>
        <x:v>OK</x:v>
      </x:c>
      <x:c r="M23" s="11" t="str">
        <x:f>IF(COUNTIF('References'!D5:D7,H23)=0,"Invalid Currency","OK")</x:f>
        <x:v>OK</x:v>
      </x:c>
      <x:c r="N23" s="11" t="str">
        <x:f>IF(OR(NOT(ISNUMBER(I23)),I23&lt;=0),"Invalid Amount","OK")</x:f>
        <x:v>OK</x:v>
      </x:c>
      <x:c r="O23" s="11" t="str">
        <x:f>IF(J23="","Missing Document","OK")</x:f>
        <x:v>OK</x:v>
      </x:c>
      <x:c r="P23" s="11" t="n">
        <x:f>IF(K23&gt;1,1,0)+IF(L23&lt;&gt;"OK",1,0)+IF(M23&lt;&gt;"OK",1,0)+IF(N23&lt;&gt;"OK",1,0)+IF(O23&lt;&gt;"OK",1,0)</x:f>
        <x:v>0</x:v>
      </x:c>
      <x:c r="Q23" s="11" t="str">
        <x:f>IF(P23=0,"Ready",IF(OR(K23&gt;1,N23&lt;&gt;"OK"),"High Priority Review","Review"))</x:f>
        <x:v>Ready</x:v>
      </x:c>
      <x:c r="R23" s="11" t="str">
        <x:f>IF(K23&gt;1,"Compare duplicate transaction records",IF(N23&lt;&gt;"OK","Verify amount against approved source",IF(L23&lt;&gt;"OK","Confirm approved finance category",IF(M23&lt;&gt;"OK","Confirm approved currency",IF(O23&lt;&gt;"OK","Request supporting document in writing","No action required")))))</x:f>
        <x:v>No action required</x:v>
      </x:c>
    </x:row>
    <x:row r="24" ht="24" customHeight="1">
      <x:c r="A24" s="24" t="n">
        <x:f>ROW()</x:f>
        <x:v>24</x:v>
      </x:c>
      <x:c r="B24" s="24" t="str">
        <x:f>'Raw Transactions'!A24</x:f>
        <x:v>FIN-0020</x:v>
      </x:c>
      <x:c r="C24" s="26" t="n">
        <x:f>'Raw Transactions'!B24</x:f>
        <x:v>46095</x:v>
      </x:c>
      <x:c r="D24" s="24" t="str">
        <x:f>'Raw Transactions'!C24</x:f>
        <x:v>BNK-03020</x:v>
      </x:c>
      <x:c r="E24" s="24" t="str">
        <x:f>'Raw Transactions'!D24</x:f>
        <x:v>Maju Training Center</x:v>
      </x:c>
      <x:c r="F24" s="24" t="str">
        <x:f>'Raw Transactions'!F24</x:f>
        <x:v>Training</x:v>
      </x:c>
      <x:c r="G24" s="24" t="str">
        <x:f>IFERROR(VLOOKUP(F24,'References'!A5:B16,2,FALSE),"NOT MAPPED - INVALID")</x:f>
        <x:v>Training</x:v>
      </x:c>
      <x:c r="H24" s="24" t="str">
        <x:f>'Raw Transactions'!H24</x:f>
        <x:v>IDR</x:v>
      </x:c>
      <x:c r="I24" s="28" t="n">
        <x:f>'Raw Transactions'!I24</x:f>
        <x:v>2890000</x:v>
      </x:c>
      <x:c r="J24" s="24" t="str">
        <x:f>IF('Raw Transactions'!J24="","",'Raw Transactions'!J24)</x:f>
        <x:v>DOC-2026-0020</x:v>
      </x:c>
      <x:c r="K24" s="24" t="n">
        <x:f>COUNTIF('Raw Transactions'!A5:A64,B24)</x:f>
        <x:v>1</x:v>
      </x:c>
      <x:c r="L24" s="24" t="str">
        <x:f>IF(G24="NOT MAPPED - INVALID","Invalid Category","OK")</x:f>
        <x:v>OK</x:v>
      </x:c>
      <x:c r="M24" s="24" t="str">
        <x:f>IF(COUNTIF('References'!D5:D7,H24)=0,"Invalid Currency","OK")</x:f>
        <x:v>OK</x:v>
      </x:c>
      <x:c r="N24" s="24" t="str">
        <x:f>IF(OR(NOT(ISNUMBER(I24)),I24&lt;=0),"Invalid Amount","OK")</x:f>
        <x:v>OK</x:v>
      </x:c>
      <x:c r="O24" s="24" t="str">
        <x:f>IF(J24="","Missing Document","OK")</x:f>
        <x:v>OK</x:v>
      </x:c>
      <x:c r="P24" s="24" t="n">
        <x:f>IF(K24&gt;1,1,0)+IF(L24&lt;&gt;"OK",1,0)+IF(M24&lt;&gt;"OK",1,0)+IF(N24&lt;&gt;"OK",1,0)+IF(O24&lt;&gt;"OK",1,0)</x:f>
        <x:v>0</x:v>
      </x:c>
      <x:c r="Q24" s="24" t="str">
        <x:f>IF(P24=0,"Ready",IF(OR(K24&gt;1,N24&lt;&gt;"OK"),"High Priority Review","Review"))</x:f>
        <x:v>Ready</x:v>
      </x:c>
      <x:c r="R24" s="24" t="str">
        <x:f>IF(K24&gt;1,"Compare duplicate transaction records",IF(N24&lt;&gt;"OK","Verify amount against approved source",IF(L24&lt;&gt;"OK","Confirm approved finance category",IF(M24&lt;&gt;"OK","Confirm approved currency",IF(O24&lt;&gt;"OK","Request supporting document in writing","No action required")))))</x:f>
        <x:v>No action required</x:v>
      </x:c>
    </x:row>
    <x:row r="25" ht="24" customHeight="1">
      <x:c r="A25" s="11" t="n">
        <x:f>ROW()</x:f>
        <x:v>25</x:v>
      </x:c>
      <x:c r="B25" s="11" t="str">
        <x:f>'Raw Transactions'!A25</x:f>
        <x:v>FIN-0021</x:v>
      </x:c>
      <x:c r="C25" s="25" t="n">
        <x:f>'Raw Transactions'!B25</x:f>
        <x:v>46129</x:v>
      </x:c>
      <x:c r="D25" s="11" t="str">
        <x:f>'Raw Transactions'!C25</x:f>
        <x:v>BNK-03021</x:v>
      </x:c>
      <x:c r="E25" s="11" t="str">
        <x:f>'Raw Transactions'!D25</x:f>
        <x:v>Nusa Office Supply</x:v>
      </x:c>
      <x:c r="F25" s="11" t="str">
        <x:f>'Raw Transactions'!F25</x:f>
        <x:v>Office Supplies</x:v>
      </x:c>
      <x:c r="G25" s="11" t="str">
        <x:f>IFERROR(VLOOKUP(F25,'References'!A5:B16,2,FALSE),"NOT MAPPED - INVALID")</x:f>
        <x:v>Office Supplies</x:v>
      </x:c>
      <x:c r="H25" s="11" t="str">
        <x:f>'Raw Transactions'!H25</x:f>
        <x:v>IDR</x:v>
      </x:c>
      <x:c r="I25" s="27" t="n">
        <x:f>'Raw Transactions'!I25</x:f>
        <x:v>0</x:v>
      </x:c>
      <x:c r="J25" s="11" t="str">
        <x:f>IF('Raw Transactions'!J25="","",'Raw Transactions'!J25)</x:f>
        <x:v>DOC-2026-0021</x:v>
      </x:c>
      <x:c r="K25" s="11" t="n">
        <x:f>COUNTIF('Raw Transactions'!A5:A64,B25)</x:f>
        <x:v>1</x:v>
      </x:c>
      <x:c r="L25" s="11" t="str">
        <x:f>IF(G25="NOT MAPPED - INVALID","Invalid Category","OK")</x:f>
        <x:v>OK</x:v>
      </x:c>
      <x:c r="M25" s="11" t="str">
        <x:f>IF(COUNTIF('References'!D5:D7,H25)=0,"Invalid Currency","OK")</x:f>
        <x:v>OK</x:v>
      </x:c>
      <x:c r="N25" s="11" t="str">
        <x:f>IF(OR(NOT(ISNUMBER(I25)),I25&lt;=0),"Invalid Amount","OK")</x:f>
        <x:v>Invalid Amount</x:v>
      </x:c>
      <x:c r="O25" s="11" t="str">
        <x:f>IF(J25="","Missing Document","OK")</x:f>
        <x:v>OK</x:v>
      </x:c>
      <x:c r="P25" s="11" t="n">
        <x:f>IF(K25&gt;1,1,0)+IF(L25&lt;&gt;"OK",1,0)+IF(M25&lt;&gt;"OK",1,0)+IF(N25&lt;&gt;"OK",1,0)+IF(O25&lt;&gt;"OK",1,0)</x:f>
        <x:v>1</x:v>
      </x:c>
      <x:c r="Q25" s="11" t="str">
        <x:f>IF(P25=0,"Ready",IF(OR(K25&gt;1,N25&lt;&gt;"OK"),"High Priority Review","Review"))</x:f>
        <x:v>High Priority Review</x:v>
      </x:c>
      <x:c r="R25" s="11" t="str">
        <x:f>IF(K25&gt;1,"Compare duplicate transaction records",IF(N25&lt;&gt;"OK","Verify amount against approved source",IF(L25&lt;&gt;"OK","Confirm approved finance category",IF(M25&lt;&gt;"OK","Confirm approved currency",IF(O25&lt;&gt;"OK","Request supporting document in writing","No action required")))))</x:f>
        <x:v>Verify amount against approved source</x:v>
      </x:c>
    </x:row>
    <x:row r="26" ht="24" customHeight="1">
      <x:c r="A26" s="24" t="n">
        <x:f>ROW()</x:f>
        <x:v>26</x:v>
      </x:c>
      <x:c r="B26" s="24" t="str">
        <x:f>'Raw Transactions'!A26</x:f>
        <x:v>FIN-0022</x:v>
      </x:c>
      <x:c r="C26" s="26" t="n">
        <x:f>'Raw Transactions'!B26</x:f>
        <x:v>46162</x:v>
      </x:c>
      <x:c r="D26" s="24" t="str">
        <x:f>'Raw Transactions'!C26</x:f>
        <x:v>BNK-03022</x:v>
      </x:c>
      <x:c r="E26" s="24" t="str">
        <x:f>'Raw Transactions'!D26</x:f>
        <x:v>CloudDesk Software</x:v>
      </x:c>
      <x:c r="F26" s="24" t="str">
        <x:f>'Raw Transactions'!F26</x:f>
        <x:v>Software</x:v>
      </x:c>
      <x:c r="G26" s="24" t="str">
        <x:f>IFERROR(VLOOKUP(F26,'References'!A5:B16,2,FALSE),"NOT MAPPED - INVALID")</x:f>
        <x:v>Software</x:v>
      </x:c>
      <x:c r="H26" s="24" t="str">
        <x:f>'Raw Transactions'!H26</x:f>
        <x:v>IDR</x:v>
      </x:c>
      <x:c r="I26" s="28" t="n">
        <x:f>'Raw Transactions'!I26</x:f>
        <x:v>3164000</x:v>
      </x:c>
      <x:c r="J26" s="24" t="str">
        <x:f>IF('Raw Transactions'!J26="","",'Raw Transactions'!J26)</x:f>
        <x:v>DOC-2026-0022</x:v>
      </x:c>
      <x:c r="K26" s="24" t="n">
        <x:f>COUNTIF('Raw Transactions'!A5:A64,B26)</x:f>
        <x:v>1</x:v>
      </x:c>
      <x:c r="L26" s="24" t="str">
        <x:f>IF(G26="NOT MAPPED - INVALID","Invalid Category","OK")</x:f>
        <x:v>OK</x:v>
      </x:c>
      <x:c r="M26" s="24" t="str">
        <x:f>IF(COUNTIF('References'!D5:D7,H26)=0,"Invalid Currency","OK")</x:f>
        <x:v>OK</x:v>
      </x:c>
      <x:c r="N26" s="24" t="str">
        <x:f>IF(OR(NOT(ISNUMBER(I26)),I26&lt;=0),"Invalid Amount","OK")</x:f>
        <x:v>OK</x:v>
      </x:c>
      <x:c r="O26" s="24" t="str">
        <x:f>IF(J26="","Missing Document","OK")</x:f>
        <x:v>OK</x:v>
      </x:c>
      <x:c r="P26" s="24" t="n">
        <x:f>IF(K26&gt;1,1,0)+IF(L26&lt;&gt;"OK",1,0)+IF(M26&lt;&gt;"OK",1,0)+IF(N26&lt;&gt;"OK",1,0)+IF(O26&lt;&gt;"OK",1,0)</x:f>
        <x:v>0</x:v>
      </x:c>
      <x:c r="Q26" s="24" t="str">
        <x:f>IF(P26=0,"Ready",IF(OR(K26&gt;1,N26&lt;&gt;"OK"),"High Priority Review","Review"))</x:f>
        <x:v>Ready</x:v>
      </x:c>
      <x:c r="R26" s="24" t="str">
        <x:f>IF(K26&gt;1,"Compare duplicate transaction records",IF(N26&lt;&gt;"OK","Verify amount against approved source",IF(L26&lt;&gt;"OK","Confirm approved finance category",IF(M26&lt;&gt;"OK","Confirm approved currency",IF(O26&lt;&gt;"OK","Request supporting document in writing","No action required")))))</x:f>
        <x:v>No action required</x:v>
      </x:c>
    </x:row>
    <x:row r="27" ht="24" customHeight="1">
      <x:c r="A27" s="11" t="n">
        <x:f>ROW()</x:f>
        <x:v>27</x:v>
      </x:c>
      <x:c r="B27" s="11" t="str">
        <x:f>'Raw Transactions'!A27</x:f>
        <x:v>FIN-0023</x:v>
      </x:c>
      <x:c r="C27" s="25" t="n">
        <x:f>'Raw Transactions'!B27</x:f>
        <x:v>46196</x:v>
      </x:c>
      <x:c r="D27" s="11" t="str">
        <x:f>'Raw Transactions'!C27</x:f>
        <x:v>BNK-03023</x:v>
      </x:c>
      <x:c r="E27" s="11" t="str">
        <x:f>'Raw Transactions'!D27</x:f>
        <x:v>Metro Courier</x:v>
      </x:c>
      <x:c r="F27" s="11" t="str">
        <x:f>'Raw Transactions'!F27</x:f>
        <x:v>Courier</x:v>
      </x:c>
      <x:c r="G27" s="11" t="str">
        <x:f>IFERROR(VLOOKUP(F27,'References'!A5:B16,2,FALSE),"NOT MAPPED - INVALID")</x:f>
        <x:v>Courier</x:v>
      </x:c>
      <x:c r="H27" s="11" t="str">
        <x:f>'Raw Transactions'!H27</x:f>
        <x:v>IDR</x:v>
      </x:c>
      <x:c r="I27" s="27" t="n">
        <x:f>'Raw Transactions'!I27</x:f>
        <x:v>3301000</x:v>
      </x:c>
      <x:c r="J27" s="11" t="str">
        <x:f>IF('Raw Transactions'!J27="","",'Raw Transactions'!J27)</x:f>
        <x:v>DOC-2026-0023</x:v>
      </x:c>
      <x:c r="K27" s="11" t="n">
        <x:f>COUNTIF('Raw Transactions'!A5:A64,B27)</x:f>
        <x:v>1</x:v>
      </x:c>
      <x:c r="L27" s="11" t="str">
        <x:f>IF(G27="NOT MAPPED - INVALID","Invalid Category","OK")</x:f>
        <x:v>OK</x:v>
      </x:c>
      <x:c r="M27" s="11" t="str">
        <x:f>IF(COUNTIF('References'!D5:D7,H27)=0,"Invalid Currency","OK")</x:f>
        <x:v>OK</x:v>
      </x:c>
      <x:c r="N27" s="11" t="str">
        <x:f>IF(OR(NOT(ISNUMBER(I27)),I27&lt;=0),"Invalid Amount","OK")</x:f>
        <x:v>OK</x:v>
      </x:c>
      <x:c r="O27" s="11" t="str">
        <x:f>IF(J27="","Missing Document","OK")</x:f>
        <x:v>OK</x:v>
      </x:c>
      <x:c r="P27" s="11" t="n">
        <x:f>IF(K27&gt;1,1,0)+IF(L27&lt;&gt;"OK",1,0)+IF(M27&lt;&gt;"OK",1,0)+IF(N27&lt;&gt;"OK",1,0)+IF(O27&lt;&gt;"OK",1,0)</x:f>
        <x:v>0</x:v>
      </x:c>
      <x:c r="Q27" s="11" t="str">
        <x:f>IF(P27=0,"Ready",IF(OR(K27&gt;1,N27&lt;&gt;"OK"),"High Priority Review","Review"))</x:f>
        <x:v>Ready</x:v>
      </x:c>
      <x:c r="R27" s="11" t="str">
        <x:f>IF(K27&gt;1,"Compare duplicate transaction records",IF(N27&lt;&gt;"OK","Verify amount against approved source",IF(L27&lt;&gt;"OK","Confirm approved finance category",IF(M27&lt;&gt;"OK","Confirm approved currency",IF(O27&lt;&gt;"OK","Request supporting document in writing","No action required")))))</x:f>
        <x:v>No action required</x:v>
      </x:c>
    </x:row>
    <x:row r="28" ht="24" customHeight="1">
      <x:c r="A28" s="24" t="n">
        <x:f>ROW()</x:f>
        <x:v>28</x:v>
      </x:c>
      <x:c r="B28" s="24" t="str">
        <x:f>'Raw Transactions'!A28</x:f>
        <x:v>FIN-0024</x:v>
      </x:c>
      <x:c r="C28" s="26" t="n">
        <x:f>'Raw Transactions'!B28</x:f>
        <x:v>46024</x:v>
      </x:c>
      <x:c r="D28" s="24" t="str">
        <x:f>'Raw Transactions'!C28</x:f>
        <x:v>BNK-03024</x:v>
      </x:c>
      <x:c r="E28" s="24" t="str">
        <x:f>'Raw Transactions'!D28</x:f>
        <x:v>Bright Clean Services</x:v>
      </x:c>
      <x:c r="F28" s="24" t="str">
        <x:f>'Raw Transactions'!F28</x:f>
        <x:v>Facilities</x:v>
      </x:c>
      <x:c r="G28" s="24" t="str">
        <x:f>IFERROR(VLOOKUP(F28,'References'!A5:B16,2,FALSE),"NOT MAPPED - INVALID")</x:f>
        <x:v>Facilities</x:v>
      </x:c>
      <x:c r="H28" s="24" t="str">
        <x:f>'Raw Transactions'!H28</x:f>
        <x:v>IDR</x:v>
      </x:c>
      <x:c r="I28" s="28" t="n">
        <x:f>'Raw Transactions'!I28</x:f>
        <x:v>3438000</x:v>
      </x:c>
      <x:c r="J28" s="24" t="str">
        <x:f>IF('Raw Transactions'!J28="","",'Raw Transactions'!J28)</x:f>
        <x:v>DOC-2026-0024</x:v>
      </x:c>
      <x:c r="K28" s="24" t="n">
        <x:f>COUNTIF('Raw Transactions'!A5:A64,B28)</x:f>
        <x:v>1</x:v>
      </x:c>
      <x:c r="L28" s="24" t="str">
        <x:f>IF(G28="NOT MAPPED - INVALID","Invalid Category","OK")</x:f>
        <x:v>OK</x:v>
      </x:c>
      <x:c r="M28" s="24" t="str">
        <x:f>IF(COUNTIF('References'!D5:D7,H28)=0,"Invalid Currency","OK")</x:f>
        <x:v>OK</x:v>
      </x:c>
      <x:c r="N28" s="24" t="str">
        <x:f>IF(OR(NOT(ISNUMBER(I28)),I28&lt;=0),"Invalid Amount","OK")</x:f>
        <x:v>OK</x:v>
      </x:c>
      <x:c r="O28" s="24" t="str">
        <x:f>IF(J28="","Missing Document","OK")</x:f>
        <x:v>OK</x:v>
      </x:c>
      <x:c r="P28" s="24" t="n">
        <x:f>IF(K28&gt;1,1,0)+IF(L28&lt;&gt;"OK",1,0)+IF(M28&lt;&gt;"OK",1,0)+IF(N28&lt;&gt;"OK",1,0)+IF(O28&lt;&gt;"OK",1,0)</x:f>
        <x:v>0</x:v>
      </x:c>
      <x:c r="Q28" s="24" t="str">
        <x:f>IF(P28=0,"Ready",IF(OR(K28&gt;1,N28&lt;&gt;"OK"),"High Priority Review","Review"))</x:f>
        <x:v>Ready</x:v>
      </x:c>
      <x:c r="R28" s="24" t="str">
        <x:f>IF(K28&gt;1,"Compare duplicate transaction records",IF(N28&lt;&gt;"OK","Verify amount against approved source",IF(L28&lt;&gt;"OK","Confirm approved finance category",IF(M28&lt;&gt;"OK","Confirm approved currency",IF(O28&lt;&gt;"OK","Request supporting document in writing","No action required")))))</x:f>
        <x:v>No action required</x:v>
      </x:c>
    </x:row>
    <x:row r="29" ht="24" customHeight="1">
      <x:c r="A29" s="11" t="n">
        <x:f>ROW()</x:f>
        <x:v>29</x:v>
      </x:c>
      <x:c r="B29" s="11" t="str">
        <x:f>'Raw Transactions'!A29</x:f>
        <x:v>FIN-0025</x:v>
      </x:c>
      <x:c r="C29" s="25" t="n">
        <x:f>'Raw Transactions'!B29</x:f>
        <x:v>46058</x:v>
      </x:c>
      <x:c r="D29" s="11" t="str">
        <x:f>'Raw Transactions'!C29</x:f>
        <x:v>BNK-03025</x:v>
      </x:c>
      <x:c r="E29" s="11" t="str">
        <x:f>'Raw Transactions'!D29</x:f>
        <x:v>Sinar Telecom</x:v>
      </x:c>
      <x:c r="F29" s="11" t="str">
        <x:f>'Raw Transactions'!F29</x:f>
        <x:v>Telecommunications</x:v>
      </x:c>
      <x:c r="G29" s="11" t="str">
        <x:f>IFERROR(VLOOKUP(F29,'References'!A5:B16,2,FALSE),"NOT MAPPED - INVALID")</x:f>
        <x:v>Telecommunications</x:v>
      </x:c>
      <x:c r="H29" s="11" t="str">
        <x:f>'Raw Transactions'!H29</x:f>
        <x:v>IDR</x:v>
      </x:c>
      <x:c r="I29" s="27" t="n">
        <x:f>'Raw Transactions'!I29</x:f>
        <x:v>3575000</x:v>
      </x:c>
      <x:c r="J29" s="11" t="str">
        <x:f>IF('Raw Transactions'!J29="","",'Raw Transactions'!J29)</x:f>
        <x:v>DOC-2026-0025</x:v>
      </x:c>
      <x:c r="K29" s="11" t="n">
        <x:f>COUNTIF('Raw Transactions'!A5:A64,B29)</x:f>
        <x:v>1</x:v>
      </x:c>
      <x:c r="L29" s="11" t="str">
        <x:f>IF(G29="NOT MAPPED - INVALID","Invalid Category","OK")</x:f>
        <x:v>OK</x:v>
      </x:c>
      <x:c r="M29" s="11" t="str">
        <x:f>IF(COUNTIF('References'!D5:D7,H29)=0,"Invalid Currency","OK")</x:f>
        <x:v>OK</x:v>
      </x:c>
      <x:c r="N29" s="11" t="str">
        <x:f>IF(OR(NOT(ISNUMBER(I29)),I29&lt;=0),"Invalid Amount","OK")</x:f>
        <x:v>OK</x:v>
      </x:c>
      <x:c r="O29" s="11" t="str">
        <x:f>IF(J29="","Missing Document","OK")</x:f>
        <x:v>OK</x:v>
      </x:c>
      <x:c r="P29" s="11" t="n">
        <x:f>IF(K29&gt;1,1,0)+IF(L29&lt;&gt;"OK",1,0)+IF(M29&lt;&gt;"OK",1,0)+IF(N29&lt;&gt;"OK",1,0)+IF(O29&lt;&gt;"OK",1,0)</x:f>
        <x:v>0</x:v>
      </x:c>
      <x:c r="Q29" s="11" t="str">
        <x:f>IF(P29=0,"Ready",IF(OR(K29&gt;1,N29&lt;&gt;"OK"),"High Priority Review","Review"))</x:f>
        <x:v>Ready</x:v>
      </x:c>
      <x:c r="R29" s="11" t="str">
        <x:f>IF(K29&gt;1,"Compare duplicate transaction records",IF(N29&lt;&gt;"OK","Verify amount against approved source",IF(L29&lt;&gt;"OK","Confirm approved finance category",IF(M29&lt;&gt;"OK","Confirm approved currency",IF(O29&lt;&gt;"OK","Request supporting document in writing","No action required")))))</x:f>
        <x:v>No action required</x:v>
      </x:c>
    </x:row>
    <x:row r="30" ht="24" customHeight="1">
      <x:c r="A30" s="24" t="n">
        <x:f>ROW()</x:f>
        <x:v>30</x:v>
      </x:c>
      <x:c r="B30" s="24" t="str">
        <x:f>'Raw Transactions'!A30</x:f>
        <x:v>FIN-0026</x:v>
      </x:c>
      <x:c r="C30" s="26" t="n">
        <x:f>'Raw Transactions'!B30</x:f>
        <x:v>46089</x:v>
      </x:c>
      <x:c r="D30" s="24" t="str">
        <x:f>'Raw Transactions'!C30</x:f>
        <x:v>BNK-03026</x:v>
      </x:c>
      <x:c r="E30" s="24" t="str">
        <x:f>'Raw Transactions'!D30</x:f>
        <x:v>Karya Printing</x:v>
      </x:c>
      <x:c r="F30" s="24" t="str">
        <x:f>'Raw Transactions'!F30</x:f>
        <x:v>Printing</x:v>
      </x:c>
      <x:c r="G30" s="24" t="str">
        <x:f>IFERROR(VLOOKUP(F30,'References'!A5:B16,2,FALSE),"NOT MAPPED - INVALID")</x:f>
        <x:v>Printing</x:v>
      </x:c>
      <x:c r="H30" s="24" t="str">
        <x:f>'Raw Transactions'!H30</x:f>
        <x:v>IDR</x:v>
      </x:c>
      <x:c r="I30" s="28" t="n">
        <x:f>'Raw Transactions'!I30</x:f>
        <x:v>3712000</x:v>
      </x:c>
      <x:c r="J30" s="24" t="str">
        <x:f>IF('Raw Transactions'!J30="","",'Raw Transactions'!J30)</x:f>
        <x:v>DOC-2026-0026</x:v>
      </x:c>
      <x:c r="K30" s="24" t="n">
        <x:f>COUNTIF('Raw Transactions'!A5:A64,B30)</x:f>
        <x:v>1</x:v>
      </x:c>
      <x:c r="L30" s="24" t="str">
        <x:f>IF(G30="NOT MAPPED - INVALID","Invalid Category","OK")</x:f>
        <x:v>OK</x:v>
      </x:c>
      <x:c r="M30" s="24" t="str">
        <x:f>IF(COUNTIF('References'!D5:D7,H30)=0,"Invalid Currency","OK")</x:f>
        <x:v>OK</x:v>
      </x:c>
      <x:c r="N30" s="24" t="str">
        <x:f>IF(OR(NOT(ISNUMBER(I30)),I30&lt;=0),"Invalid Amount","OK")</x:f>
        <x:v>OK</x:v>
      </x:c>
      <x:c r="O30" s="24" t="str">
        <x:f>IF(J30="","Missing Document","OK")</x:f>
        <x:v>OK</x:v>
      </x:c>
      <x:c r="P30" s="24" t="n">
        <x:f>IF(K30&gt;1,1,0)+IF(L30&lt;&gt;"OK",1,0)+IF(M30&lt;&gt;"OK",1,0)+IF(N30&lt;&gt;"OK",1,0)+IF(O30&lt;&gt;"OK",1,0)</x:f>
        <x:v>0</x:v>
      </x:c>
      <x:c r="Q30" s="24" t="str">
        <x:f>IF(P30=0,"Ready",IF(OR(K30&gt;1,N30&lt;&gt;"OK"),"High Priority Review","Review"))</x:f>
        <x:v>Ready</x:v>
      </x:c>
      <x:c r="R30" s="24" t="str">
        <x:f>IF(K30&gt;1,"Compare duplicate transaction records",IF(N30&lt;&gt;"OK","Verify amount against approved source",IF(L30&lt;&gt;"OK","Confirm approved finance category",IF(M30&lt;&gt;"OK","Confirm approved currency",IF(O30&lt;&gt;"OK","Request supporting document in writing","No action required")))))</x:f>
        <x:v>No action required</x:v>
      </x:c>
    </x:row>
    <x:row r="31" ht="24" customHeight="1">
      <x:c r="A31" s="11" t="n">
        <x:f>ROW()</x:f>
        <x:v>31</x:v>
      </x:c>
      <x:c r="B31" s="11" t="str">
        <x:f>'Raw Transactions'!A31</x:f>
        <x:v>FIN-0027</x:v>
      </x:c>
      <x:c r="C31" s="25" t="n">
        <x:f>'Raw Transactions'!B31</x:f>
        <x:v>46123</x:v>
      </x:c>
      <x:c r="D31" s="11" t="str">
        <x:f>'Raw Transactions'!C31</x:f>
        <x:v>BNK-03027</x:v>
      </x:c>
      <x:c r="E31" s="11" t="str">
        <x:f>'Raw Transactions'!D31</x:f>
        <x:v>Archipelago Travel</x:v>
      </x:c>
      <x:c r="F31" s="11" t="str">
        <x:f>'Raw Transactions'!F31</x:f>
        <x:v>Travel</x:v>
      </x:c>
      <x:c r="G31" s="11" t="str">
        <x:f>IFERROR(VLOOKUP(F31,'References'!A5:B16,2,FALSE),"NOT MAPPED - INVALID")</x:f>
        <x:v>Travel</x:v>
      </x:c>
      <x:c r="H31" s="11" t="str">
        <x:f>'Raw Transactions'!H31</x:f>
        <x:v>IDR</x:v>
      </x:c>
      <x:c r="I31" s="27" t="n">
        <x:f>'Raw Transactions'!I31</x:f>
        <x:v>3849000</x:v>
      </x:c>
      <x:c r="J31" s="11" t="str">
        <x:f>IF('Raw Transactions'!J31="","",'Raw Transactions'!J31)</x:f>
        <x:v>DOC-2026-0027</x:v>
      </x:c>
      <x:c r="K31" s="11" t="n">
        <x:f>COUNTIF('Raw Transactions'!A5:A64,B31)</x:f>
        <x:v>1</x:v>
      </x:c>
      <x:c r="L31" s="11" t="str">
        <x:f>IF(G31="NOT MAPPED - INVALID","Invalid Category","OK")</x:f>
        <x:v>OK</x:v>
      </x:c>
      <x:c r="M31" s="11" t="str">
        <x:f>IF(COUNTIF('References'!D5:D7,H31)=0,"Invalid Currency","OK")</x:f>
        <x:v>OK</x:v>
      </x:c>
      <x:c r="N31" s="11" t="str">
        <x:f>IF(OR(NOT(ISNUMBER(I31)),I31&lt;=0),"Invalid Amount","OK")</x:f>
        <x:v>OK</x:v>
      </x:c>
      <x:c r="O31" s="11" t="str">
        <x:f>IF(J31="","Missing Document","OK")</x:f>
        <x:v>OK</x:v>
      </x:c>
      <x:c r="P31" s="11" t="n">
        <x:f>IF(K31&gt;1,1,0)+IF(L31&lt;&gt;"OK",1,0)+IF(M31&lt;&gt;"OK",1,0)+IF(N31&lt;&gt;"OK",1,0)+IF(O31&lt;&gt;"OK",1,0)</x:f>
        <x:v>0</x:v>
      </x:c>
      <x:c r="Q31" s="11" t="str">
        <x:f>IF(P31=0,"Ready",IF(OR(K31&gt;1,N31&lt;&gt;"OK"),"High Priority Review","Review"))</x:f>
        <x:v>Ready</x:v>
      </x:c>
      <x:c r="R31" s="11" t="str">
        <x:f>IF(K31&gt;1,"Compare duplicate transaction records",IF(N31&lt;&gt;"OK","Verify amount against approved source",IF(L31&lt;&gt;"OK","Confirm approved finance category",IF(M31&lt;&gt;"OK","Confirm approved currency",IF(O31&lt;&gt;"OK","Request supporting document in writing","No action required")))))</x:f>
        <x:v>No action required</x:v>
      </x:c>
    </x:row>
    <x:row r="32" ht="24" customHeight="1">
      <x:c r="A32" s="24" t="n">
        <x:f>ROW()</x:f>
        <x:v>32</x:v>
      </x:c>
      <x:c r="B32" s="24" t="str">
        <x:f>'Raw Transactions'!A32</x:f>
        <x:v>FIN-0028</x:v>
      </x:c>
      <x:c r="C32" s="26" t="n">
        <x:f>'Raw Transactions'!B32</x:f>
        <x:v>46156</x:v>
      </x:c>
      <x:c r="D32" s="24" t="str">
        <x:f>'Raw Transactions'!C32</x:f>
        <x:v>BNK-03028</x:v>
      </x:c>
      <x:c r="E32" s="24" t="str">
        <x:f>'Raw Transactions'!D32</x:f>
        <x:v>Prima Utilities</x:v>
      </x:c>
      <x:c r="F32" s="24" t="str">
        <x:f>'Raw Transactions'!F32</x:f>
        <x:v>Utilities</x:v>
      </x:c>
      <x:c r="G32" s="24" t="str">
        <x:f>IFERROR(VLOOKUP(F32,'References'!A5:B16,2,FALSE),"NOT MAPPED - INVALID")</x:f>
        <x:v>Utilities</x:v>
      </x:c>
      <x:c r="H32" s="24" t="str">
        <x:f>'Raw Transactions'!H32</x:f>
        <x:v>IDR</x:v>
      </x:c>
      <x:c r="I32" s="28" t="n">
        <x:f>'Raw Transactions'!I32</x:f>
        <x:v>3986000</x:v>
      </x:c>
      <x:c r="J32" s="24" t="str">
        <x:f>IF('Raw Transactions'!J32="","",'Raw Transactions'!J32)</x:f>
        <x:v>DOC-2026-0028</x:v>
      </x:c>
      <x:c r="K32" s="24" t="n">
        <x:f>COUNTIF('Raw Transactions'!A5:A64,B32)</x:f>
        <x:v>1</x:v>
      </x:c>
      <x:c r="L32" s="24" t="str">
        <x:f>IF(G32="NOT MAPPED - INVALID","Invalid Category","OK")</x:f>
        <x:v>OK</x:v>
      </x:c>
      <x:c r="M32" s="24" t="str">
        <x:f>IF(COUNTIF('References'!D5:D7,H32)=0,"Invalid Currency","OK")</x:f>
        <x:v>OK</x:v>
      </x:c>
      <x:c r="N32" s="24" t="str">
        <x:f>IF(OR(NOT(ISNUMBER(I32)),I32&lt;=0),"Invalid Amount","OK")</x:f>
        <x:v>OK</x:v>
      </x:c>
      <x:c r="O32" s="24" t="str">
        <x:f>IF(J32="","Missing Document","OK")</x:f>
        <x:v>OK</x:v>
      </x:c>
      <x:c r="P32" s="24" t="n">
        <x:f>IF(K32&gt;1,1,0)+IF(L32&lt;&gt;"OK",1,0)+IF(M32&lt;&gt;"OK",1,0)+IF(N32&lt;&gt;"OK",1,0)+IF(O32&lt;&gt;"OK",1,0)</x:f>
        <x:v>0</x:v>
      </x:c>
      <x:c r="Q32" s="24" t="str">
        <x:f>IF(P32=0,"Ready",IF(OR(K32&gt;1,N32&lt;&gt;"OK"),"High Priority Review","Review"))</x:f>
        <x:v>Ready</x:v>
      </x:c>
      <x:c r="R32" s="24" t="str">
        <x:f>IF(K32&gt;1,"Compare duplicate transaction records",IF(N32&lt;&gt;"OK","Verify amount against approved source",IF(L32&lt;&gt;"OK","Confirm approved finance category",IF(M32&lt;&gt;"OK","Confirm approved currency",IF(O32&lt;&gt;"OK","Request supporting document in writing","No action required")))))</x:f>
        <x:v>No action required</x:v>
      </x:c>
    </x:row>
    <x:row r="33" ht="24" customHeight="1">
      <x:c r="A33" s="11" t="n">
        <x:f>ROW()</x:f>
        <x:v>33</x:v>
      </x:c>
      <x:c r="B33" s="11" t="str">
        <x:f>'Raw Transactions'!A33</x:f>
        <x:v>FIN-0029</x:v>
      </x:c>
      <x:c r="C33" s="25" t="n">
        <x:f>'Raw Transactions'!B33</x:f>
        <x:v>46190</x:v>
      </x:c>
      <x:c r="D33" s="11" t="str">
        <x:f>'Raw Transactions'!C33</x:f>
        <x:v>BNK-03029</x:v>
      </x:c>
      <x:c r="E33" s="11" t="str">
        <x:f>'Raw Transactions'!D33</x:f>
        <x:v>DataSecure Hosting</x:v>
      </x:c>
      <x:c r="F33" s="11" t="str">
        <x:f>'Raw Transactions'!F33</x:f>
        <x:v>IT Services</x:v>
      </x:c>
      <x:c r="G33" s="11" t="str">
        <x:f>IFERROR(VLOOKUP(F33,'References'!A5:B16,2,FALSE),"NOT MAPPED - INVALID")</x:f>
        <x:v>IT Services</x:v>
      </x:c>
      <x:c r="H33" s="11" t="str">
        <x:f>'Raw Transactions'!H33</x:f>
        <x:v>IDR</x:v>
      </x:c>
      <x:c r="I33" s="27" t="n">
        <x:f>'Raw Transactions'!I33</x:f>
        <x:v>273000</x:v>
      </x:c>
      <x:c r="J33" s="11" t="str">
        <x:f>IF('Raw Transactions'!J33="","",'Raw Transactions'!J33)</x:f>
      </x:c>
      <x:c r="K33" s="11" t="n">
        <x:f>COUNTIF('Raw Transactions'!A5:A64,B33)</x:f>
        <x:v>1</x:v>
      </x:c>
      <x:c r="L33" s="11" t="str">
        <x:f>IF(G33="NOT MAPPED - INVALID","Invalid Category","OK")</x:f>
        <x:v>OK</x:v>
      </x:c>
      <x:c r="M33" s="11" t="str">
        <x:f>IF(COUNTIF('References'!D5:D7,H33)=0,"Invalid Currency","OK")</x:f>
        <x:v>OK</x:v>
      </x:c>
      <x:c r="N33" s="11" t="str">
        <x:f>IF(OR(NOT(ISNUMBER(I33)),I33&lt;=0),"Invalid Amount","OK")</x:f>
        <x:v>OK</x:v>
      </x:c>
      <x:c r="O33" s="11" t="str">
        <x:f>IF(J33="","Missing Document","OK")</x:f>
        <x:v>Missing Document</x:v>
      </x:c>
      <x:c r="P33" s="11" t="n">
        <x:f>IF(K33&gt;1,1,0)+IF(L33&lt;&gt;"OK",1,0)+IF(M33&lt;&gt;"OK",1,0)+IF(N33&lt;&gt;"OK",1,0)+IF(O33&lt;&gt;"OK",1,0)</x:f>
        <x:v>1</x:v>
      </x:c>
      <x:c r="Q33" s="11" t="str">
        <x:f>IF(P33=0,"Ready",IF(OR(K33&gt;1,N33&lt;&gt;"OK"),"High Priority Review","Review"))</x:f>
        <x:v>Review</x:v>
      </x:c>
      <x:c r="R33" s="11" t="str">
        <x:f>IF(K33&gt;1,"Compare duplicate transaction records",IF(N33&lt;&gt;"OK","Verify amount against approved source",IF(L33&lt;&gt;"OK","Confirm approved finance category",IF(M33&lt;&gt;"OK","Confirm approved currency",IF(O33&lt;&gt;"OK","Request supporting document in writing","No action required")))))</x:f>
        <x:v>Request supporting document in writing</x:v>
      </x:c>
    </x:row>
    <x:row r="34" ht="24" customHeight="1">
      <x:c r="A34" s="24" t="n">
        <x:f>ROW()</x:f>
        <x:v>34</x:v>
      </x:c>
      <x:c r="B34" s="24" t="str">
        <x:f>'Raw Transactions'!A34</x:f>
        <x:v>FIN-0030</x:v>
      </x:c>
      <x:c r="C34" s="26" t="n">
        <x:f>'Raw Transactions'!B34</x:f>
        <x:v>46042</x:v>
      </x:c>
      <x:c r="D34" s="24" t="str">
        <x:f>'Raw Transactions'!C34</x:f>
        <x:v>BNK-03030</x:v>
      </x:c>
      <x:c r="E34" s="24" t="str">
        <x:f>'Raw Transactions'!D34</x:f>
        <x:v>Maju Training Center</x:v>
      </x:c>
      <x:c r="F34" s="24" t="str">
        <x:f>'Raw Transactions'!F34</x:f>
        <x:v>Training</x:v>
      </x:c>
      <x:c r="G34" s="24" t="str">
        <x:f>IFERROR(VLOOKUP(F34,'References'!A5:B16,2,FALSE),"NOT MAPPED - INVALID")</x:f>
        <x:v>Training</x:v>
      </x:c>
      <x:c r="H34" s="24" t="str">
        <x:f>'Raw Transactions'!H34</x:f>
        <x:v>IDR</x:v>
      </x:c>
      <x:c r="I34" s="28" t="n">
        <x:f>'Raw Transactions'!I34</x:f>
        <x:v>410000</x:v>
      </x:c>
      <x:c r="J34" s="24" t="str">
        <x:f>IF('Raw Transactions'!J34="","",'Raw Transactions'!J34)</x:f>
        <x:v>DOC-2026-0030</x:v>
      </x:c>
      <x:c r="K34" s="24" t="n">
        <x:f>COUNTIF('Raw Transactions'!A5:A64,B34)</x:f>
        <x:v>1</x:v>
      </x:c>
      <x:c r="L34" s="24" t="str">
        <x:f>IF(G34="NOT MAPPED - INVALID","Invalid Category","OK")</x:f>
        <x:v>OK</x:v>
      </x:c>
      <x:c r="M34" s="24" t="str">
        <x:f>IF(COUNTIF('References'!D5:D7,H34)=0,"Invalid Currency","OK")</x:f>
        <x:v>OK</x:v>
      </x:c>
      <x:c r="N34" s="24" t="str">
        <x:f>IF(OR(NOT(ISNUMBER(I34)),I34&lt;=0),"Invalid Amount","OK")</x:f>
        <x:v>OK</x:v>
      </x:c>
      <x:c r="O34" s="24" t="str">
        <x:f>IF(J34="","Missing Document","OK")</x:f>
        <x:v>OK</x:v>
      </x:c>
      <x:c r="P34" s="24" t="n">
        <x:f>IF(K34&gt;1,1,0)+IF(L34&lt;&gt;"OK",1,0)+IF(M34&lt;&gt;"OK",1,0)+IF(N34&lt;&gt;"OK",1,0)+IF(O34&lt;&gt;"OK",1,0)</x:f>
        <x:v>0</x:v>
      </x:c>
      <x:c r="Q34" s="24" t="str">
        <x:f>IF(P34=0,"Ready",IF(OR(K34&gt;1,N34&lt;&gt;"OK"),"High Priority Review","Review"))</x:f>
        <x:v>Ready</x:v>
      </x:c>
      <x:c r="R34" s="24" t="str">
        <x:f>IF(K34&gt;1,"Compare duplicate transaction records",IF(N34&lt;&gt;"OK","Verify amount against approved source",IF(L34&lt;&gt;"OK","Confirm approved finance category",IF(M34&lt;&gt;"OK","Confirm approved currency",IF(O34&lt;&gt;"OK","Request supporting document in writing","No action required")))))</x:f>
        <x:v>No action required</x:v>
      </x:c>
    </x:row>
    <x:row r="35" ht="24" customHeight="1">
      <x:c r="A35" s="11" t="n">
        <x:f>ROW()</x:f>
        <x:v>35</x:v>
      </x:c>
      <x:c r="B35" s="11" t="str">
        <x:f>'Raw Transactions'!A35</x:f>
        <x:v>FIN-0031</x:v>
      </x:c>
      <x:c r="C35" s="25" t="n">
        <x:f>'Raw Transactions'!B35</x:f>
        <x:v>46076</x:v>
      </x:c>
      <x:c r="D35" s="11" t="str">
        <x:f>'Raw Transactions'!C35</x:f>
        <x:v>BNK-03031</x:v>
      </x:c>
      <x:c r="E35" s="11" t="str">
        <x:f>'Raw Transactions'!D35</x:f>
        <x:v>Nusa Office Supply</x:v>
      </x:c>
      <x:c r="F35" s="11" t="str">
        <x:f>'Raw Transactions'!F35</x:f>
        <x:v>Office Supplies</x:v>
      </x:c>
      <x:c r="G35" s="11" t="str">
        <x:f>IFERROR(VLOOKUP(F35,'References'!A5:B16,2,FALSE),"NOT MAPPED - INVALID")</x:f>
        <x:v>Office Supplies</x:v>
      </x:c>
      <x:c r="H35" s="11" t="str">
        <x:f>'Raw Transactions'!H35</x:f>
        <x:v>IDR</x:v>
      </x:c>
      <x:c r="I35" s="27" t="n">
        <x:f>'Raw Transactions'!I35</x:f>
        <x:v>547000</x:v>
      </x:c>
      <x:c r="J35" s="11" t="str">
        <x:f>IF('Raw Transactions'!J35="","",'Raw Transactions'!J35)</x:f>
        <x:v>DOC-2026-0031</x:v>
      </x:c>
      <x:c r="K35" s="11" t="n">
        <x:f>COUNTIF('Raw Transactions'!A5:A64,B35)</x:f>
        <x:v>1</x:v>
      </x:c>
      <x:c r="L35" s="11" t="str">
        <x:f>IF(G35="NOT MAPPED - INVALID","Invalid Category","OK")</x:f>
        <x:v>OK</x:v>
      </x:c>
      <x:c r="M35" s="11" t="str">
        <x:f>IF(COUNTIF('References'!D5:D7,H35)=0,"Invalid Currency","OK")</x:f>
        <x:v>OK</x:v>
      </x:c>
      <x:c r="N35" s="11" t="str">
        <x:f>IF(OR(NOT(ISNUMBER(I35)),I35&lt;=0),"Invalid Amount","OK")</x:f>
        <x:v>OK</x:v>
      </x:c>
      <x:c r="O35" s="11" t="str">
        <x:f>IF(J35="","Missing Document","OK")</x:f>
        <x:v>OK</x:v>
      </x:c>
      <x:c r="P35" s="11" t="n">
        <x:f>IF(K35&gt;1,1,0)+IF(L35&lt;&gt;"OK",1,0)+IF(M35&lt;&gt;"OK",1,0)+IF(N35&lt;&gt;"OK",1,0)+IF(O35&lt;&gt;"OK",1,0)</x:f>
        <x:v>0</x:v>
      </x:c>
      <x:c r="Q35" s="11" t="str">
        <x:f>IF(P35=0,"Ready",IF(OR(K35&gt;1,N35&lt;&gt;"OK"),"High Priority Review","Review"))</x:f>
        <x:v>Ready</x:v>
      </x:c>
      <x:c r="R35" s="11" t="str">
        <x:f>IF(K35&gt;1,"Compare duplicate transaction records",IF(N35&lt;&gt;"OK","Verify amount against approved source",IF(L35&lt;&gt;"OK","Confirm approved finance category",IF(M35&lt;&gt;"OK","Confirm approved currency",IF(O35&lt;&gt;"OK","Request supporting document in writing","No action required")))))</x:f>
        <x:v>No action required</x:v>
      </x:c>
    </x:row>
    <x:row r="36" ht="24" customHeight="1">
      <x:c r="A36" s="24" t="n">
        <x:f>ROW()</x:f>
        <x:v>36</x:v>
      </x:c>
      <x:c r="B36" s="24" t="str">
        <x:f>'Raw Transactions'!A36</x:f>
        <x:v>FIN-0032</x:v>
      </x:c>
      <x:c r="C36" s="26" t="n">
        <x:f>'Raw Transactions'!B36</x:f>
        <x:v>46083</x:v>
      </x:c>
      <x:c r="D36" s="24" t="str">
        <x:f>'Raw Transactions'!C36</x:f>
        <x:v>BNK-03032</x:v>
      </x:c>
      <x:c r="E36" s="24" t="str">
        <x:f>'Raw Transactions'!D36</x:f>
        <x:v>CloudDesk Software</x:v>
      </x:c>
      <x:c r="F36" s="24" t="str">
        <x:f>'Raw Transactions'!F36</x:f>
        <x:v>Software</x:v>
      </x:c>
      <x:c r="G36" s="24" t="str">
        <x:f>IFERROR(VLOOKUP(F36,'References'!A5:B16,2,FALSE),"NOT MAPPED - INVALID")</x:f>
        <x:v>Software</x:v>
      </x:c>
      <x:c r="H36" s="24" t="str">
        <x:f>'Raw Transactions'!H36</x:f>
        <x:v>IDR</x:v>
      </x:c>
      <x:c r="I36" s="28" t="n">
        <x:f>'Raw Transactions'!I36</x:f>
        <x:v>684000</x:v>
      </x:c>
      <x:c r="J36" s="24" t="str">
        <x:f>IF('Raw Transactions'!J36="","",'Raw Transactions'!J36)</x:f>
        <x:v>DOC-2026-0032</x:v>
      </x:c>
      <x:c r="K36" s="24" t="n">
        <x:f>COUNTIF('Raw Transactions'!A5:A64,B36)</x:f>
        <x:v>1</x:v>
      </x:c>
      <x:c r="L36" s="24" t="str">
        <x:f>IF(G36="NOT MAPPED - INVALID","Invalid Category","OK")</x:f>
        <x:v>OK</x:v>
      </x:c>
      <x:c r="M36" s="24" t="str">
        <x:f>IF(COUNTIF('References'!D5:D7,H36)=0,"Invalid Currency","OK")</x:f>
        <x:v>OK</x:v>
      </x:c>
      <x:c r="N36" s="24" t="str">
        <x:f>IF(OR(NOT(ISNUMBER(I36)),I36&lt;=0),"Invalid Amount","OK")</x:f>
        <x:v>OK</x:v>
      </x:c>
      <x:c r="O36" s="24" t="str">
        <x:f>IF(J36="","Missing Document","OK")</x:f>
        <x:v>OK</x:v>
      </x:c>
      <x:c r="P36" s="24" t="n">
        <x:f>IF(K36&gt;1,1,0)+IF(L36&lt;&gt;"OK",1,0)+IF(M36&lt;&gt;"OK",1,0)+IF(N36&lt;&gt;"OK",1,0)+IF(O36&lt;&gt;"OK",1,0)</x:f>
        <x:v>0</x:v>
      </x:c>
      <x:c r="Q36" s="24" t="str">
        <x:f>IF(P36=0,"Ready",IF(OR(K36&gt;1,N36&lt;&gt;"OK"),"High Priority Review","Review"))</x:f>
        <x:v>Ready</x:v>
      </x:c>
      <x:c r="R36" s="24" t="str">
        <x:f>IF(K36&gt;1,"Compare duplicate transaction records",IF(N36&lt;&gt;"OK","Verify amount against approved source",IF(L36&lt;&gt;"OK","Confirm approved finance category",IF(M36&lt;&gt;"OK","Confirm approved currency",IF(O36&lt;&gt;"OK","Request supporting document in writing","No action required")))))</x:f>
        <x:v>No action required</x:v>
      </x:c>
    </x:row>
    <x:row r="37" ht="24" customHeight="1">
      <x:c r="A37" s="11" t="n">
        <x:f>ROW()</x:f>
        <x:v>37</x:v>
      </x:c>
      <x:c r="B37" s="11" t="str">
        <x:f>'Raw Transactions'!A37</x:f>
        <x:v>FIN-0033</x:v>
      </x:c>
      <x:c r="C37" s="25" t="n">
        <x:f>'Raw Transactions'!B37</x:f>
        <x:v>46117</x:v>
      </x:c>
      <x:c r="D37" s="11" t="str">
        <x:f>'Raw Transactions'!C37</x:f>
        <x:v>BNK-03033</x:v>
      </x:c>
      <x:c r="E37" s="11" t="str">
        <x:f>'Raw Transactions'!D37</x:f>
        <x:v>Metro Courier</x:v>
      </x:c>
      <x:c r="F37" s="11" t="str">
        <x:f>'Raw Transactions'!F37</x:f>
        <x:v>Courier</x:v>
      </x:c>
      <x:c r="G37" s="11" t="str">
        <x:f>IFERROR(VLOOKUP(F37,'References'!A5:B16,2,FALSE),"NOT MAPPED - INVALID")</x:f>
        <x:v>Courier</x:v>
      </x:c>
      <x:c r="H37" s="11" t="str">
        <x:f>'Raw Transactions'!H37</x:f>
        <x:v>IDR</x:v>
      </x:c>
      <x:c r="I37" s="27" t="n">
        <x:f>'Raw Transactions'!I37</x:f>
        <x:v>821000</x:v>
      </x:c>
      <x:c r="J37" s="11" t="str">
        <x:f>IF('Raw Transactions'!J37="","",'Raw Transactions'!J37)</x:f>
        <x:v>DOC-2026-0033</x:v>
      </x:c>
      <x:c r="K37" s="11" t="n">
        <x:f>COUNTIF('Raw Transactions'!A5:A64,B37)</x:f>
        <x:v>1</x:v>
      </x:c>
      <x:c r="L37" s="11" t="str">
        <x:f>IF(G37="NOT MAPPED - INVALID","Invalid Category","OK")</x:f>
        <x:v>OK</x:v>
      </x:c>
      <x:c r="M37" s="11" t="str">
        <x:f>IF(COUNTIF('References'!D5:D7,H37)=0,"Invalid Currency","OK")</x:f>
        <x:v>OK</x:v>
      </x:c>
      <x:c r="N37" s="11" t="str">
        <x:f>IF(OR(NOT(ISNUMBER(I37)),I37&lt;=0),"Invalid Amount","OK")</x:f>
        <x:v>OK</x:v>
      </x:c>
      <x:c r="O37" s="11" t="str">
        <x:f>IF(J37="","Missing Document","OK")</x:f>
        <x:v>OK</x:v>
      </x:c>
      <x:c r="P37" s="11" t="n">
        <x:f>IF(K37&gt;1,1,0)+IF(L37&lt;&gt;"OK",1,0)+IF(M37&lt;&gt;"OK",1,0)+IF(N37&lt;&gt;"OK",1,0)+IF(O37&lt;&gt;"OK",1,0)</x:f>
        <x:v>0</x:v>
      </x:c>
      <x:c r="Q37" s="11" t="str">
        <x:f>IF(P37=0,"Ready",IF(OR(K37&gt;1,N37&lt;&gt;"OK"),"High Priority Review","Review"))</x:f>
        <x:v>Ready</x:v>
      </x:c>
      <x:c r="R37" s="11" t="str">
        <x:f>IF(K37&gt;1,"Compare duplicate transaction records",IF(N37&lt;&gt;"OK","Verify amount against approved source",IF(L37&lt;&gt;"OK","Confirm approved finance category",IF(M37&lt;&gt;"OK","Confirm approved currency",IF(O37&lt;&gt;"OK","Request supporting document in writing","No action required")))))</x:f>
        <x:v>No action required</x:v>
      </x:c>
    </x:row>
    <x:row r="38" ht="24" customHeight="1">
      <x:c r="A38" s="24" t="n">
        <x:f>ROW()</x:f>
        <x:v>38</x:v>
      </x:c>
      <x:c r="B38" s="24" t="str">
        <x:f>'Raw Transactions'!A38</x:f>
        <x:v>FIN-0034</x:v>
      </x:c>
      <x:c r="C38" s="26" t="n">
        <x:f>'Raw Transactions'!B38</x:f>
        <x:v>46150</x:v>
      </x:c>
      <x:c r="D38" s="24" t="str">
        <x:f>'Raw Transactions'!C38</x:f>
        <x:v>BNK-03034</x:v>
      </x:c>
      <x:c r="E38" s="24" t="str">
        <x:f>'Raw Transactions'!D38</x:f>
        <x:v>Bright Clean Services</x:v>
      </x:c>
      <x:c r="F38" s="24" t="str">
        <x:f>'Raw Transactions'!F38</x:f>
        <x:v>Facilities</x:v>
      </x:c>
      <x:c r="G38" s="24" t="str">
        <x:f>IFERROR(VLOOKUP(F38,'References'!A5:B16,2,FALSE),"NOT MAPPED - INVALID")</x:f>
        <x:v>Facilities</x:v>
      </x:c>
      <x:c r="H38" s="24" t="str">
        <x:f>'Raw Transactions'!H38</x:f>
        <x:v>US</x:v>
      </x:c>
      <x:c r="I38" s="28" t="n">
        <x:f>'Raw Transactions'!I38</x:f>
        <x:v>958000</x:v>
      </x:c>
      <x:c r="J38" s="24" t="str">
        <x:f>IF('Raw Transactions'!J38="","",'Raw Transactions'!J38)</x:f>
        <x:v>DOC-2026-0034</x:v>
      </x:c>
      <x:c r="K38" s="24" t="n">
        <x:f>COUNTIF('Raw Transactions'!A5:A64,B38)</x:f>
        <x:v>1</x:v>
      </x:c>
      <x:c r="L38" s="24" t="str">
        <x:f>IF(G38="NOT MAPPED - INVALID","Invalid Category","OK")</x:f>
        <x:v>OK</x:v>
      </x:c>
      <x:c r="M38" s="24" t="str">
        <x:f>IF(COUNTIF('References'!D5:D7,H38)=0,"Invalid Currency","OK")</x:f>
        <x:v>Invalid Currency</x:v>
      </x:c>
      <x:c r="N38" s="24" t="str">
        <x:f>IF(OR(NOT(ISNUMBER(I38)),I38&lt;=0),"Invalid Amount","OK")</x:f>
        <x:v>OK</x:v>
      </x:c>
      <x:c r="O38" s="24" t="str">
        <x:f>IF(J38="","Missing Document","OK")</x:f>
        <x:v>OK</x:v>
      </x:c>
      <x:c r="P38" s="24" t="n">
        <x:f>IF(K38&gt;1,1,0)+IF(L38&lt;&gt;"OK",1,0)+IF(M38&lt;&gt;"OK",1,0)+IF(N38&lt;&gt;"OK",1,0)+IF(O38&lt;&gt;"OK",1,0)</x:f>
        <x:v>1</x:v>
      </x:c>
      <x:c r="Q38" s="24" t="str">
        <x:f>IF(P38=0,"Ready",IF(OR(K38&gt;1,N38&lt;&gt;"OK"),"High Priority Review","Review"))</x:f>
        <x:v>Review</x:v>
      </x:c>
      <x:c r="R38" s="24" t="str">
        <x:f>IF(K38&gt;1,"Compare duplicate transaction records",IF(N38&lt;&gt;"OK","Verify amount against approved source",IF(L38&lt;&gt;"OK","Confirm approved finance category",IF(M38&lt;&gt;"OK","Confirm approved currency",IF(O38&lt;&gt;"OK","Request supporting document in writing","No action required")))))</x:f>
        <x:v>Confirm approved currency</x:v>
      </x:c>
    </x:row>
    <x:row r="39" ht="24" customHeight="1">
      <x:c r="A39" s="11" t="n">
        <x:f>ROW()</x:f>
        <x:v>39</x:v>
      </x:c>
      <x:c r="B39" s="11" t="str">
        <x:f>'Raw Transactions'!A39</x:f>
        <x:v>FIN-0035</x:v>
      </x:c>
      <x:c r="C39" s="25" t="n">
        <x:f>'Raw Transactions'!B39</x:f>
        <x:v>46184</x:v>
      </x:c>
      <x:c r="D39" s="11" t="str">
        <x:f>'Raw Transactions'!C39</x:f>
        <x:v>BNK-03035</x:v>
      </x:c>
      <x:c r="E39" s="11" t="str">
        <x:f>'Raw Transactions'!D39</x:f>
        <x:v>Sinar Telecom</x:v>
      </x:c>
      <x:c r="F39" s="11" t="str">
        <x:f>'Raw Transactions'!F39</x:f>
        <x:v>Telecommunications</x:v>
      </x:c>
      <x:c r="G39" s="11" t="str">
        <x:f>IFERROR(VLOOKUP(F39,'References'!A5:B16,2,FALSE),"NOT MAPPED - INVALID")</x:f>
        <x:v>Telecommunications</x:v>
      </x:c>
      <x:c r="H39" s="11" t="str">
        <x:f>'Raw Transactions'!H39</x:f>
        <x:v>IDR</x:v>
      </x:c>
      <x:c r="I39" s="27" t="n">
        <x:f>'Raw Transactions'!I39</x:f>
        <x:v>1095000</x:v>
      </x:c>
      <x:c r="J39" s="11" t="str">
        <x:f>IF('Raw Transactions'!J39="","",'Raw Transactions'!J39)</x:f>
        <x:v>DOC-2026-0035</x:v>
      </x:c>
      <x:c r="K39" s="11" t="n">
        <x:f>COUNTIF('Raw Transactions'!A5:A64,B39)</x:f>
        <x:v>1</x:v>
      </x:c>
      <x:c r="L39" s="11" t="str">
        <x:f>IF(G39="NOT MAPPED - INVALID","Invalid Category","OK")</x:f>
        <x:v>OK</x:v>
      </x:c>
      <x:c r="M39" s="11" t="str">
        <x:f>IF(COUNTIF('References'!D5:D7,H39)=0,"Invalid Currency","OK")</x:f>
        <x:v>OK</x:v>
      </x:c>
      <x:c r="N39" s="11" t="str">
        <x:f>IF(OR(NOT(ISNUMBER(I39)),I39&lt;=0),"Invalid Amount","OK")</x:f>
        <x:v>OK</x:v>
      </x:c>
      <x:c r="O39" s="11" t="str">
        <x:f>IF(J39="","Missing Document","OK")</x:f>
        <x:v>OK</x:v>
      </x:c>
      <x:c r="P39" s="11" t="n">
        <x:f>IF(K39&gt;1,1,0)+IF(L39&lt;&gt;"OK",1,0)+IF(M39&lt;&gt;"OK",1,0)+IF(N39&lt;&gt;"OK",1,0)+IF(O39&lt;&gt;"OK",1,0)</x:f>
        <x:v>0</x:v>
      </x:c>
      <x:c r="Q39" s="11" t="str">
        <x:f>IF(P39=0,"Ready",IF(OR(K39&gt;1,N39&lt;&gt;"OK"),"High Priority Review","Review"))</x:f>
        <x:v>Ready</x:v>
      </x:c>
      <x:c r="R39" s="11" t="str">
        <x:f>IF(K39&gt;1,"Compare duplicate transaction records",IF(N39&lt;&gt;"OK","Verify amount against approved source",IF(L39&lt;&gt;"OK","Confirm approved finance category",IF(M39&lt;&gt;"OK","Confirm approved currency",IF(O39&lt;&gt;"OK","Request supporting document in writing","No action required")))))</x:f>
        <x:v>No action required</x:v>
      </x:c>
    </x:row>
    <x:row r="40" ht="24" customHeight="1">
      <x:c r="A40" s="24" t="n">
        <x:f>ROW()</x:f>
        <x:v>40</x:v>
      </x:c>
      <x:c r="B40" s="24" t="str">
        <x:f>'Raw Transactions'!A40</x:f>
        <x:v>FIN-0036</x:v>
      </x:c>
      <x:c r="C40" s="26" t="n">
        <x:f>'Raw Transactions'!B40</x:f>
        <x:v>46036</x:v>
      </x:c>
      <x:c r="D40" s="24" t="str">
        <x:f>'Raw Transactions'!C40</x:f>
        <x:v>BNK-03036</x:v>
      </x:c>
      <x:c r="E40" s="24" t="str">
        <x:f>'Raw Transactions'!D40</x:f>
        <x:v>Karya Printing</x:v>
      </x:c>
      <x:c r="F40" s="24" t="str">
        <x:f>'Raw Transactions'!F40</x:f>
        <x:v>Printing</x:v>
      </x:c>
      <x:c r="G40" s="24" t="str">
        <x:f>IFERROR(VLOOKUP(F40,'References'!A5:B16,2,FALSE),"NOT MAPPED - INVALID")</x:f>
        <x:v>Printing</x:v>
      </x:c>
      <x:c r="H40" s="24" t="str">
        <x:f>'Raw Transactions'!H40</x:f>
        <x:v>IDR</x:v>
      </x:c>
      <x:c r="I40" s="28" t="n">
        <x:f>'Raw Transactions'!I40</x:f>
        <x:v>1232000</x:v>
      </x:c>
      <x:c r="J40" s="24" t="str">
        <x:f>IF('Raw Transactions'!J40="","",'Raw Transactions'!J40)</x:f>
        <x:v>DOC-2026-0036</x:v>
      </x:c>
      <x:c r="K40" s="24" t="n">
        <x:f>COUNTIF('Raw Transactions'!A5:A64,B40)</x:f>
        <x:v>1</x:v>
      </x:c>
      <x:c r="L40" s="24" t="str">
        <x:f>IF(G40="NOT MAPPED - INVALID","Invalid Category","OK")</x:f>
        <x:v>OK</x:v>
      </x:c>
      <x:c r="M40" s="24" t="str">
        <x:f>IF(COUNTIF('References'!D5:D7,H40)=0,"Invalid Currency","OK")</x:f>
        <x:v>OK</x:v>
      </x:c>
      <x:c r="N40" s="24" t="str">
        <x:f>IF(OR(NOT(ISNUMBER(I40)),I40&lt;=0),"Invalid Amount","OK")</x:f>
        <x:v>OK</x:v>
      </x:c>
      <x:c r="O40" s="24" t="str">
        <x:f>IF(J40="","Missing Document","OK")</x:f>
        <x:v>OK</x:v>
      </x:c>
      <x:c r="P40" s="24" t="n">
        <x:f>IF(K40&gt;1,1,0)+IF(L40&lt;&gt;"OK",1,0)+IF(M40&lt;&gt;"OK",1,0)+IF(N40&lt;&gt;"OK",1,0)+IF(O40&lt;&gt;"OK",1,0)</x:f>
        <x:v>0</x:v>
      </x:c>
      <x:c r="Q40" s="24" t="str">
        <x:f>IF(P40=0,"Ready",IF(OR(K40&gt;1,N40&lt;&gt;"OK"),"High Priority Review","Review"))</x:f>
        <x:v>Ready</x:v>
      </x:c>
      <x:c r="R40" s="24" t="str">
        <x:f>IF(K40&gt;1,"Compare duplicate transaction records",IF(N40&lt;&gt;"OK","Verify amount against approved source",IF(L40&lt;&gt;"OK","Confirm approved finance category",IF(M40&lt;&gt;"OK","Confirm approved currency",IF(O40&lt;&gt;"OK","Request supporting document in writing","No action required")))))</x:f>
        <x:v>No action required</x:v>
      </x:c>
    </x:row>
    <x:row r="41" ht="24" customHeight="1">
      <x:c r="A41" s="11" t="n">
        <x:f>ROW()</x:f>
        <x:v>41</x:v>
      </x:c>
      <x:c r="B41" s="11" t="str">
        <x:f>'Raw Transactions'!A41</x:f>
        <x:v>FIN-0037</x:v>
      </x:c>
      <x:c r="C41" s="25" t="n">
        <x:f>'Raw Transactions'!B41</x:f>
        <x:v>46070</x:v>
      </x:c>
      <x:c r="D41" s="11" t="str">
        <x:f>'Raw Transactions'!C41</x:f>
        <x:v>BNK-03037</x:v>
      </x:c>
      <x:c r="E41" s="11" t="str">
        <x:f>'Raw Transactions'!D41</x:f>
        <x:v>Archipelago Travel</x:v>
      </x:c>
      <x:c r="F41" s="11" t="str">
        <x:f>'Raw Transactions'!F41</x:f>
        <x:v>Travel</x:v>
      </x:c>
      <x:c r="G41" s="11" t="str">
        <x:f>IFERROR(VLOOKUP(F41,'References'!A5:B16,2,FALSE),"NOT MAPPED - INVALID")</x:f>
        <x:v>Travel</x:v>
      </x:c>
      <x:c r="H41" s="11" t="str">
        <x:f>'Raw Transactions'!H41</x:f>
        <x:v>IDR</x:v>
      </x:c>
      <x:c r="I41" s="27" t="n">
        <x:f>'Raw Transactions'!I41</x:f>
        <x:v>1369000</x:v>
      </x:c>
      <x:c r="J41" s="11" t="str">
        <x:f>IF('Raw Transactions'!J41="","",'Raw Transactions'!J41)</x:f>
        <x:v>DOC-2026-0037</x:v>
      </x:c>
      <x:c r="K41" s="11" t="n">
        <x:f>COUNTIF('Raw Transactions'!A5:A64,B41)</x:f>
        <x:v>1</x:v>
      </x:c>
      <x:c r="L41" s="11" t="str">
        <x:f>IF(G41="NOT MAPPED - INVALID","Invalid Category","OK")</x:f>
        <x:v>OK</x:v>
      </x:c>
      <x:c r="M41" s="11" t="str">
        <x:f>IF(COUNTIF('References'!D5:D7,H41)=0,"Invalid Currency","OK")</x:f>
        <x:v>OK</x:v>
      </x:c>
      <x:c r="N41" s="11" t="str">
        <x:f>IF(OR(NOT(ISNUMBER(I41)),I41&lt;=0),"Invalid Amount","OK")</x:f>
        <x:v>OK</x:v>
      </x:c>
      <x:c r="O41" s="11" t="str">
        <x:f>IF(J41="","Missing Document","OK")</x:f>
        <x:v>OK</x:v>
      </x:c>
      <x:c r="P41" s="11" t="n">
        <x:f>IF(K41&gt;1,1,0)+IF(L41&lt;&gt;"OK",1,0)+IF(M41&lt;&gt;"OK",1,0)+IF(N41&lt;&gt;"OK",1,0)+IF(O41&lt;&gt;"OK",1,0)</x:f>
        <x:v>0</x:v>
      </x:c>
      <x:c r="Q41" s="11" t="str">
        <x:f>IF(P41=0,"Ready",IF(OR(K41&gt;1,N41&lt;&gt;"OK"),"High Priority Review","Review"))</x:f>
        <x:v>Ready</x:v>
      </x:c>
      <x:c r="R41" s="11" t="str">
        <x:f>IF(K41&gt;1,"Compare duplicate transaction records",IF(N41&lt;&gt;"OK","Verify amount against approved source",IF(L41&lt;&gt;"OK","Confirm approved finance category",IF(M41&lt;&gt;"OK","Confirm approved currency",IF(O41&lt;&gt;"OK","Request supporting document in writing","No action required")))))</x:f>
        <x:v>No action required</x:v>
      </x:c>
    </x:row>
    <x:row r="42" ht="24" customHeight="1">
      <x:c r="A42" s="24" t="n">
        <x:f>ROW()</x:f>
        <x:v>42</x:v>
      </x:c>
      <x:c r="B42" s="24" t="str">
        <x:f>'Raw Transactions'!A42</x:f>
        <x:v>FIN-0038</x:v>
      </x:c>
      <x:c r="C42" s="26" t="n">
        <x:f>'Raw Transactions'!B42</x:f>
        <x:v>46101</x:v>
      </x:c>
      <x:c r="D42" s="24" t="str">
        <x:f>'Raw Transactions'!C42</x:f>
        <x:v>BNK-03038</x:v>
      </x:c>
      <x:c r="E42" s="24" t="str">
        <x:f>'Raw Transactions'!D42</x:f>
        <x:v>Prima Utilities</x:v>
      </x:c>
      <x:c r="F42" s="24" t="str">
        <x:f>'Raw Transactions'!F42</x:f>
        <x:v>Utilities</x:v>
      </x:c>
      <x:c r="G42" s="24" t="str">
        <x:f>IFERROR(VLOOKUP(F42,'References'!A5:B16,2,FALSE),"NOT MAPPED - INVALID")</x:f>
        <x:v>Utilities</x:v>
      </x:c>
      <x:c r="H42" s="24" t="str">
        <x:f>'Raw Transactions'!H42</x:f>
        <x:v>IDR</x:v>
      </x:c>
      <x:c r="I42" s="28" t="n">
        <x:f>'Raw Transactions'!I42</x:f>
        <x:v>1506000</x:v>
      </x:c>
      <x:c r="J42" s="24" t="str">
        <x:f>IF('Raw Transactions'!J42="","",'Raw Transactions'!J42)</x:f>
        <x:v>DOC-2026-0038</x:v>
      </x:c>
      <x:c r="K42" s="24" t="n">
        <x:f>COUNTIF('Raw Transactions'!A5:A64,B42)</x:f>
        <x:v>2</x:v>
      </x:c>
      <x:c r="L42" s="24" t="str">
        <x:f>IF(G42="NOT MAPPED - INVALID","Invalid Category","OK")</x:f>
        <x:v>OK</x:v>
      </x:c>
      <x:c r="M42" s="24" t="str">
        <x:f>IF(COUNTIF('References'!D5:D7,H42)=0,"Invalid Currency","OK")</x:f>
        <x:v>OK</x:v>
      </x:c>
      <x:c r="N42" s="24" t="str">
        <x:f>IF(OR(NOT(ISNUMBER(I42)),I42&lt;=0),"Invalid Amount","OK")</x:f>
        <x:v>OK</x:v>
      </x:c>
      <x:c r="O42" s="24" t="str">
        <x:f>IF(J42="","Missing Document","OK")</x:f>
        <x:v>OK</x:v>
      </x:c>
      <x:c r="P42" s="24" t="n">
        <x:f>IF(K42&gt;1,1,0)+IF(L42&lt;&gt;"OK",1,0)+IF(M42&lt;&gt;"OK",1,0)+IF(N42&lt;&gt;"OK",1,0)+IF(O42&lt;&gt;"OK",1,0)</x:f>
        <x:v>1</x:v>
      </x:c>
      <x:c r="Q42" s="24" t="str">
        <x:f>IF(P42=0,"Ready",IF(OR(K42&gt;1,N42&lt;&gt;"OK"),"High Priority Review","Review"))</x:f>
        <x:v>High Priority Review</x:v>
      </x:c>
      <x:c r="R42" s="24" t="str">
        <x:f>IF(K42&gt;1,"Compare duplicate transaction records",IF(N42&lt;&gt;"OK","Verify amount against approved source",IF(L42&lt;&gt;"OK","Confirm approved finance category",IF(M42&lt;&gt;"OK","Confirm approved currency",IF(O42&lt;&gt;"OK","Request supporting document in writing","No action required")))))</x:f>
        <x:v>Compare duplicate transaction records</x:v>
      </x:c>
    </x:row>
    <x:row r="43" ht="24" customHeight="1">
      <x:c r="A43" s="11" t="n">
        <x:f>ROW()</x:f>
        <x:v>43</x:v>
      </x:c>
      <x:c r="B43" s="11" t="str">
        <x:f>'Raw Transactions'!A43</x:f>
        <x:v>FIN-0038</x:v>
      </x:c>
      <x:c r="C43" s="25" t="n">
        <x:f>'Raw Transactions'!B43</x:f>
        <x:v>46135</x:v>
      </x:c>
      <x:c r="D43" s="11" t="str">
        <x:f>'Raw Transactions'!C43</x:f>
        <x:v>BNK-03039</x:v>
      </x:c>
      <x:c r="E43" s="11" t="str">
        <x:f>'Raw Transactions'!D43</x:f>
        <x:v>DataSecure Hosting</x:v>
      </x:c>
      <x:c r="F43" s="11" t="str">
        <x:f>'Raw Transactions'!F43</x:f>
        <x:v>IT Services</x:v>
      </x:c>
      <x:c r="G43" s="11" t="str">
        <x:f>IFERROR(VLOOKUP(F43,'References'!A5:B16,2,FALSE),"NOT MAPPED - INVALID")</x:f>
        <x:v>IT Services</x:v>
      </x:c>
      <x:c r="H43" s="11" t="str">
        <x:f>'Raw Transactions'!H43</x:f>
        <x:v>IDR</x:v>
      </x:c>
      <x:c r="I43" s="27" t="n">
        <x:f>'Raw Transactions'!I43</x:f>
        <x:v>1643000</x:v>
      </x:c>
      <x:c r="J43" s="11" t="str">
        <x:f>IF('Raw Transactions'!J43="","",'Raw Transactions'!J43)</x:f>
        <x:v>DOC-2026-0039</x:v>
      </x:c>
      <x:c r="K43" s="11" t="n">
        <x:f>COUNTIF('Raw Transactions'!A5:A64,B43)</x:f>
        <x:v>2</x:v>
      </x:c>
      <x:c r="L43" s="11" t="str">
        <x:f>IF(G43="NOT MAPPED - INVALID","Invalid Category","OK")</x:f>
        <x:v>OK</x:v>
      </x:c>
      <x:c r="M43" s="11" t="str">
        <x:f>IF(COUNTIF('References'!D5:D7,H43)=0,"Invalid Currency","OK")</x:f>
        <x:v>OK</x:v>
      </x:c>
      <x:c r="N43" s="11" t="str">
        <x:f>IF(OR(NOT(ISNUMBER(I43)),I43&lt;=0),"Invalid Amount","OK")</x:f>
        <x:v>OK</x:v>
      </x:c>
      <x:c r="O43" s="11" t="str">
        <x:f>IF(J43="","Missing Document","OK")</x:f>
        <x:v>OK</x:v>
      </x:c>
      <x:c r="P43" s="11" t="n">
        <x:f>IF(K43&gt;1,1,0)+IF(L43&lt;&gt;"OK",1,0)+IF(M43&lt;&gt;"OK",1,0)+IF(N43&lt;&gt;"OK",1,0)+IF(O43&lt;&gt;"OK",1,0)</x:f>
        <x:v>1</x:v>
      </x:c>
      <x:c r="Q43" s="11" t="str">
        <x:f>IF(P43=0,"Ready",IF(OR(K43&gt;1,N43&lt;&gt;"OK"),"High Priority Review","Review"))</x:f>
        <x:v>High Priority Review</x:v>
      </x:c>
      <x:c r="R43" s="11" t="str">
        <x:f>IF(K43&gt;1,"Compare duplicate transaction records",IF(N43&lt;&gt;"OK","Verify amount against approved source",IF(L43&lt;&gt;"OK","Confirm approved finance category",IF(M43&lt;&gt;"OK","Confirm approved currency",IF(O43&lt;&gt;"OK","Request supporting document in writing","No action required")))))</x:f>
        <x:v>Compare duplicate transaction records</x:v>
      </x:c>
    </x:row>
    <x:row r="44" ht="24" customHeight="1">
      <x:c r="A44" s="24" t="n">
        <x:f>ROW()</x:f>
        <x:v>44</x:v>
      </x:c>
      <x:c r="B44" s="24" t="str">
        <x:f>'Raw Transactions'!A44</x:f>
        <x:v>FIN-0040</x:v>
      </x:c>
      <x:c r="C44" s="26" t="n">
        <x:f>'Raw Transactions'!B44</x:f>
        <x:v>46144</x:v>
      </x:c>
      <x:c r="D44" s="24" t="str">
        <x:f>'Raw Transactions'!C44</x:f>
        <x:v>BNK-03040</x:v>
      </x:c>
      <x:c r="E44" s="24" t="str">
        <x:f>'Raw Transactions'!D44</x:f>
        <x:v>Maju Training Center</x:v>
      </x:c>
      <x:c r="F44" s="24" t="str">
        <x:f>'Raw Transactions'!F44</x:f>
        <x:v>Training</x:v>
      </x:c>
      <x:c r="G44" s="24" t="str">
        <x:f>IFERROR(VLOOKUP(F44,'References'!A5:B16,2,FALSE),"NOT MAPPED - INVALID")</x:f>
        <x:v>Training</x:v>
      </x:c>
      <x:c r="H44" s="24" t="str">
        <x:f>'Raw Transactions'!H44</x:f>
        <x:v>IDR</x:v>
      </x:c>
      <x:c r="I44" s="28" t="n">
        <x:f>'Raw Transactions'!I44</x:f>
        <x:v>1780000</x:v>
      </x:c>
      <x:c r="J44" s="24" t="str">
        <x:f>IF('Raw Transactions'!J44="","",'Raw Transactions'!J44)</x:f>
      </x:c>
      <x:c r="K44" s="24" t="n">
        <x:f>COUNTIF('Raw Transactions'!A5:A64,B44)</x:f>
        <x:v>1</x:v>
      </x:c>
      <x:c r="L44" s="24" t="str">
        <x:f>IF(G44="NOT MAPPED - INVALID","Invalid Category","OK")</x:f>
        <x:v>OK</x:v>
      </x:c>
      <x:c r="M44" s="24" t="str">
        <x:f>IF(COUNTIF('References'!D5:D7,H44)=0,"Invalid Currency","OK")</x:f>
        <x:v>OK</x:v>
      </x:c>
      <x:c r="N44" s="24" t="str">
        <x:f>IF(OR(NOT(ISNUMBER(I44)),I44&lt;=0),"Invalid Amount","OK")</x:f>
        <x:v>OK</x:v>
      </x:c>
      <x:c r="O44" s="24" t="str">
        <x:f>IF(J44="","Missing Document","OK")</x:f>
        <x:v>Missing Document</x:v>
      </x:c>
      <x:c r="P44" s="24" t="n">
        <x:f>IF(K44&gt;1,1,0)+IF(L44&lt;&gt;"OK",1,0)+IF(M44&lt;&gt;"OK",1,0)+IF(N44&lt;&gt;"OK",1,0)+IF(O44&lt;&gt;"OK",1,0)</x:f>
        <x:v>1</x:v>
      </x:c>
      <x:c r="Q44" s="24" t="str">
        <x:f>IF(P44=0,"Ready",IF(OR(K44&gt;1,N44&lt;&gt;"OK"),"High Priority Review","Review"))</x:f>
        <x:v>Review</x:v>
      </x:c>
      <x:c r="R44" s="24" t="str">
        <x:f>IF(K44&gt;1,"Compare duplicate transaction records",IF(N44&lt;&gt;"OK","Verify amount against approved source",IF(L44&lt;&gt;"OK","Confirm approved finance category",IF(M44&lt;&gt;"OK","Confirm approved currency",IF(O44&lt;&gt;"OK","Request supporting document in writing","No action required")))))</x:f>
        <x:v>Request supporting document in writing</x:v>
      </x:c>
    </x:row>
    <x:row r="45" ht="24" customHeight="1">
      <x:c r="A45" s="11" t="n">
        <x:f>ROW()</x:f>
        <x:v>45</x:v>
      </x:c>
      <x:c r="B45" s="11" t="str">
        <x:f>'Raw Transactions'!A45</x:f>
        <x:v>FIN-0041</x:v>
      </x:c>
      <x:c r="C45" s="25" t="n">
        <x:f>'Raw Transactions'!B45</x:f>
        <x:v>46178</x:v>
      </x:c>
      <x:c r="D45" s="11" t="str">
        <x:f>'Raw Transactions'!C45</x:f>
        <x:v>BNK-03041</x:v>
      </x:c>
      <x:c r="E45" s="11" t="str">
        <x:f>'Raw Transactions'!D45</x:f>
        <x:v>Nusa Office Supply</x:v>
      </x:c>
      <x:c r="F45" s="11" t="str">
        <x:f>'Raw Transactions'!F45</x:f>
        <x:v>Office Supplies</x:v>
      </x:c>
      <x:c r="G45" s="11" t="str">
        <x:f>IFERROR(VLOOKUP(F45,'References'!A5:B16,2,FALSE),"NOT MAPPED - INVALID")</x:f>
        <x:v>Office Supplies</x:v>
      </x:c>
      <x:c r="H45" s="11" t="str">
        <x:f>'Raw Transactions'!H45</x:f>
        <x:v>IDR</x:v>
      </x:c>
      <x:c r="I45" s="27" t="n">
        <x:f>'Raw Transactions'!I45</x:f>
        <x:v>1917000</x:v>
      </x:c>
      <x:c r="J45" s="11" t="str">
        <x:f>IF('Raw Transactions'!J45="","",'Raw Transactions'!J45)</x:f>
        <x:v>DOC-2026-0041</x:v>
      </x:c>
      <x:c r="K45" s="11" t="n">
        <x:f>COUNTIF('Raw Transactions'!A5:A64,B45)</x:f>
        <x:v>1</x:v>
      </x:c>
      <x:c r="L45" s="11" t="str">
        <x:f>IF(G45="NOT MAPPED - INVALID","Invalid Category","OK")</x:f>
        <x:v>OK</x:v>
      </x:c>
      <x:c r="M45" s="11" t="str">
        <x:f>IF(COUNTIF('References'!D5:D7,H45)=0,"Invalid Currency","OK")</x:f>
        <x:v>OK</x:v>
      </x:c>
      <x:c r="N45" s="11" t="str">
        <x:f>IF(OR(NOT(ISNUMBER(I45)),I45&lt;=0),"Invalid Amount","OK")</x:f>
        <x:v>OK</x:v>
      </x:c>
      <x:c r="O45" s="11" t="str">
        <x:f>IF(J45="","Missing Document","OK")</x:f>
        <x:v>OK</x:v>
      </x:c>
      <x:c r="P45" s="11" t="n">
        <x:f>IF(K45&gt;1,1,0)+IF(L45&lt;&gt;"OK",1,0)+IF(M45&lt;&gt;"OK",1,0)+IF(N45&lt;&gt;"OK",1,0)+IF(O45&lt;&gt;"OK",1,0)</x:f>
        <x:v>0</x:v>
      </x:c>
      <x:c r="Q45" s="11" t="str">
        <x:f>IF(P45=0,"Ready",IF(OR(K45&gt;1,N45&lt;&gt;"OK"),"High Priority Review","Review"))</x:f>
        <x:v>Ready</x:v>
      </x:c>
      <x:c r="R45" s="11" t="str">
        <x:f>IF(K45&gt;1,"Compare duplicate transaction records",IF(N45&lt;&gt;"OK","Verify amount against approved source",IF(L45&lt;&gt;"OK","Confirm approved finance category",IF(M45&lt;&gt;"OK","Confirm approved currency",IF(O45&lt;&gt;"OK","Request supporting document in writing","No action required")))))</x:f>
        <x:v>No action required</x:v>
      </x:c>
    </x:row>
    <x:row r="46" ht="24" customHeight="1">
      <x:c r="A46" s="24" t="n">
        <x:f>ROW()</x:f>
        <x:v>46</x:v>
      </x:c>
      <x:c r="B46" s="24" t="str">
        <x:f>'Raw Transactions'!A46</x:f>
        <x:v>FIN-0042</x:v>
      </x:c>
      <x:c r="C46" s="26" t="n">
        <x:f>'Raw Transactions'!B46</x:f>
        <x:v>46030</x:v>
      </x:c>
      <x:c r="D46" s="24" t="str">
        <x:f>'Raw Transactions'!C46</x:f>
        <x:v>BNK-03042</x:v>
      </x:c>
      <x:c r="E46" s="24" t="str">
        <x:f>'Raw Transactions'!D46</x:f>
        <x:v>CloudDesk Software</x:v>
      </x:c>
      <x:c r="F46" s="24" t="str">
        <x:f>'Raw Transactions'!F46</x:f>
        <x:v>Software</x:v>
      </x:c>
      <x:c r="G46" s="24" t="str">
        <x:f>IFERROR(VLOOKUP(F46,'References'!A5:B16,2,FALSE),"NOT MAPPED - INVALID")</x:f>
        <x:v>Software</x:v>
      </x:c>
      <x:c r="H46" s="24" t="str">
        <x:f>'Raw Transactions'!H46</x:f>
        <x:v>IDR</x:v>
      </x:c>
      <x:c r="I46" s="28" t="n">
        <x:f>'Raw Transactions'!I46</x:f>
        <x:v>2054000</x:v>
      </x:c>
      <x:c r="J46" s="24" t="str">
        <x:f>IF('Raw Transactions'!J46="","",'Raw Transactions'!J46)</x:f>
        <x:v>DOC-2026-0042</x:v>
      </x:c>
      <x:c r="K46" s="24" t="n">
        <x:f>COUNTIF('Raw Transactions'!A5:A64,B46)</x:f>
        <x:v>1</x:v>
      </x:c>
      <x:c r="L46" s="24" t="str">
        <x:f>IF(G46="NOT MAPPED - INVALID","Invalid Category","OK")</x:f>
        <x:v>OK</x:v>
      </x:c>
      <x:c r="M46" s="24" t="str">
        <x:f>IF(COUNTIF('References'!D5:D7,H46)=0,"Invalid Currency","OK")</x:f>
        <x:v>OK</x:v>
      </x:c>
      <x:c r="N46" s="24" t="str">
        <x:f>IF(OR(NOT(ISNUMBER(I46)),I46&lt;=0),"Invalid Amount","OK")</x:f>
        <x:v>OK</x:v>
      </x:c>
      <x:c r="O46" s="24" t="str">
        <x:f>IF(J46="","Missing Document","OK")</x:f>
        <x:v>OK</x:v>
      </x:c>
      <x:c r="P46" s="24" t="n">
        <x:f>IF(K46&gt;1,1,0)+IF(L46&lt;&gt;"OK",1,0)+IF(M46&lt;&gt;"OK",1,0)+IF(N46&lt;&gt;"OK",1,0)+IF(O46&lt;&gt;"OK",1,0)</x:f>
        <x:v>0</x:v>
      </x:c>
      <x:c r="Q46" s="24" t="str">
        <x:f>IF(P46=0,"Ready",IF(OR(K46&gt;1,N46&lt;&gt;"OK"),"High Priority Review","Review"))</x:f>
        <x:v>Ready</x:v>
      </x:c>
      <x:c r="R46" s="24" t="str">
        <x:f>IF(K46&gt;1,"Compare duplicate transaction records",IF(N46&lt;&gt;"OK","Verify amount against approved source",IF(L46&lt;&gt;"OK","Confirm approved finance category",IF(M46&lt;&gt;"OK","Confirm approved currency",IF(O46&lt;&gt;"OK","Request supporting document in writing","No action required")))))</x:f>
        <x:v>No action required</x:v>
      </x:c>
    </x:row>
    <x:row r="47" ht="24" customHeight="1">
      <x:c r="A47" s="11" t="n">
        <x:f>ROW()</x:f>
        <x:v>47</x:v>
      </x:c>
      <x:c r="B47" s="11" t="str">
        <x:f>'Raw Transactions'!A47</x:f>
        <x:v>FIN-0043</x:v>
      </x:c>
      <x:c r="C47" s="25" t="n">
        <x:f>'Raw Transactions'!B47</x:f>
        <x:v>46064</x:v>
      </x:c>
      <x:c r="D47" s="11" t="str">
        <x:f>'Raw Transactions'!C47</x:f>
        <x:v>BNK-03043</x:v>
      </x:c>
      <x:c r="E47" s="11" t="str">
        <x:f>'Raw Transactions'!D47</x:f>
        <x:v>Metro Courier</x:v>
      </x:c>
      <x:c r="F47" s="11" t="str">
        <x:f>'Raw Transactions'!F47</x:f>
        <x:v>Other</x:v>
      </x:c>
      <x:c r="G47" s="11" t="str">
        <x:f>IFERROR(VLOOKUP(F47,'References'!A5:B16,2,FALSE),"NOT MAPPED - INVALID")</x:f>
        <x:v>NOT MAPPED - INVALID</x:v>
      </x:c>
      <x:c r="H47" s="11" t="str">
        <x:f>'Raw Transactions'!H47</x:f>
        <x:v>IDR</x:v>
      </x:c>
      <x:c r="I47" s="27" t="n">
        <x:f>'Raw Transactions'!I47</x:f>
        <x:v>2191000</x:v>
      </x:c>
      <x:c r="J47" s="11" t="str">
        <x:f>IF('Raw Transactions'!J47="","",'Raw Transactions'!J47)</x:f>
        <x:v>DOC-2026-0043</x:v>
      </x:c>
      <x:c r="K47" s="11" t="n">
        <x:f>COUNTIF('Raw Transactions'!A5:A64,B47)</x:f>
        <x:v>1</x:v>
      </x:c>
      <x:c r="L47" s="11" t="str">
        <x:f>IF(G47="NOT MAPPED - INVALID","Invalid Category","OK")</x:f>
        <x:v>Invalid Category</x:v>
      </x:c>
      <x:c r="M47" s="11" t="str">
        <x:f>IF(COUNTIF('References'!D5:D7,H47)=0,"Invalid Currency","OK")</x:f>
        <x:v>OK</x:v>
      </x:c>
      <x:c r="N47" s="11" t="str">
        <x:f>IF(OR(NOT(ISNUMBER(I47)),I47&lt;=0),"Invalid Amount","OK")</x:f>
        <x:v>OK</x:v>
      </x:c>
      <x:c r="O47" s="11" t="str">
        <x:f>IF(J47="","Missing Document","OK")</x:f>
        <x:v>OK</x:v>
      </x:c>
      <x:c r="P47" s="11" t="n">
        <x:f>IF(K47&gt;1,1,0)+IF(L47&lt;&gt;"OK",1,0)+IF(M47&lt;&gt;"OK",1,0)+IF(N47&lt;&gt;"OK",1,0)+IF(O47&lt;&gt;"OK",1,0)</x:f>
        <x:v>1</x:v>
      </x:c>
      <x:c r="Q47" s="11" t="str">
        <x:f>IF(P47=0,"Ready",IF(OR(K47&gt;1,N47&lt;&gt;"OK"),"High Priority Review","Review"))</x:f>
        <x:v>Review</x:v>
      </x:c>
      <x:c r="R47" s="11" t="str">
        <x:f>IF(K47&gt;1,"Compare duplicate transaction records",IF(N47&lt;&gt;"OK","Verify amount against approved source",IF(L47&lt;&gt;"OK","Confirm approved finance category",IF(M47&lt;&gt;"OK","Confirm approved currency",IF(O47&lt;&gt;"OK","Request supporting document in writing","No action required")))))</x:f>
        <x:v>Confirm approved finance category</x:v>
      </x:c>
    </x:row>
    <x:row r="48" ht="24" customHeight="1">
      <x:c r="A48" s="24" t="n">
        <x:f>ROW()</x:f>
        <x:v>48</x:v>
      </x:c>
      <x:c r="B48" s="24" t="str">
        <x:f>'Raw Transactions'!A48</x:f>
        <x:v>FIN-0044</x:v>
      </x:c>
      <x:c r="C48" s="26" t="n">
        <x:f>'Raw Transactions'!B48</x:f>
        <x:v>46095</x:v>
      </x:c>
      <x:c r="D48" s="24" t="str">
        <x:f>'Raw Transactions'!C48</x:f>
        <x:v>BNK-03044</x:v>
      </x:c>
      <x:c r="E48" s="24" t="str">
        <x:f>'Raw Transactions'!D48</x:f>
        <x:v>Bright Clean Services</x:v>
      </x:c>
      <x:c r="F48" s="24" t="str">
        <x:f>'Raw Transactions'!F48</x:f>
        <x:v>Facilities</x:v>
      </x:c>
      <x:c r="G48" s="24" t="str">
        <x:f>IFERROR(VLOOKUP(F48,'References'!A5:B16,2,FALSE),"NOT MAPPED - INVALID")</x:f>
        <x:v>Facilities</x:v>
      </x:c>
      <x:c r="H48" s="24" t="str">
        <x:f>'Raw Transactions'!H48</x:f>
        <x:v>IDR</x:v>
      </x:c>
      <x:c r="I48" s="28" t="n">
        <x:f>'Raw Transactions'!I48</x:f>
        <x:v>2328000</x:v>
      </x:c>
      <x:c r="J48" s="24" t="str">
        <x:f>IF('Raw Transactions'!J48="","",'Raw Transactions'!J48)</x:f>
        <x:v>DOC-2026-0044</x:v>
      </x:c>
      <x:c r="K48" s="24" t="n">
        <x:f>COUNTIF('Raw Transactions'!A5:A64,B48)</x:f>
        <x:v>1</x:v>
      </x:c>
      <x:c r="L48" s="24" t="str">
        <x:f>IF(G48="NOT MAPPED - INVALID","Invalid Category","OK")</x:f>
        <x:v>OK</x:v>
      </x:c>
      <x:c r="M48" s="24" t="str">
        <x:f>IF(COUNTIF('References'!D5:D7,H48)=0,"Invalid Currency","OK")</x:f>
        <x:v>OK</x:v>
      </x:c>
      <x:c r="N48" s="24" t="str">
        <x:f>IF(OR(NOT(ISNUMBER(I48)),I48&lt;=0),"Invalid Amount","OK")</x:f>
        <x:v>OK</x:v>
      </x:c>
      <x:c r="O48" s="24" t="str">
        <x:f>IF(J48="","Missing Document","OK")</x:f>
        <x:v>OK</x:v>
      </x:c>
      <x:c r="P48" s="24" t="n">
        <x:f>IF(K48&gt;1,1,0)+IF(L48&lt;&gt;"OK",1,0)+IF(M48&lt;&gt;"OK",1,0)+IF(N48&lt;&gt;"OK",1,0)+IF(O48&lt;&gt;"OK",1,0)</x:f>
        <x:v>0</x:v>
      </x:c>
      <x:c r="Q48" s="24" t="str">
        <x:f>IF(P48=0,"Ready",IF(OR(K48&gt;1,N48&lt;&gt;"OK"),"High Priority Review","Review"))</x:f>
        <x:v>Ready</x:v>
      </x:c>
      <x:c r="R48" s="24" t="str">
        <x:f>IF(K48&gt;1,"Compare duplicate transaction records",IF(N48&lt;&gt;"OK","Verify amount against approved source",IF(L48&lt;&gt;"OK","Confirm approved finance category",IF(M48&lt;&gt;"OK","Confirm approved currency",IF(O48&lt;&gt;"OK","Request supporting document in writing","No action required")))))</x:f>
        <x:v>No action required</x:v>
      </x:c>
    </x:row>
    <x:row r="49" ht="24" customHeight="1">
      <x:c r="A49" s="11" t="n">
        <x:f>ROW()</x:f>
        <x:v>49</x:v>
      </x:c>
      <x:c r="B49" s="11" t="str">
        <x:f>'Raw Transactions'!A49</x:f>
        <x:v>FIN-0045</x:v>
      </x:c>
      <x:c r="C49" s="25" t="n">
        <x:f>'Raw Transactions'!B49</x:f>
        <x:v>46129</x:v>
      </x:c>
      <x:c r="D49" s="11" t="str">
        <x:f>'Raw Transactions'!C49</x:f>
        <x:v>BNK-03045</x:v>
      </x:c>
      <x:c r="E49" s="11" t="str">
        <x:f>'Raw Transactions'!D49</x:f>
        <x:v>Sinar Telecom</x:v>
      </x:c>
      <x:c r="F49" s="11" t="str">
        <x:f>'Raw Transactions'!F49</x:f>
        <x:v>Telecommunications</x:v>
      </x:c>
      <x:c r="G49" s="11" t="str">
        <x:f>IFERROR(VLOOKUP(F49,'References'!A5:B16,2,FALSE),"NOT MAPPED - INVALID")</x:f>
        <x:v>Telecommunications</x:v>
      </x:c>
      <x:c r="H49" s="11" t="str">
        <x:f>'Raw Transactions'!H49</x:f>
        <x:v>IDR</x:v>
      </x:c>
      <x:c r="I49" s="27" t="n">
        <x:f>'Raw Transactions'!I49</x:f>
        <x:v>2465000</x:v>
      </x:c>
      <x:c r="J49" s="11" t="str">
        <x:f>IF('Raw Transactions'!J49="","",'Raw Transactions'!J49)</x:f>
        <x:v>DOC-2026-0045</x:v>
      </x:c>
      <x:c r="K49" s="11" t="n">
        <x:f>COUNTIF('Raw Transactions'!A5:A64,B49)</x:f>
        <x:v>1</x:v>
      </x:c>
      <x:c r="L49" s="11" t="str">
        <x:f>IF(G49="NOT MAPPED - INVALID","Invalid Category","OK")</x:f>
        <x:v>OK</x:v>
      </x:c>
      <x:c r="M49" s="11" t="str">
        <x:f>IF(COUNTIF('References'!D5:D7,H49)=0,"Invalid Currency","OK")</x:f>
        <x:v>OK</x:v>
      </x:c>
      <x:c r="N49" s="11" t="str">
        <x:f>IF(OR(NOT(ISNUMBER(I49)),I49&lt;=0),"Invalid Amount","OK")</x:f>
        <x:v>OK</x:v>
      </x:c>
      <x:c r="O49" s="11" t="str">
        <x:f>IF(J49="","Missing Document","OK")</x:f>
        <x:v>OK</x:v>
      </x:c>
      <x:c r="P49" s="11" t="n">
        <x:f>IF(K49&gt;1,1,0)+IF(L49&lt;&gt;"OK",1,0)+IF(M49&lt;&gt;"OK",1,0)+IF(N49&lt;&gt;"OK",1,0)+IF(O49&lt;&gt;"OK",1,0)</x:f>
        <x:v>0</x:v>
      </x:c>
      <x:c r="Q49" s="11" t="str">
        <x:f>IF(P49=0,"Ready",IF(OR(K49&gt;1,N49&lt;&gt;"OK"),"High Priority Review","Review"))</x:f>
        <x:v>Ready</x:v>
      </x:c>
      <x:c r="R49" s="11" t="str">
        <x:f>IF(K49&gt;1,"Compare duplicate transaction records",IF(N49&lt;&gt;"OK","Verify amount against approved source",IF(L49&lt;&gt;"OK","Confirm approved finance category",IF(M49&lt;&gt;"OK","Confirm approved currency",IF(O49&lt;&gt;"OK","Request supporting document in writing","No action required")))))</x:f>
        <x:v>No action required</x:v>
      </x:c>
    </x:row>
    <x:row r="50" ht="24" customHeight="1">
      <x:c r="A50" s="24" t="n">
        <x:f>ROW()</x:f>
        <x:v>50</x:v>
      </x:c>
      <x:c r="B50" s="24" t="str">
        <x:f>'Raw Transactions'!A50</x:f>
        <x:v>FIN-0046</x:v>
      </x:c>
      <x:c r="C50" s="26" t="n">
        <x:f>'Raw Transactions'!B50</x:f>
        <x:v>46162</x:v>
      </x:c>
      <x:c r="D50" s="24" t="str">
        <x:f>'Raw Transactions'!C50</x:f>
        <x:v>BNK-03046</x:v>
      </x:c>
      <x:c r="E50" s="24" t="str">
        <x:f>'Raw Transactions'!D50</x:f>
        <x:v>Karya Printing</x:v>
      </x:c>
      <x:c r="F50" s="24" t="str">
        <x:f>'Raw Transactions'!F50</x:f>
        <x:v>Printing</x:v>
      </x:c>
      <x:c r="G50" s="24" t="str">
        <x:f>IFERROR(VLOOKUP(F50,'References'!A5:B16,2,FALSE),"NOT MAPPED - INVALID")</x:f>
        <x:v>Printing</x:v>
      </x:c>
      <x:c r="H50" s="24" t="str">
        <x:f>'Raw Transactions'!H50</x:f>
        <x:v>IDR</x:v>
      </x:c>
      <x:c r="I50" s="28" t="n">
        <x:f>'Raw Transactions'!I50</x:f>
        <x:v>-250000</x:v>
      </x:c>
      <x:c r="J50" s="24" t="str">
        <x:f>IF('Raw Transactions'!J50="","",'Raw Transactions'!J50)</x:f>
        <x:v>DOC-2026-0046</x:v>
      </x:c>
      <x:c r="K50" s="24" t="n">
        <x:f>COUNTIF('Raw Transactions'!A5:A64,B50)</x:f>
        <x:v>1</x:v>
      </x:c>
      <x:c r="L50" s="24" t="str">
        <x:f>IF(G50="NOT MAPPED - INVALID","Invalid Category","OK")</x:f>
        <x:v>OK</x:v>
      </x:c>
      <x:c r="M50" s="24" t="str">
        <x:f>IF(COUNTIF('References'!D5:D7,H50)=0,"Invalid Currency","OK")</x:f>
        <x:v>OK</x:v>
      </x:c>
      <x:c r="N50" s="24" t="str">
        <x:f>IF(OR(NOT(ISNUMBER(I50)),I50&lt;=0),"Invalid Amount","OK")</x:f>
        <x:v>Invalid Amount</x:v>
      </x:c>
      <x:c r="O50" s="24" t="str">
        <x:f>IF(J50="","Missing Document","OK")</x:f>
        <x:v>OK</x:v>
      </x:c>
      <x:c r="P50" s="24" t="n">
        <x:f>IF(K50&gt;1,1,0)+IF(L50&lt;&gt;"OK",1,0)+IF(M50&lt;&gt;"OK",1,0)+IF(N50&lt;&gt;"OK",1,0)+IF(O50&lt;&gt;"OK",1,0)</x:f>
        <x:v>1</x:v>
      </x:c>
      <x:c r="Q50" s="24" t="str">
        <x:f>IF(P50=0,"Ready",IF(OR(K50&gt;1,N50&lt;&gt;"OK"),"High Priority Review","Review"))</x:f>
        <x:v>High Priority Review</x:v>
      </x:c>
      <x:c r="R50" s="24" t="str">
        <x:f>IF(K50&gt;1,"Compare duplicate transaction records",IF(N50&lt;&gt;"OK","Verify amount against approved source",IF(L50&lt;&gt;"OK","Confirm approved finance category",IF(M50&lt;&gt;"OK","Confirm approved currency",IF(O50&lt;&gt;"OK","Request supporting document in writing","No action required")))))</x:f>
        <x:v>Verify amount against approved source</x:v>
      </x:c>
    </x:row>
    <x:row r="51" ht="24" customHeight="1">
      <x:c r="A51" s="11" t="n">
        <x:f>ROW()</x:f>
        <x:v>51</x:v>
      </x:c>
      <x:c r="B51" s="11" t="str">
        <x:f>'Raw Transactions'!A51</x:f>
        <x:v>FIN-0047</x:v>
      </x:c>
      <x:c r="C51" s="25" t="n">
        <x:f>'Raw Transactions'!B51</x:f>
        <x:v>46196</x:v>
      </x:c>
      <x:c r="D51" s="11" t="str">
        <x:f>'Raw Transactions'!C51</x:f>
        <x:v>BNK-03047</x:v>
      </x:c>
      <x:c r="E51" s="11" t="str">
        <x:f>'Raw Transactions'!D51</x:f>
        <x:v>Archipelago Travel</x:v>
      </x:c>
      <x:c r="F51" s="11" t="str">
        <x:f>'Raw Transactions'!F51</x:f>
        <x:v>Travel</x:v>
      </x:c>
      <x:c r="G51" s="11" t="str">
        <x:f>IFERROR(VLOOKUP(F51,'References'!A5:B16,2,FALSE),"NOT MAPPED - INVALID")</x:f>
        <x:v>Travel</x:v>
      </x:c>
      <x:c r="H51" s="11" t="str">
        <x:f>'Raw Transactions'!H51</x:f>
        <x:v>IDR</x:v>
      </x:c>
      <x:c r="I51" s="27" t="n">
        <x:f>'Raw Transactions'!I51</x:f>
        <x:v>2739000</x:v>
      </x:c>
      <x:c r="J51" s="11" t="str">
        <x:f>IF('Raw Transactions'!J51="","",'Raw Transactions'!J51)</x:f>
        <x:v>DOC-2026-0047</x:v>
      </x:c>
      <x:c r="K51" s="11" t="n">
        <x:f>COUNTIF('Raw Transactions'!A5:A64,B51)</x:f>
        <x:v>1</x:v>
      </x:c>
      <x:c r="L51" s="11" t="str">
        <x:f>IF(G51="NOT MAPPED - INVALID","Invalid Category","OK")</x:f>
        <x:v>OK</x:v>
      </x:c>
      <x:c r="M51" s="11" t="str">
        <x:f>IF(COUNTIF('References'!D5:D7,H51)=0,"Invalid Currency","OK")</x:f>
        <x:v>OK</x:v>
      </x:c>
      <x:c r="N51" s="11" t="str">
        <x:f>IF(OR(NOT(ISNUMBER(I51)),I51&lt;=0),"Invalid Amount","OK")</x:f>
        <x:v>OK</x:v>
      </x:c>
      <x:c r="O51" s="11" t="str">
        <x:f>IF(J51="","Missing Document","OK")</x:f>
        <x:v>OK</x:v>
      </x:c>
      <x:c r="P51" s="11" t="n">
        <x:f>IF(K51&gt;1,1,0)+IF(L51&lt;&gt;"OK",1,0)+IF(M51&lt;&gt;"OK",1,0)+IF(N51&lt;&gt;"OK",1,0)+IF(O51&lt;&gt;"OK",1,0)</x:f>
        <x:v>0</x:v>
      </x:c>
      <x:c r="Q51" s="11" t="str">
        <x:f>IF(P51=0,"Ready",IF(OR(K51&gt;1,N51&lt;&gt;"OK"),"High Priority Review","Review"))</x:f>
        <x:v>Ready</x:v>
      </x:c>
      <x:c r="R51" s="11" t="str">
        <x:f>IF(K51&gt;1,"Compare duplicate transaction records",IF(N51&lt;&gt;"OK","Verify amount against approved source",IF(L51&lt;&gt;"OK","Confirm approved finance category",IF(M51&lt;&gt;"OK","Confirm approved currency",IF(O51&lt;&gt;"OK","Request supporting document in writing","No action required")))))</x:f>
        <x:v>No action required</x:v>
      </x:c>
    </x:row>
    <x:row r="52" ht="24" customHeight="1">
      <x:c r="A52" s="24" t="n">
        <x:f>ROW()</x:f>
        <x:v>52</x:v>
      </x:c>
      <x:c r="B52" s="24" t="str">
        <x:f>'Raw Transactions'!A52</x:f>
        <x:v>FIN-0048</x:v>
      </x:c>
      <x:c r="C52" s="26" t="n">
        <x:f>'Raw Transactions'!B52</x:f>
        <x:v>46024</x:v>
      </x:c>
      <x:c r="D52" s="24" t="str">
        <x:f>'Raw Transactions'!C52</x:f>
        <x:v>BNK-03048</x:v>
      </x:c>
      <x:c r="E52" s="24" t="str">
        <x:f>'Raw Transactions'!D52</x:f>
        <x:v>Prima Utilities</x:v>
      </x:c>
      <x:c r="F52" s="24" t="str">
        <x:f>'Raw Transactions'!F52</x:f>
        <x:v>Utilities</x:v>
      </x:c>
      <x:c r="G52" s="24" t="str">
        <x:f>IFERROR(VLOOKUP(F52,'References'!A5:B16,2,FALSE),"NOT MAPPED - INVALID")</x:f>
        <x:v>Utilities</x:v>
      </x:c>
      <x:c r="H52" s="24" t="str">
        <x:f>'Raw Transactions'!H52</x:f>
        <x:v>IDR</x:v>
      </x:c>
      <x:c r="I52" s="28" t="n">
        <x:f>'Raw Transactions'!I52</x:f>
        <x:v>2876000</x:v>
      </x:c>
      <x:c r="J52" s="24" t="str">
        <x:f>IF('Raw Transactions'!J52="","",'Raw Transactions'!J52)</x:f>
        <x:v>DOC-2026-0048</x:v>
      </x:c>
      <x:c r="K52" s="24" t="n">
        <x:f>COUNTIF('Raw Transactions'!A5:A64,B52)</x:f>
        <x:v>1</x:v>
      </x:c>
      <x:c r="L52" s="24" t="str">
        <x:f>IF(G52="NOT MAPPED - INVALID","Invalid Category","OK")</x:f>
        <x:v>OK</x:v>
      </x:c>
      <x:c r="M52" s="24" t="str">
        <x:f>IF(COUNTIF('References'!D5:D7,H52)=0,"Invalid Currency","OK")</x:f>
        <x:v>OK</x:v>
      </x:c>
      <x:c r="N52" s="24" t="str">
        <x:f>IF(OR(NOT(ISNUMBER(I52)),I52&lt;=0),"Invalid Amount","OK")</x:f>
        <x:v>OK</x:v>
      </x:c>
      <x:c r="O52" s="24" t="str">
        <x:f>IF(J52="","Missing Document","OK")</x:f>
        <x:v>OK</x:v>
      </x:c>
      <x:c r="P52" s="24" t="n">
        <x:f>IF(K52&gt;1,1,0)+IF(L52&lt;&gt;"OK",1,0)+IF(M52&lt;&gt;"OK",1,0)+IF(N52&lt;&gt;"OK",1,0)+IF(O52&lt;&gt;"OK",1,0)</x:f>
        <x:v>0</x:v>
      </x:c>
      <x:c r="Q52" s="24" t="str">
        <x:f>IF(P52=0,"Ready",IF(OR(K52&gt;1,N52&lt;&gt;"OK"),"High Priority Review","Review"))</x:f>
        <x:v>Ready</x:v>
      </x:c>
      <x:c r="R52" s="24" t="str">
        <x:f>IF(K52&gt;1,"Compare duplicate transaction records",IF(N52&lt;&gt;"OK","Verify amount against approved source",IF(L52&lt;&gt;"OK","Confirm approved finance category",IF(M52&lt;&gt;"OK","Confirm approved currency",IF(O52&lt;&gt;"OK","Request supporting document in writing","No action required")))))</x:f>
        <x:v>No action required</x:v>
      </x:c>
    </x:row>
    <x:row r="53" ht="24" customHeight="1">
      <x:c r="A53" s="11" t="n">
        <x:f>ROW()</x:f>
        <x:v>53</x:v>
      </x:c>
      <x:c r="B53" s="11" t="str">
        <x:f>'Raw Transactions'!A53</x:f>
        <x:v>FIN-0049</x:v>
      </x:c>
      <x:c r="C53" s="25" t="n">
        <x:f>'Raw Transactions'!B53</x:f>
        <x:v>46058</x:v>
      </x:c>
      <x:c r="D53" s="11" t="str">
        <x:f>'Raw Transactions'!C53</x:f>
        <x:v>BNK-03049</x:v>
      </x:c>
      <x:c r="E53" s="11" t="str">
        <x:f>'Raw Transactions'!D53</x:f>
        <x:v>DataSecure Hosting</x:v>
      </x:c>
      <x:c r="F53" s="11" t="str">
        <x:f>'Raw Transactions'!F53</x:f>
        <x:v>IT Services</x:v>
      </x:c>
      <x:c r="G53" s="11" t="str">
        <x:f>IFERROR(VLOOKUP(F53,'References'!A5:B16,2,FALSE),"NOT MAPPED - INVALID")</x:f>
        <x:v>IT Services</x:v>
      </x:c>
      <x:c r="H53" s="11" t="str">
        <x:f>'Raw Transactions'!H53</x:f>
        <x:v>IDR</x:v>
      </x:c>
      <x:c r="I53" s="27" t="n">
        <x:f>'Raw Transactions'!I53</x:f>
        <x:v>3013000</x:v>
      </x:c>
      <x:c r="J53" s="11" t="str">
        <x:f>IF('Raw Transactions'!J53="","",'Raw Transactions'!J53)</x:f>
        <x:v>DOC-2026-0049</x:v>
      </x:c>
      <x:c r="K53" s="11" t="n">
        <x:f>COUNTIF('Raw Transactions'!A5:A64,B53)</x:f>
        <x:v>1</x:v>
      </x:c>
      <x:c r="L53" s="11" t="str">
        <x:f>IF(G53="NOT MAPPED - INVALID","Invalid Category","OK")</x:f>
        <x:v>OK</x:v>
      </x:c>
      <x:c r="M53" s="11" t="str">
        <x:f>IF(COUNTIF('References'!D5:D7,H53)=0,"Invalid Currency","OK")</x:f>
        <x:v>OK</x:v>
      </x:c>
      <x:c r="N53" s="11" t="str">
        <x:f>IF(OR(NOT(ISNUMBER(I53)),I53&lt;=0),"Invalid Amount","OK")</x:f>
        <x:v>OK</x:v>
      </x:c>
      <x:c r="O53" s="11" t="str">
        <x:f>IF(J53="","Missing Document","OK")</x:f>
        <x:v>OK</x:v>
      </x:c>
      <x:c r="P53" s="11" t="n">
        <x:f>IF(K53&gt;1,1,0)+IF(L53&lt;&gt;"OK",1,0)+IF(M53&lt;&gt;"OK",1,0)+IF(N53&lt;&gt;"OK",1,0)+IF(O53&lt;&gt;"OK",1,0)</x:f>
        <x:v>0</x:v>
      </x:c>
      <x:c r="Q53" s="11" t="str">
        <x:f>IF(P53=0,"Ready",IF(OR(K53&gt;1,N53&lt;&gt;"OK"),"High Priority Review","Review"))</x:f>
        <x:v>Ready</x:v>
      </x:c>
      <x:c r="R53" s="11" t="str">
        <x:f>IF(K53&gt;1,"Compare duplicate transaction records",IF(N53&lt;&gt;"OK","Verify amount against approved source",IF(L53&lt;&gt;"OK","Confirm approved finance category",IF(M53&lt;&gt;"OK","Confirm approved currency",IF(O53&lt;&gt;"OK","Request supporting document in writing","No action required")))))</x:f>
        <x:v>No action required</x:v>
      </x:c>
    </x:row>
    <x:row r="54" ht="24" customHeight="1">
      <x:c r="A54" s="24" t="n">
        <x:f>ROW()</x:f>
        <x:v>54</x:v>
      </x:c>
      <x:c r="B54" s="24" t="str">
        <x:f>'Raw Transactions'!A54</x:f>
        <x:v>FIN-0050</x:v>
      </x:c>
      <x:c r="C54" s="26" t="n">
        <x:f>'Raw Transactions'!B54</x:f>
        <x:v>46089</x:v>
      </x:c>
      <x:c r="D54" s="24" t="str">
        <x:f>'Raw Transactions'!C54</x:f>
        <x:v>BNK-03050</x:v>
      </x:c>
      <x:c r="E54" s="24" t="str">
        <x:f>'Raw Transactions'!D54</x:f>
        <x:v>Maju Training Center</x:v>
      </x:c>
      <x:c r="F54" s="24" t="str">
        <x:f>'Raw Transactions'!F54</x:f>
        <x:v>Training</x:v>
      </x:c>
      <x:c r="G54" s="24" t="str">
        <x:f>IFERROR(VLOOKUP(F54,'References'!A5:B16,2,FALSE),"NOT MAPPED - INVALID")</x:f>
        <x:v>Training</x:v>
      </x:c>
      <x:c r="H54" s="24" t="str">
        <x:f>'Raw Transactions'!H54</x:f>
        <x:v>IDR</x:v>
      </x:c>
      <x:c r="I54" s="28" t="n">
        <x:f>'Raw Transactions'!I54</x:f>
        <x:v>3150000</x:v>
      </x:c>
      <x:c r="J54" s="24" t="str">
        <x:f>IF('Raw Transactions'!J54="","",'Raw Transactions'!J54)</x:f>
        <x:v>DOC-2026-0050</x:v>
      </x:c>
      <x:c r="K54" s="24" t="n">
        <x:f>COUNTIF('Raw Transactions'!A5:A64,B54)</x:f>
        <x:v>1</x:v>
      </x:c>
      <x:c r="L54" s="24" t="str">
        <x:f>IF(G54="NOT MAPPED - INVALID","Invalid Category","OK")</x:f>
        <x:v>OK</x:v>
      </x:c>
      <x:c r="M54" s="24" t="str">
        <x:f>IF(COUNTIF('References'!D5:D7,H54)=0,"Invalid Currency","OK")</x:f>
        <x:v>OK</x:v>
      </x:c>
      <x:c r="N54" s="24" t="str">
        <x:f>IF(OR(NOT(ISNUMBER(I54)),I54&lt;=0),"Invalid Amount","OK")</x:f>
        <x:v>OK</x:v>
      </x:c>
      <x:c r="O54" s="24" t="str">
        <x:f>IF(J54="","Missing Document","OK")</x:f>
        <x:v>OK</x:v>
      </x:c>
      <x:c r="P54" s="24" t="n">
        <x:f>IF(K54&gt;1,1,0)+IF(L54&lt;&gt;"OK",1,0)+IF(M54&lt;&gt;"OK",1,0)+IF(N54&lt;&gt;"OK",1,0)+IF(O54&lt;&gt;"OK",1,0)</x:f>
        <x:v>0</x:v>
      </x:c>
      <x:c r="Q54" s="24" t="str">
        <x:f>IF(P54=0,"Ready",IF(OR(K54&gt;1,N54&lt;&gt;"OK"),"High Priority Review","Review"))</x:f>
        <x:v>Ready</x:v>
      </x:c>
      <x:c r="R54" s="24" t="str">
        <x:f>IF(K54&gt;1,"Compare duplicate transaction records",IF(N54&lt;&gt;"OK","Verify amount against approved source",IF(L54&lt;&gt;"OK","Confirm approved finance category",IF(M54&lt;&gt;"OK","Confirm approved currency",IF(O54&lt;&gt;"OK","Request supporting document in writing","No action required")))))</x:f>
        <x:v>No action required</x:v>
      </x:c>
    </x:row>
    <x:row r="55" ht="24" customHeight="1">
      <x:c r="A55" s="11" t="n">
        <x:f>ROW()</x:f>
        <x:v>55</x:v>
      </x:c>
      <x:c r="B55" s="11" t="str">
        <x:f>'Raw Transactions'!A55</x:f>
        <x:v>FIN-0051</x:v>
      </x:c>
      <x:c r="C55" s="25" t="n">
        <x:f>'Raw Transactions'!B55</x:f>
        <x:v>46123</x:v>
      </x:c>
      <x:c r="D55" s="11" t="str">
        <x:f>'Raw Transactions'!C55</x:f>
        <x:v>BNK-03051</x:v>
      </x:c>
      <x:c r="E55" s="11" t="str">
        <x:f>'Raw Transactions'!D55</x:f>
        <x:v>Nusa Office Supply</x:v>
      </x:c>
      <x:c r="F55" s="11" t="str">
        <x:f>'Raw Transactions'!F55</x:f>
        <x:v>Office Supplies</x:v>
      </x:c>
      <x:c r="G55" s="11" t="str">
        <x:f>IFERROR(VLOOKUP(F55,'References'!A5:B16,2,FALSE),"NOT MAPPED - INVALID")</x:f>
        <x:v>Office Supplies</x:v>
      </x:c>
      <x:c r="H55" s="11" t="str">
        <x:f>'Raw Transactions'!H55</x:f>
        <x:v>IDR</x:v>
      </x:c>
      <x:c r="I55" s="27" t="n">
        <x:f>'Raw Transactions'!I55</x:f>
        <x:v>3287000</x:v>
      </x:c>
      <x:c r="J55" s="11" t="str">
        <x:f>IF('Raw Transactions'!J55="","",'Raw Transactions'!J55)</x:f>
      </x:c>
      <x:c r="K55" s="11" t="n">
        <x:f>COUNTIF('Raw Transactions'!A5:A64,B55)</x:f>
        <x:v>1</x:v>
      </x:c>
      <x:c r="L55" s="11" t="str">
        <x:f>IF(G55="NOT MAPPED - INVALID","Invalid Category","OK")</x:f>
        <x:v>OK</x:v>
      </x:c>
      <x:c r="M55" s="11" t="str">
        <x:f>IF(COUNTIF('References'!D5:D7,H55)=0,"Invalid Currency","OK")</x:f>
        <x:v>OK</x:v>
      </x:c>
      <x:c r="N55" s="11" t="str">
        <x:f>IF(OR(NOT(ISNUMBER(I55)),I55&lt;=0),"Invalid Amount","OK")</x:f>
        <x:v>OK</x:v>
      </x:c>
      <x:c r="O55" s="11" t="str">
        <x:f>IF(J55="","Missing Document","OK")</x:f>
        <x:v>Missing Document</x:v>
      </x:c>
      <x:c r="P55" s="11" t="n">
        <x:f>IF(K55&gt;1,1,0)+IF(L55&lt;&gt;"OK",1,0)+IF(M55&lt;&gt;"OK",1,0)+IF(N55&lt;&gt;"OK",1,0)+IF(O55&lt;&gt;"OK",1,0)</x:f>
        <x:v>1</x:v>
      </x:c>
      <x:c r="Q55" s="11" t="str">
        <x:f>IF(P55=0,"Ready",IF(OR(K55&gt;1,N55&lt;&gt;"OK"),"High Priority Review","Review"))</x:f>
        <x:v>Review</x:v>
      </x:c>
      <x:c r="R55" s="11" t="str">
        <x:f>IF(K55&gt;1,"Compare duplicate transaction records",IF(N55&lt;&gt;"OK","Verify amount against approved source",IF(L55&lt;&gt;"OK","Confirm approved finance category",IF(M55&lt;&gt;"OK","Confirm approved currency",IF(O55&lt;&gt;"OK","Request supporting document in writing","No action required")))))</x:f>
        <x:v>Request supporting document in writing</x:v>
      </x:c>
    </x:row>
    <x:row r="56" ht="24" customHeight="1">
      <x:c r="A56" s="24" t="n">
        <x:f>ROW()</x:f>
        <x:v>56</x:v>
      </x:c>
      <x:c r="B56" s="24" t="str">
        <x:f>'Raw Transactions'!A56</x:f>
        <x:v>FIN-0052</x:v>
      </x:c>
      <x:c r="C56" s="26" t="n">
        <x:f>'Raw Transactions'!B56</x:f>
        <x:v>46156</x:v>
      </x:c>
      <x:c r="D56" s="24" t="str">
        <x:f>'Raw Transactions'!C56</x:f>
        <x:v>BNK-03052</x:v>
      </x:c>
      <x:c r="E56" s="24" t="str">
        <x:f>'Raw Transactions'!D56</x:f>
        <x:v>CloudDesk Software</x:v>
      </x:c>
      <x:c r="F56" s="24" t="str">
        <x:f>'Raw Transactions'!F56</x:f>
        <x:v>Software</x:v>
      </x:c>
      <x:c r="G56" s="24" t="str">
        <x:f>IFERROR(VLOOKUP(F56,'References'!A5:B16,2,FALSE),"NOT MAPPED - INVALID")</x:f>
        <x:v>Software</x:v>
      </x:c>
      <x:c r="H56" s="24" t="str">
        <x:f>'Raw Transactions'!H56</x:f>
        <x:v>IDR</x:v>
      </x:c>
      <x:c r="I56" s="28" t="n">
        <x:f>'Raw Transactions'!I56</x:f>
        <x:v>3424000</x:v>
      </x:c>
      <x:c r="J56" s="24" t="str">
        <x:f>IF('Raw Transactions'!J56="","",'Raw Transactions'!J56)</x:f>
        <x:v>DOC-2026-0052</x:v>
      </x:c>
      <x:c r="K56" s="24" t="n">
        <x:f>COUNTIF('Raw Transactions'!A5:A64,B56)</x:f>
        <x:v>1</x:v>
      </x:c>
      <x:c r="L56" s="24" t="str">
        <x:f>IF(G56="NOT MAPPED - INVALID","Invalid Category","OK")</x:f>
        <x:v>OK</x:v>
      </x:c>
      <x:c r="M56" s="24" t="str">
        <x:f>IF(COUNTIF('References'!D5:D7,H56)=0,"Invalid Currency","OK")</x:f>
        <x:v>OK</x:v>
      </x:c>
      <x:c r="N56" s="24" t="str">
        <x:f>IF(OR(NOT(ISNUMBER(I56)),I56&lt;=0),"Invalid Amount","OK")</x:f>
        <x:v>OK</x:v>
      </x:c>
      <x:c r="O56" s="24" t="str">
        <x:f>IF(J56="","Missing Document","OK")</x:f>
        <x:v>OK</x:v>
      </x:c>
      <x:c r="P56" s="24" t="n">
        <x:f>IF(K56&gt;1,1,0)+IF(L56&lt;&gt;"OK",1,0)+IF(M56&lt;&gt;"OK",1,0)+IF(N56&lt;&gt;"OK",1,0)+IF(O56&lt;&gt;"OK",1,0)</x:f>
        <x:v>0</x:v>
      </x:c>
      <x:c r="Q56" s="24" t="str">
        <x:f>IF(P56=0,"Ready",IF(OR(K56&gt;1,N56&lt;&gt;"OK"),"High Priority Review","Review"))</x:f>
        <x:v>Ready</x:v>
      </x:c>
      <x:c r="R56" s="24" t="str">
        <x:f>IF(K56&gt;1,"Compare duplicate transaction records",IF(N56&lt;&gt;"OK","Verify amount against approved source",IF(L56&lt;&gt;"OK","Confirm approved finance category",IF(M56&lt;&gt;"OK","Confirm approved currency",IF(O56&lt;&gt;"OK","Request supporting document in writing","No action required")))))</x:f>
        <x:v>No action required</x:v>
      </x:c>
    </x:row>
    <x:row r="57" ht="24" customHeight="1">
      <x:c r="A57" s="11" t="n">
        <x:f>ROW()</x:f>
        <x:v>57</x:v>
      </x:c>
      <x:c r="B57" s="11" t="str">
        <x:f>'Raw Transactions'!A57</x:f>
        <x:v>FIN-0053</x:v>
      </x:c>
      <x:c r="C57" s="25" t="n">
        <x:f>'Raw Transactions'!B57</x:f>
        <x:v>46190</x:v>
      </x:c>
      <x:c r="D57" s="11" t="str">
        <x:f>'Raw Transactions'!C57</x:f>
        <x:v>BNK-03053</x:v>
      </x:c>
      <x:c r="E57" s="11" t="str">
        <x:f>'Raw Transactions'!D57</x:f>
        <x:v>Metro Courier</x:v>
      </x:c>
      <x:c r="F57" s="11" t="str">
        <x:f>'Raw Transactions'!F57</x:f>
        <x:v>Courier</x:v>
      </x:c>
      <x:c r="G57" s="11" t="str">
        <x:f>IFERROR(VLOOKUP(F57,'References'!A5:B16,2,FALSE),"NOT MAPPED - INVALID")</x:f>
        <x:v>Courier</x:v>
      </x:c>
      <x:c r="H57" s="11" t="str">
        <x:f>'Raw Transactions'!H57</x:f>
        <x:v>IDR</x:v>
      </x:c>
      <x:c r="I57" s="27" t="n">
        <x:f>'Raw Transactions'!I57</x:f>
        <x:v>3561000</x:v>
      </x:c>
      <x:c r="J57" s="11" t="str">
        <x:f>IF('Raw Transactions'!J57="","",'Raw Transactions'!J57)</x:f>
        <x:v>DOC-2026-0053</x:v>
      </x:c>
      <x:c r="K57" s="11" t="n">
        <x:f>COUNTIF('Raw Transactions'!A5:A64,B57)</x:f>
        <x:v>1</x:v>
      </x:c>
      <x:c r="L57" s="11" t="str">
        <x:f>IF(G57="NOT MAPPED - INVALID","Invalid Category","OK")</x:f>
        <x:v>OK</x:v>
      </x:c>
      <x:c r="M57" s="11" t="str">
        <x:f>IF(COUNTIF('References'!D5:D7,H57)=0,"Invalid Currency","OK")</x:f>
        <x:v>OK</x:v>
      </x:c>
      <x:c r="N57" s="11" t="str">
        <x:f>IF(OR(NOT(ISNUMBER(I57)),I57&lt;=0),"Invalid Amount","OK")</x:f>
        <x:v>OK</x:v>
      </x:c>
      <x:c r="O57" s="11" t="str">
        <x:f>IF(J57="","Missing Document","OK")</x:f>
        <x:v>OK</x:v>
      </x:c>
      <x:c r="P57" s="11" t="n">
        <x:f>IF(K57&gt;1,1,0)+IF(L57&lt;&gt;"OK",1,0)+IF(M57&lt;&gt;"OK",1,0)+IF(N57&lt;&gt;"OK",1,0)+IF(O57&lt;&gt;"OK",1,0)</x:f>
        <x:v>0</x:v>
      </x:c>
      <x:c r="Q57" s="11" t="str">
        <x:f>IF(P57=0,"Ready",IF(OR(K57&gt;1,N57&lt;&gt;"OK"),"High Priority Review","Review"))</x:f>
        <x:v>Ready</x:v>
      </x:c>
      <x:c r="R57" s="11" t="str">
        <x:f>IF(K57&gt;1,"Compare duplicate transaction records",IF(N57&lt;&gt;"OK","Verify amount against approved source",IF(L57&lt;&gt;"OK","Confirm approved finance category",IF(M57&lt;&gt;"OK","Confirm approved currency",IF(O57&lt;&gt;"OK","Request supporting document in writing","No action required")))))</x:f>
        <x:v>No action required</x:v>
      </x:c>
    </x:row>
    <x:row r="58" ht="24" customHeight="1">
      <x:c r="A58" s="24" t="n">
        <x:f>ROW()</x:f>
        <x:v>58</x:v>
      </x:c>
      <x:c r="B58" s="24" t="str">
        <x:f>'Raw Transactions'!A58</x:f>
        <x:v>FIN-0054</x:v>
      </x:c>
      <x:c r="C58" s="26" t="n">
        <x:f>'Raw Transactions'!B58</x:f>
        <x:v>46042</x:v>
      </x:c>
      <x:c r="D58" s="24" t="str">
        <x:f>'Raw Transactions'!C58</x:f>
        <x:v>BNK-03054</x:v>
      </x:c>
      <x:c r="E58" s="24" t="str">
        <x:f>'Raw Transactions'!D58</x:f>
        <x:v>Bright Clean Services</x:v>
      </x:c>
      <x:c r="F58" s="24" t="str">
        <x:f>'Raw Transactions'!F58</x:f>
        <x:v>Facilities</x:v>
      </x:c>
      <x:c r="G58" s="24" t="str">
        <x:f>IFERROR(VLOOKUP(F58,'References'!A5:B16,2,FALSE),"NOT MAPPED - INVALID")</x:f>
        <x:v>Facilities</x:v>
      </x:c>
      <x:c r="H58" s="24" t="str">
        <x:f>'Raw Transactions'!H58</x:f>
        <x:v>IDR</x:v>
      </x:c>
      <x:c r="I58" s="28" t="n">
        <x:f>'Raw Transactions'!I58</x:f>
        <x:v>3698000</x:v>
      </x:c>
      <x:c r="J58" s="24" t="str">
        <x:f>IF('Raw Transactions'!J58="","",'Raw Transactions'!J58)</x:f>
        <x:v>DOC-2026-0054</x:v>
      </x:c>
      <x:c r="K58" s="24" t="n">
        <x:f>COUNTIF('Raw Transactions'!A5:A64,B58)</x:f>
        <x:v>1</x:v>
      </x:c>
      <x:c r="L58" s="24" t="str">
        <x:f>IF(G58="NOT MAPPED - INVALID","Invalid Category","OK")</x:f>
        <x:v>OK</x:v>
      </x:c>
      <x:c r="M58" s="24" t="str">
        <x:f>IF(COUNTIF('References'!D5:D7,H58)=0,"Invalid Currency","OK")</x:f>
        <x:v>OK</x:v>
      </x:c>
      <x:c r="N58" s="24" t="str">
        <x:f>IF(OR(NOT(ISNUMBER(I58)),I58&lt;=0),"Invalid Amount","OK")</x:f>
        <x:v>OK</x:v>
      </x:c>
      <x:c r="O58" s="24" t="str">
        <x:f>IF(J58="","Missing Document","OK")</x:f>
        <x:v>OK</x:v>
      </x:c>
      <x:c r="P58" s="24" t="n">
        <x:f>IF(K58&gt;1,1,0)+IF(L58&lt;&gt;"OK",1,0)+IF(M58&lt;&gt;"OK",1,0)+IF(N58&lt;&gt;"OK",1,0)+IF(O58&lt;&gt;"OK",1,0)</x:f>
        <x:v>0</x:v>
      </x:c>
      <x:c r="Q58" s="24" t="str">
        <x:f>IF(P58=0,"Ready",IF(OR(K58&gt;1,N58&lt;&gt;"OK"),"High Priority Review","Review"))</x:f>
        <x:v>Ready</x:v>
      </x:c>
      <x:c r="R58" s="24" t="str">
        <x:f>IF(K58&gt;1,"Compare duplicate transaction records",IF(N58&lt;&gt;"OK","Verify amount against approved source",IF(L58&lt;&gt;"OK","Confirm approved finance category",IF(M58&lt;&gt;"OK","Confirm approved currency",IF(O58&lt;&gt;"OK","Request supporting document in writing","No action required")))))</x:f>
        <x:v>No action required</x:v>
      </x:c>
    </x:row>
    <x:row r="59" ht="24" customHeight="1">
      <x:c r="A59" s="11" t="n">
        <x:f>ROW()</x:f>
        <x:v>59</x:v>
      </x:c>
      <x:c r="B59" s="11" t="str">
        <x:f>'Raw Transactions'!A59</x:f>
        <x:v>FIN-0055</x:v>
      </x:c>
      <x:c r="C59" s="25" t="n">
        <x:f>'Raw Transactions'!B59</x:f>
        <x:v>46076</x:v>
      </x:c>
      <x:c r="D59" s="11" t="str">
        <x:f>'Raw Transactions'!C59</x:f>
        <x:v>BNK-03055</x:v>
      </x:c>
      <x:c r="E59" s="11" t="str">
        <x:f>'Raw Transactions'!D59</x:f>
        <x:v>Sinar Telecom</x:v>
      </x:c>
      <x:c r="F59" s="11" t="str">
        <x:f>'Raw Transactions'!F59</x:f>
        <x:v>Telecommunications</x:v>
      </x:c>
      <x:c r="G59" s="11" t="str">
        <x:f>IFERROR(VLOOKUP(F59,'References'!A5:B16,2,FALSE),"NOT MAPPED - INVALID")</x:f>
        <x:v>Telecommunications</x:v>
      </x:c>
      <x:c r="H59" s="11" t="str">
        <x:f>'Raw Transactions'!H59</x:f>
        <x:v>IDR</x:v>
      </x:c>
      <x:c r="I59" s="27" t="n">
        <x:f>'Raw Transactions'!I59</x:f>
        <x:v>3835000</x:v>
      </x:c>
      <x:c r="J59" s="11" t="str">
        <x:f>IF('Raw Transactions'!J59="","",'Raw Transactions'!J59)</x:f>
        <x:v>DOC-2026-0055</x:v>
      </x:c>
      <x:c r="K59" s="11" t="n">
        <x:f>COUNTIF('Raw Transactions'!A5:A64,B59)</x:f>
        <x:v>1</x:v>
      </x:c>
      <x:c r="L59" s="11" t="str">
        <x:f>IF(G59="NOT MAPPED - INVALID","Invalid Category","OK")</x:f>
        <x:v>OK</x:v>
      </x:c>
      <x:c r="M59" s="11" t="str">
        <x:f>IF(COUNTIF('References'!D5:D7,H59)=0,"Invalid Currency","OK")</x:f>
        <x:v>OK</x:v>
      </x:c>
      <x:c r="N59" s="11" t="str">
        <x:f>IF(OR(NOT(ISNUMBER(I59)),I59&lt;=0),"Invalid Amount","OK")</x:f>
        <x:v>OK</x:v>
      </x:c>
      <x:c r="O59" s="11" t="str">
        <x:f>IF(J59="","Missing Document","OK")</x:f>
        <x:v>OK</x:v>
      </x:c>
      <x:c r="P59" s="11" t="n">
        <x:f>IF(K59&gt;1,1,0)+IF(L59&lt;&gt;"OK",1,0)+IF(M59&lt;&gt;"OK",1,0)+IF(N59&lt;&gt;"OK",1,0)+IF(O59&lt;&gt;"OK",1,0)</x:f>
        <x:v>0</x:v>
      </x:c>
      <x:c r="Q59" s="11" t="str">
        <x:f>IF(P59=0,"Ready",IF(OR(K59&gt;1,N59&lt;&gt;"OK"),"High Priority Review","Review"))</x:f>
        <x:v>Ready</x:v>
      </x:c>
      <x:c r="R59" s="11" t="str">
        <x:f>IF(K59&gt;1,"Compare duplicate transaction records",IF(N59&lt;&gt;"OK","Verify amount against approved source",IF(L59&lt;&gt;"OK","Confirm approved finance category",IF(M59&lt;&gt;"OK","Confirm approved currency",IF(O59&lt;&gt;"OK","Request supporting document in writing","No action required")))))</x:f>
        <x:v>No action required</x:v>
      </x:c>
    </x:row>
    <x:row r="60" ht="24" customHeight="1">
      <x:c r="A60" s="24" t="n">
        <x:f>ROW()</x:f>
        <x:v>60</x:v>
      </x:c>
      <x:c r="B60" s="24" t="str">
        <x:f>'Raw Transactions'!A60</x:f>
        <x:v>FIN-0056</x:v>
      </x:c>
      <x:c r="C60" s="26" t="n">
        <x:f>'Raw Transactions'!B60</x:f>
        <x:v>46083</x:v>
      </x:c>
      <x:c r="D60" s="24" t="str">
        <x:f>'Raw Transactions'!C60</x:f>
        <x:v>BNK-03056</x:v>
      </x:c>
      <x:c r="E60" s="24" t="str">
        <x:f>'Raw Transactions'!D60</x:f>
        <x:v>Karya Printing</x:v>
      </x:c>
      <x:c r="F60" s="24" t="str">
        <x:f>'Raw Transactions'!F60</x:f>
        <x:v>Printing</x:v>
      </x:c>
      <x:c r="G60" s="24" t="str">
        <x:f>IFERROR(VLOOKUP(F60,'References'!A5:B16,2,FALSE),"NOT MAPPED - INVALID")</x:f>
        <x:v>Printing</x:v>
      </x:c>
      <x:c r="H60" s="24" t="str">
        <x:f>'Raw Transactions'!H60</x:f>
        <x:v>IDR</x:v>
      </x:c>
      <x:c r="I60" s="28" t="n">
        <x:f>'Raw Transactions'!I60</x:f>
        <x:v>3972000</x:v>
      </x:c>
      <x:c r="J60" s="24" t="str">
        <x:f>IF('Raw Transactions'!J60="","",'Raw Transactions'!J60)</x:f>
        <x:v>DOC-2026-0056</x:v>
      </x:c>
      <x:c r="K60" s="24" t="n">
        <x:f>COUNTIF('Raw Transactions'!A5:A64,B60)</x:f>
        <x:v>1</x:v>
      </x:c>
      <x:c r="L60" s="24" t="str">
        <x:f>IF(G60="NOT MAPPED - INVALID","Invalid Category","OK")</x:f>
        <x:v>OK</x:v>
      </x:c>
      <x:c r="M60" s="24" t="str">
        <x:f>IF(COUNTIF('References'!D5:D7,H60)=0,"Invalid Currency","OK")</x:f>
        <x:v>OK</x:v>
      </x:c>
      <x:c r="N60" s="24" t="str">
        <x:f>IF(OR(NOT(ISNUMBER(I60)),I60&lt;=0),"Invalid Amount","OK")</x:f>
        <x:v>OK</x:v>
      </x:c>
      <x:c r="O60" s="24" t="str">
        <x:f>IF(J60="","Missing Document","OK")</x:f>
        <x:v>OK</x:v>
      </x:c>
      <x:c r="P60" s="24" t="n">
        <x:f>IF(K60&gt;1,1,0)+IF(L60&lt;&gt;"OK",1,0)+IF(M60&lt;&gt;"OK",1,0)+IF(N60&lt;&gt;"OK",1,0)+IF(O60&lt;&gt;"OK",1,0)</x:f>
        <x:v>0</x:v>
      </x:c>
      <x:c r="Q60" s="24" t="str">
        <x:f>IF(P60=0,"Ready",IF(OR(K60&gt;1,N60&lt;&gt;"OK"),"High Priority Review","Review"))</x:f>
        <x:v>Ready</x:v>
      </x:c>
      <x:c r="R60" s="24" t="str">
        <x:f>IF(K60&gt;1,"Compare duplicate transaction records",IF(N60&lt;&gt;"OK","Verify amount against approved source",IF(L60&lt;&gt;"OK","Confirm approved finance category",IF(M60&lt;&gt;"OK","Confirm approved currency",IF(O60&lt;&gt;"OK","Request supporting document in writing","No action required")))))</x:f>
        <x:v>No action required</x:v>
      </x:c>
    </x:row>
    <x:row r="61" ht="24" customHeight="1">
      <x:c r="A61" s="11" t="n">
        <x:f>ROW()</x:f>
        <x:v>61</x:v>
      </x:c>
      <x:c r="B61" s="11" t="str">
        <x:f>'Raw Transactions'!A61</x:f>
        <x:v>FIN-0057</x:v>
      </x:c>
      <x:c r="C61" s="25" t="n">
        <x:f>'Raw Transactions'!B61</x:f>
        <x:v>46117</x:v>
      </x:c>
      <x:c r="D61" s="11" t="str">
        <x:f>'Raw Transactions'!C61</x:f>
        <x:v>BNK-03057</x:v>
      </x:c>
      <x:c r="E61" s="11" t="str">
        <x:f>'Raw Transactions'!D61</x:f>
        <x:v>Archipelago Travel</x:v>
      </x:c>
      <x:c r="F61" s="11" t="str">
        <x:f>'Raw Transactions'!F61</x:f>
        <x:v>Travel</x:v>
      </x:c>
      <x:c r="G61" s="11" t="str">
        <x:f>IFERROR(VLOOKUP(F61,'References'!A5:B16,2,FALSE),"NOT MAPPED - INVALID")</x:f>
        <x:v>Travel</x:v>
      </x:c>
      <x:c r="H61" s="11" t="str">
        <x:f>'Raw Transactions'!H61</x:f>
        <x:v>IDR</x:v>
      </x:c>
      <x:c r="I61" s="27" t="n">
        <x:f>'Raw Transactions'!I61</x:f>
        <x:v>259000</x:v>
      </x:c>
      <x:c r="J61" s="11" t="str">
        <x:f>IF('Raw Transactions'!J61="","",'Raw Transactions'!J61)</x:f>
        <x:v>DOC-2026-0057</x:v>
      </x:c>
      <x:c r="K61" s="11" t="n">
        <x:f>COUNTIF('Raw Transactions'!A5:A64,B61)</x:f>
        <x:v>1</x:v>
      </x:c>
      <x:c r="L61" s="11" t="str">
        <x:f>IF(G61="NOT MAPPED - INVALID","Invalid Category","OK")</x:f>
        <x:v>OK</x:v>
      </x:c>
      <x:c r="M61" s="11" t="str">
        <x:f>IF(COUNTIF('References'!D5:D7,H61)=0,"Invalid Currency","OK")</x:f>
        <x:v>OK</x:v>
      </x:c>
      <x:c r="N61" s="11" t="str">
        <x:f>IF(OR(NOT(ISNUMBER(I61)),I61&lt;=0),"Invalid Amount","OK")</x:f>
        <x:v>OK</x:v>
      </x:c>
      <x:c r="O61" s="11" t="str">
        <x:f>IF(J61="","Missing Document","OK")</x:f>
        <x:v>OK</x:v>
      </x:c>
      <x:c r="P61" s="11" t="n">
        <x:f>IF(K61&gt;1,1,0)+IF(L61&lt;&gt;"OK",1,0)+IF(M61&lt;&gt;"OK",1,0)+IF(N61&lt;&gt;"OK",1,0)+IF(O61&lt;&gt;"OK",1,0)</x:f>
        <x:v>0</x:v>
      </x:c>
      <x:c r="Q61" s="11" t="str">
        <x:f>IF(P61=0,"Ready",IF(OR(K61&gt;1,N61&lt;&gt;"OK"),"High Priority Review","Review"))</x:f>
        <x:v>Ready</x:v>
      </x:c>
      <x:c r="R61" s="11" t="str">
        <x:f>IF(K61&gt;1,"Compare duplicate transaction records",IF(N61&lt;&gt;"OK","Verify amount against approved source",IF(L61&lt;&gt;"OK","Confirm approved finance category",IF(M61&lt;&gt;"OK","Confirm approved currency",IF(O61&lt;&gt;"OK","Request supporting document in writing","No action required")))))</x:f>
        <x:v>No action required</x:v>
      </x:c>
    </x:row>
    <x:row r="62" ht="24" customHeight="1">
      <x:c r="A62" s="24" t="n">
        <x:f>ROW()</x:f>
        <x:v>62</x:v>
      </x:c>
      <x:c r="B62" s="24" t="str">
        <x:f>'Raw Transactions'!A62</x:f>
        <x:v>FIN-0058</x:v>
      </x:c>
      <x:c r="C62" s="26" t="n">
        <x:f>'Raw Transactions'!B62</x:f>
        <x:v>46150</x:v>
      </x:c>
      <x:c r="D62" s="24" t="str">
        <x:f>'Raw Transactions'!C62</x:f>
        <x:v>BNK-03058</x:v>
      </x:c>
      <x:c r="E62" s="24" t="str">
        <x:f>'Raw Transactions'!D62</x:f>
        <x:v>Prima Utilities</x:v>
      </x:c>
      <x:c r="F62" s="24" t="str">
        <x:f>'Raw Transactions'!F62</x:f>
        <x:v>Utilities</x:v>
      </x:c>
      <x:c r="G62" s="24" t="str">
        <x:f>IFERROR(VLOOKUP(F62,'References'!A5:B16,2,FALSE),"NOT MAPPED - INVALID")</x:f>
        <x:v>Utilities</x:v>
      </x:c>
      <x:c r="H62" s="24" t="str">
        <x:f>'Raw Transactions'!H62</x:f>
        <x:v>IDR</x:v>
      </x:c>
      <x:c r="I62" s="28" t="n">
        <x:f>'Raw Transactions'!I62</x:f>
        <x:v>396000</x:v>
      </x:c>
      <x:c r="J62" s="24" t="str">
        <x:f>IF('Raw Transactions'!J62="","",'Raw Transactions'!J62)</x:f>
        <x:v>DOC-2026-0058</x:v>
      </x:c>
      <x:c r="K62" s="24" t="n">
        <x:f>COUNTIF('Raw Transactions'!A5:A64,B62)</x:f>
        <x:v>1</x:v>
      </x:c>
      <x:c r="L62" s="24" t="str">
        <x:f>IF(G62="NOT MAPPED - INVALID","Invalid Category","OK")</x:f>
        <x:v>OK</x:v>
      </x:c>
      <x:c r="M62" s="24" t="str">
        <x:f>IF(COUNTIF('References'!D5:D7,H62)=0,"Invalid Currency","OK")</x:f>
        <x:v>OK</x:v>
      </x:c>
      <x:c r="N62" s="24" t="str">
        <x:f>IF(OR(NOT(ISNUMBER(I62)),I62&lt;=0),"Invalid Amount","OK")</x:f>
        <x:v>OK</x:v>
      </x:c>
      <x:c r="O62" s="24" t="str">
        <x:f>IF(J62="","Missing Document","OK")</x:f>
        <x:v>OK</x:v>
      </x:c>
      <x:c r="P62" s="24" t="n">
        <x:f>IF(K62&gt;1,1,0)+IF(L62&lt;&gt;"OK",1,0)+IF(M62&lt;&gt;"OK",1,0)+IF(N62&lt;&gt;"OK",1,0)+IF(O62&lt;&gt;"OK",1,0)</x:f>
        <x:v>0</x:v>
      </x:c>
      <x:c r="Q62" s="24" t="str">
        <x:f>IF(P62=0,"Ready",IF(OR(K62&gt;1,N62&lt;&gt;"OK"),"High Priority Review","Review"))</x:f>
        <x:v>Ready</x:v>
      </x:c>
      <x:c r="R62" s="24" t="str">
        <x:f>IF(K62&gt;1,"Compare duplicate transaction records",IF(N62&lt;&gt;"OK","Verify amount against approved source",IF(L62&lt;&gt;"OK","Confirm approved finance category",IF(M62&lt;&gt;"OK","Confirm approved currency",IF(O62&lt;&gt;"OK","Request supporting document in writing","No action required")))))</x:f>
        <x:v>No action required</x:v>
      </x:c>
    </x:row>
    <x:row r="63" ht="24" customHeight="1">
      <x:c r="A63" s="11" t="n">
        <x:f>ROW()</x:f>
        <x:v>63</x:v>
      </x:c>
      <x:c r="B63" s="11" t="str">
        <x:f>'Raw Transactions'!A63</x:f>
        <x:v>FIN-0059</x:v>
      </x:c>
      <x:c r="C63" s="25" t="n">
        <x:f>'Raw Transactions'!B63</x:f>
        <x:v>46184</x:v>
      </x:c>
      <x:c r="D63" s="11" t="str">
        <x:f>'Raw Transactions'!C63</x:f>
        <x:v>BNK-03059</x:v>
      </x:c>
      <x:c r="E63" s="11" t="str">
        <x:f>'Raw Transactions'!D63</x:f>
        <x:v>DataSecure Hosting</x:v>
      </x:c>
      <x:c r="F63" s="11" t="str">
        <x:f>'Raw Transactions'!F63</x:f>
        <x:v>IT Services</x:v>
      </x:c>
      <x:c r="G63" s="11" t="str">
        <x:f>IFERROR(VLOOKUP(F63,'References'!A5:B16,2,FALSE),"NOT MAPPED - INVALID")</x:f>
        <x:v>IT Services</x:v>
      </x:c>
      <x:c r="H63" s="11" t="str">
        <x:f>'Raw Transactions'!H63</x:f>
        <x:v>IDR</x:v>
      </x:c>
      <x:c r="I63" s="27" t="n">
        <x:f>'Raw Transactions'!I63</x:f>
        <x:v>533000</x:v>
      </x:c>
      <x:c r="J63" s="11" t="str">
        <x:f>IF('Raw Transactions'!J63="","",'Raw Transactions'!J63)</x:f>
        <x:v>DOC-2026-0059</x:v>
      </x:c>
      <x:c r="K63" s="11" t="n">
        <x:f>COUNTIF('Raw Transactions'!A5:A64,B63)</x:f>
        <x:v>1</x:v>
      </x:c>
      <x:c r="L63" s="11" t="str">
        <x:f>IF(G63="NOT MAPPED - INVALID","Invalid Category","OK")</x:f>
        <x:v>OK</x:v>
      </x:c>
      <x:c r="M63" s="11" t="str">
        <x:f>IF(COUNTIF('References'!D5:D7,H63)=0,"Invalid Currency","OK")</x:f>
        <x:v>OK</x:v>
      </x:c>
      <x:c r="N63" s="11" t="str">
        <x:f>IF(OR(NOT(ISNUMBER(I63)),I63&lt;=0),"Invalid Amount","OK")</x:f>
        <x:v>OK</x:v>
      </x:c>
      <x:c r="O63" s="11" t="str">
        <x:f>IF(J63="","Missing Document","OK")</x:f>
        <x:v>OK</x:v>
      </x:c>
      <x:c r="P63" s="11" t="n">
        <x:f>IF(K63&gt;1,1,0)+IF(L63&lt;&gt;"OK",1,0)+IF(M63&lt;&gt;"OK",1,0)+IF(N63&lt;&gt;"OK",1,0)+IF(O63&lt;&gt;"OK",1,0)</x:f>
        <x:v>0</x:v>
      </x:c>
      <x:c r="Q63" s="11" t="str">
        <x:f>IF(P63=0,"Ready",IF(OR(K63&gt;1,N63&lt;&gt;"OK"),"High Priority Review","Review"))</x:f>
        <x:v>Ready</x:v>
      </x:c>
      <x:c r="R63" s="11" t="str">
        <x:f>IF(K63&gt;1,"Compare duplicate transaction records",IF(N63&lt;&gt;"OK","Verify amount against approved source",IF(L63&lt;&gt;"OK","Confirm approved finance category",IF(M63&lt;&gt;"OK","Confirm approved currency",IF(O63&lt;&gt;"OK","Request supporting document in writing","No action required")))))</x:f>
        <x:v>No action required</x:v>
      </x:c>
    </x:row>
    <x:row r="64" ht="24" customHeight="1">
      <x:c r="A64" s="24" t="n">
        <x:f>ROW()</x:f>
        <x:v>64</x:v>
      </x:c>
      <x:c r="B64" s="24" t="str">
        <x:f>'Raw Transactions'!A64</x:f>
        <x:v>FIN-0060</x:v>
      </x:c>
      <x:c r="C64" s="26" t="n">
        <x:f>'Raw Transactions'!B64</x:f>
        <x:v>46036</x:v>
      </x:c>
      <x:c r="D64" s="24" t="str">
        <x:f>'Raw Transactions'!C64</x:f>
        <x:v>BNK-03060</x:v>
      </x:c>
      <x:c r="E64" s="24" t="str">
        <x:f>'Raw Transactions'!D64</x:f>
        <x:v>Maju Training Center</x:v>
      </x:c>
      <x:c r="F64" s="24" t="str">
        <x:f>'Raw Transactions'!F64</x:f>
        <x:v>Training</x:v>
      </x:c>
      <x:c r="G64" s="24" t="str">
        <x:f>IFERROR(VLOOKUP(F64,'References'!A5:B16,2,FALSE),"NOT MAPPED - INVALID")</x:f>
        <x:v>Training</x:v>
      </x:c>
      <x:c r="H64" s="24" t="str">
        <x:f>'Raw Transactions'!H64</x:f>
        <x:v>IDR</x:v>
      </x:c>
      <x:c r="I64" s="28" t="n">
        <x:f>'Raw Transactions'!I64</x:f>
        <x:v>670000</x:v>
      </x:c>
      <x:c r="J64" s="24" t="str">
        <x:f>IF('Raw Transactions'!J64="","",'Raw Transactions'!J64)</x:f>
        <x:v>DOC-2026-0060</x:v>
      </x:c>
      <x:c r="K64" s="24" t="n">
        <x:f>COUNTIF('Raw Transactions'!A5:A64,B64)</x:f>
        <x:v>1</x:v>
      </x:c>
      <x:c r="L64" s="24" t="str">
        <x:f>IF(G64="NOT MAPPED - INVALID","Invalid Category","OK")</x:f>
        <x:v>OK</x:v>
      </x:c>
      <x:c r="M64" s="24" t="str">
        <x:f>IF(COUNTIF('References'!D5:D7,H64)=0,"Invalid Currency","OK")</x:f>
        <x:v>OK</x:v>
      </x:c>
      <x:c r="N64" s="24" t="str">
        <x:f>IF(OR(NOT(ISNUMBER(I64)),I64&lt;=0),"Invalid Amount","OK")</x:f>
        <x:v>OK</x:v>
      </x:c>
      <x:c r="O64" s="24" t="str">
        <x:f>IF(J64="","Missing Document","OK")</x:f>
        <x:v>OK</x:v>
      </x:c>
      <x:c r="P64" s="24" t="n">
        <x:f>IF(K64&gt;1,1,0)+IF(L64&lt;&gt;"OK",1,0)+IF(M64&lt;&gt;"OK",1,0)+IF(N64&lt;&gt;"OK",1,0)+IF(O64&lt;&gt;"OK",1,0)</x:f>
        <x:v>0</x:v>
      </x:c>
      <x:c r="Q64" s="24" t="str">
        <x:f>IF(P64=0,"Ready",IF(OR(K64&gt;1,N64&lt;&gt;"OK"),"High Priority Review","Review"))</x:f>
        <x:v>Ready</x:v>
      </x:c>
      <x:c r="R64" s="24" t="str">
        <x:f>IF(K64&gt;1,"Compare duplicate transaction records",IF(N64&lt;&gt;"OK","Verify amount against approved source",IF(L64&lt;&gt;"OK","Confirm approved finance category",IF(M64&lt;&gt;"OK","Confirm approved currency",IF(O64&lt;&gt;"OK","Request supporting document in writing","No action required")))))</x:f>
        <x:v>No action required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44" hidden="0" customWidth="1"/>
  </x:cols>
  <x:sheetData>
    <x:row r="1" ht="30" customHeight="1">
      <x:c r="A1" s="2" t="str">
        <x:v>PROJ-008 | BANK RECONCILIATION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4" t="str">
        <x:v>Two-way reference match • amount/date checks • traceable exception classification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4" ht="34" customHeight="1">
      <x:c r="A4" s="10" t="str">
        <x:v>Raw Row</x:v>
      </x:c>
      <x:c r="B4" s="10" t="str">
        <x:v>Transaction ID</x:v>
      </x:c>
      <x:c r="C4" s="10" t="str">
        <x:v>Transaction Date</x:v>
      </x:c>
      <x:c r="D4" s="10" t="str">
        <x:v>Bank Reference</x:v>
      </x:c>
      <x:c r="E4" s="10" t="str">
        <x:v>Vendor / Payee</x:v>
      </x:c>
      <x:c r="F4" s="10" t="str">
        <x:v>Ledger Amount</x:v>
      </x:c>
      <x:c r="G4" s="10" t="str">
        <x:v>Bank Match Count</x:v>
      </x:c>
      <x:c r="H4" s="10" t="str">
        <x:v>Bank Date</x:v>
      </x:c>
      <x:c r="I4" s="10" t="str">
        <x:v>Bank Amount</x:v>
      </x:c>
      <x:c r="J4" s="10" t="str">
        <x:v>Reference Check</x:v>
      </x:c>
      <x:c r="K4" s="10" t="str">
        <x:v>Amount Check</x:v>
      </x:c>
      <x:c r="L4" s="10" t="str">
        <x:v>Date Check</x:v>
      </x:c>
      <x:c r="M4" s="10" t="str">
        <x:v>Validation Status</x:v>
      </x:c>
      <x:c r="N4" s="10" t="str">
        <x:v>Reconciliation Issues</x:v>
      </x:c>
      <x:c r="O4" s="10" t="str">
        <x:v>Final Status</x:v>
      </x:c>
      <x:c r="P4" s="10" t="str">
        <x:v>Written Action</x:v>
      </x:c>
    </x:row>
    <x:row r="5" ht="24" customHeight="1">
      <x:c r="A5" s="11" t="n">
        <x:f>'Transaction Validation'!A5</x:f>
        <x:v>5</x:v>
      </x:c>
      <x:c r="B5" s="11" t="str">
        <x:f>'Transaction Validation'!B5</x:f>
        <x:v>FIN-0001</x:v>
      </x:c>
      <x:c r="C5" s="25" t="n">
        <x:f>'Transaction Validation'!C5</x:f>
        <x:v>46058</x:v>
      </x:c>
      <x:c r="D5" s="11" t="str">
        <x:f>'Transaction Validation'!D5</x:f>
        <x:v>BNK-03001</x:v>
      </x:c>
      <x:c r="E5" s="11" t="str">
        <x:f>'Transaction Validation'!E5</x:f>
        <x:v>Nusa Office Supply</x:v>
      </x:c>
      <x:c r="F5" s="27" t="n">
        <x:f>'Transaction Validation'!I5</x:f>
        <x:v>287000</x:v>
      </x:c>
      <x:c r="G5" s="11" t="n">
        <x:f>COUNTIF('Bank Statement'!C5:C62,D5)</x:f>
        <x:v>1</x:v>
      </x:c>
      <x:c r="H5" s="25" t="n">
        <x:f>IFERROR(INDEX('Bank Statement'!B5:B62,MATCH(D5,'Bank Statement'!C5:C62,0)),"")</x:f>
        <x:v>46058</x:v>
      </x:c>
      <x:c r="I5" s="27" t="n">
        <x:f>IFERROR(INDEX('Bank Statement'!E5:E62,MATCH(D5,'Bank Statement'!C5:C62,0)),"")</x:f>
        <x:v>287000</x:v>
      </x:c>
      <x:c r="J5" s="11" t="str">
        <x:f>IF(G5=0,"Missing Bank Match",IF(G5&gt;1,"Duplicate Bank Match","OK"))</x:f>
        <x:v>OK</x:v>
      </x:c>
      <x:c r="K5" s="11" t="str">
        <x:f>IF(G5=0,"Not Tested",IF(F5=I5,"OK","Amount Mismatch"))</x:f>
        <x:v>OK</x:v>
      </x:c>
      <x:c r="L5" s="11" t="str">
        <x:f>IF(G5=0,"Not Tested",IF(ABS(C5-H5)&lt;=2,"OK","Date Mismatch"))</x:f>
        <x:v>OK</x:v>
      </x:c>
      <x:c r="M5" s="11" t="str">
        <x:f>'Transaction Validation'!Q5</x:f>
        <x:v>Ready</x:v>
      </x:c>
      <x:c r="N5" s="11" t="n">
        <x:f>IF(J5&lt;&gt;"OK",1,0)+IF(AND(K5&lt;&gt;"OK",K5&lt;&gt;"Not Tested"),1,0)+IF(AND(L5&lt;&gt;"OK",L5&lt;&gt;"Not Tested"),1,0)+IF(M5&lt;&gt;"Ready",1,0)</x:f>
        <x:v>0</x:v>
      </x:c>
      <x:c r="O5" s="11" t="str">
        <x:f>IF(N5=0,"Ready",IF(OR(M5="High Priority Review",K5="Amount Mismatch"),"High Priority Review","Review"))</x:f>
        <x:v>Ready</x:v>
      </x:c>
      <x:c r="P5" s="11" t="str">
        <x:f>IF(M5&lt;&gt;"Ready",'Transaction Validation'!R5,IF(J5="Missing Bank Match","Request bank-reference evidence",IF(K5="Amount Mismatch","Verify amount and post correction only with approval",IF(L5="Date Mismatch","Confirm timing difference in writing","No action required"))))</x:f>
        <x:v>No action required</x:v>
      </x:c>
    </x:row>
    <x:row r="6" ht="24" customHeight="1">
      <x:c r="A6" s="24" t="n">
        <x:f>'Transaction Validation'!A6</x:f>
        <x:v>6</x:v>
      </x:c>
      <x:c r="B6" s="24" t="str">
        <x:f>'Transaction Validation'!B6</x:f>
        <x:v>FIN-0002</x:v>
      </x:c>
      <x:c r="C6" s="26" t="n">
        <x:f>'Transaction Validation'!C6</x:f>
        <x:v>46089</x:v>
      </x:c>
      <x:c r="D6" s="24" t="str">
        <x:f>'Transaction Validation'!D6</x:f>
        <x:v>BNK-03002</x:v>
      </x:c>
      <x:c r="E6" s="24" t="str">
        <x:f>'Transaction Validation'!E6</x:f>
        <x:v>CloudDesk Software</x:v>
      </x:c>
      <x:c r="F6" s="28" t="n">
        <x:f>'Transaction Validation'!I6</x:f>
        <x:v>424000</x:v>
      </x:c>
      <x:c r="G6" s="24" t="n">
        <x:f>COUNTIF('Bank Statement'!C5:C62,D6)</x:f>
        <x:v>1</x:v>
      </x:c>
      <x:c r="H6" s="26" t="n">
        <x:f>IFERROR(INDEX('Bank Statement'!B5:B62,MATCH(D6,'Bank Statement'!C5:C62,0)),"")</x:f>
        <x:v>46089</x:v>
      </x:c>
      <x:c r="I6" s="28" t="n">
        <x:f>IFERROR(INDEX('Bank Statement'!E5:E62,MATCH(D6,'Bank Statement'!C5:C62,0)),"")</x:f>
        <x:v>424000</x:v>
      </x:c>
      <x:c r="J6" s="24" t="str">
        <x:f>IF(G6=0,"Missing Bank Match",IF(G6&gt;1,"Duplicate Bank Match","OK"))</x:f>
        <x:v>OK</x:v>
      </x:c>
      <x:c r="K6" s="24" t="str">
        <x:f>IF(G6=0,"Not Tested",IF(F6=I6,"OK","Amount Mismatch"))</x:f>
        <x:v>OK</x:v>
      </x:c>
      <x:c r="L6" s="24" t="str">
        <x:f>IF(G6=0,"Not Tested",IF(ABS(C6-H6)&lt;=2,"OK","Date Mismatch"))</x:f>
        <x:v>OK</x:v>
      </x:c>
      <x:c r="M6" s="24" t="str">
        <x:f>'Transaction Validation'!Q6</x:f>
        <x:v>Ready</x:v>
      </x:c>
      <x:c r="N6" s="24" t="n">
        <x:f>IF(J6&lt;&gt;"OK",1,0)+IF(AND(K6&lt;&gt;"OK",K6&lt;&gt;"Not Tested"),1,0)+IF(AND(L6&lt;&gt;"OK",L6&lt;&gt;"Not Tested"),1,0)+IF(M6&lt;&gt;"Ready",1,0)</x:f>
        <x:v>0</x:v>
      </x:c>
      <x:c r="O6" s="24" t="str">
        <x:f>IF(N6=0,"Ready",IF(OR(M6="High Priority Review",K6="Amount Mismatch"),"High Priority Review","Review"))</x:f>
        <x:v>Ready</x:v>
      </x:c>
      <x:c r="P6" s="24" t="str">
        <x:f>IF(M6&lt;&gt;"Ready",'Transaction Validation'!R6,IF(J6="Missing Bank Match","Request bank-reference evidence",IF(K6="Amount Mismatch","Verify amount and post correction only with approval",IF(L6="Date Mismatch","Confirm timing difference in writing","No action required"))))</x:f>
        <x:v>No action required</x:v>
      </x:c>
    </x:row>
    <x:row r="7" ht="24" customHeight="1">
      <x:c r="A7" s="11" t="n">
        <x:f>'Transaction Validation'!A7</x:f>
        <x:v>7</x:v>
      </x:c>
      <x:c r="B7" s="11" t="str">
        <x:f>'Transaction Validation'!B7</x:f>
        <x:v>FIN-0003</x:v>
      </x:c>
      <x:c r="C7" s="25" t="n">
        <x:f>'Transaction Validation'!C7</x:f>
        <x:v>46123</x:v>
      </x:c>
      <x:c r="D7" s="11" t="str">
        <x:f>'Transaction Validation'!D7</x:f>
        <x:v>BNK-03003</x:v>
      </x:c>
      <x:c r="E7" s="11" t="str">
        <x:f>'Transaction Validation'!E7</x:f>
        <x:v>Metro Courier</x:v>
      </x:c>
      <x:c r="F7" s="27" t="n">
        <x:f>'Transaction Validation'!I7</x:f>
        <x:v>561000</x:v>
      </x:c>
      <x:c r="G7" s="11" t="n">
        <x:f>COUNTIF('Bank Statement'!C5:C62,D7)</x:f>
        <x:v>1</x:v>
      </x:c>
      <x:c r="H7" s="25" t="n">
        <x:f>IFERROR(INDEX('Bank Statement'!B5:B62,MATCH(D7,'Bank Statement'!C5:C62,0)),"")</x:f>
        <x:v>46123</x:v>
      </x:c>
      <x:c r="I7" s="27" t="n">
        <x:f>IFERROR(INDEX('Bank Statement'!E5:E62,MATCH(D7,'Bank Statement'!C5:C62,0)),"")</x:f>
        <x:v>561000</x:v>
      </x:c>
      <x:c r="J7" s="11" t="str">
        <x:f>IF(G7=0,"Missing Bank Match",IF(G7&gt;1,"Duplicate Bank Match","OK"))</x:f>
        <x:v>OK</x:v>
      </x:c>
      <x:c r="K7" s="11" t="str">
        <x:f>IF(G7=0,"Not Tested",IF(F7=I7,"OK","Amount Mismatch"))</x:f>
        <x:v>OK</x:v>
      </x:c>
      <x:c r="L7" s="11" t="str">
        <x:f>IF(G7=0,"Not Tested",IF(ABS(C7-H7)&lt;=2,"OK","Date Mismatch"))</x:f>
        <x:v>OK</x:v>
      </x:c>
      <x:c r="M7" s="11" t="str">
        <x:f>'Transaction Validation'!Q7</x:f>
        <x:v>Ready</x:v>
      </x:c>
      <x:c r="N7" s="11" t="n">
        <x:f>IF(J7&lt;&gt;"OK",1,0)+IF(AND(K7&lt;&gt;"OK",K7&lt;&gt;"Not Tested"),1,0)+IF(AND(L7&lt;&gt;"OK",L7&lt;&gt;"Not Tested"),1,0)+IF(M7&lt;&gt;"Ready",1,0)</x:f>
        <x:v>0</x:v>
      </x:c>
      <x:c r="O7" s="11" t="str">
        <x:f>IF(N7=0,"Ready",IF(OR(M7="High Priority Review",K7="Amount Mismatch"),"High Priority Review","Review"))</x:f>
        <x:v>Ready</x:v>
      </x:c>
      <x:c r="P7" s="11" t="str">
        <x:f>IF(M7&lt;&gt;"Ready",'Transaction Validation'!R7,IF(J7="Missing Bank Match","Request bank-reference evidence",IF(K7="Amount Mismatch","Verify amount and post correction only with approval",IF(L7="Date Mismatch","Confirm timing difference in writing","No action required"))))</x:f>
        <x:v>No action required</x:v>
      </x:c>
    </x:row>
    <x:row r="8" ht="24" customHeight="1">
      <x:c r="A8" s="24" t="n">
        <x:f>'Transaction Validation'!A8</x:f>
        <x:v>8</x:v>
      </x:c>
      <x:c r="B8" s="24" t="str">
        <x:f>'Transaction Validation'!B8</x:f>
        <x:v>FIN-0004</x:v>
      </x:c>
      <x:c r="C8" s="26" t="n">
        <x:f>'Transaction Validation'!C8</x:f>
        <x:v>46156</x:v>
      </x:c>
      <x:c r="D8" s="24" t="str">
        <x:f>'Transaction Validation'!D8</x:f>
        <x:v>BNK-03004</x:v>
      </x:c>
      <x:c r="E8" s="24" t="str">
        <x:f>'Transaction Validation'!E8</x:f>
        <x:v>Bright Clean Services</x:v>
      </x:c>
      <x:c r="F8" s="28" t="n">
        <x:f>'Transaction Validation'!I8</x:f>
        <x:v>698000</x:v>
      </x:c>
      <x:c r="G8" s="24" t="n">
        <x:f>COUNTIF('Bank Statement'!C5:C62,D8)</x:f>
        <x:v>1</x:v>
      </x:c>
      <x:c r="H8" s="26" t="n">
        <x:f>IFERROR(INDEX('Bank Statement'!B5:B62,MATCH(D8,'Bank Statement'!C5:C62,0)),"")</x:f>
        <x:v>46156</x:v>
      </x:c>
      <x:c r="I8" s="28" t="n">
        <x:f>IFERROR(INDEX('Bank Statement'!E5:E62,MATCH(D8,'Bank Statement'!C5:C62,0)),"")</x:f>
        <x:v>698000</x:v>
      </x:c>
      <x:c r="J8" s="24" t="str">
        <x:f>IF(G8=0,"Missing Bank Match",IF(G8&gt;1,"Duplicate Bank Match","OK"))</x:f>
        <x:v>OK</x:v>
      </x:c>
      <x:c r="K8" s="24" t="str">
        <x:f>IF(G8=0,"Not Tested",IF(F8=I8,"OK","Amount Mismatch"))</x:f>
        <x:v>OK</x:v>
      </x:c>
      <x:c r="L8" s="24" t="str">
        <x:f>IF(G8=0,"Not Tested",IF(ABS(C8-H8)&lt;=2,"OK","Date Mismatch"))</x:f>
        <x:v>OK</x:v>
      </x:c>
      <x:c r="M8" s="24" t="str">
        <x:f>'Transaction Validation'!Q8</x:f>
        <x:v>Ready</x:v>
      </x:c>
      <x:c r="N8" s="24" t="n">
        <x:f>IF(J8&lt;&gt;"OK",1,0)+IF(AND(K8&lt;&gt;"OK",K8&lt;&gt;"Not Tested"),1,0)+IF(AND(L8&lt;&gt;"OK",L8&lt;&gt;"Not Tested"),1,0)+IF(M8&lt;&gt;"Ready",1,0)</x:f>
        <x:v>0</x:v>
      </x:c>
      <x:c r="O8" s="24" t="str">
        <x:f>IF(N8=0,"Ready",IF(OR(M8="High Priority Review",K8="Amount Mismatch"),"High Priority Review","Review"))</x:f>
        <x:v>Ready</x:v>
      </x:c>
      <x:c r="P8" s="24" t="str">
        <x:f>IF(M8&lt;&gt;"Ready",'Transaction Validation'!R8,IF(J8="Missing Bank Match","Request bank-reference evidence",IF(K8="Amount Mismatch","Verify amount and post correction only with approval",IF(L8="Date Mismatch","Confirm timing difference in writing","No action required"))))</x:f>
        <x:v>No action required</x:v>
      </x:c>
    </x:row>
    <x:row r="9" ht="24" customHeight="1">
      <x:c r="A9" s="11" t="n">
        <x:f>'Transaction Validation'!A9</x:f>
        <x:v>9</x:v>
      </x:c>
      <x:c r="B9" s="11" t="str">
        <x:f>'Transaction Validation'!B9</x:f>
        <x:v>FIN-0005</x:v>
      </x:c>
      <x:c r="C9" s="25" t="n">
        <x:f>'Transaction Validation'!C9</x:f>
        <x:v>46190</x:v>
      </x:c>
      <x:c r="D9" s="11" t="str">
        <x:f>'Transaction Validation'!D9</x:f>
        <x:v>BNK-03005</x:v>
      </x:c>
      <x:c r="E9" s="11" t="str">
        <x:f>'Transaction Validation'!E9</x:f>
        <x:v>Sinar Telecom</x:v>
      </x:c>
      <x:c r="F9" s="27" t="n">
        <x:f>'Transaction Validation'!I9</x:f>
        <x:v>835000</x:v>
      </x:c>
      <x:c r="G9" s="11" t="n">
        <x:f>COUNTIF('Bank Statement'!C5:C62,D9)</x:f>
        <x:v>0</x:v>
      </x:c>
      <x:c r="H9" s="25" t="str">
        <x:f>IFERROR(INDEX('Bank Statement'!B5:B62,MATCH(D9,'Bank Statement'!C5:C62,0)),"")</x:f>
      </x:c>
      <x:c r="I9" s="27" t="str">
        <x:f>IFERROR(INDEX('Bank Statement'!E5:E62,MATCH(D9,'Bank Statement'!C5:C62,0)),"")</x:f>
      </x:c>
      <x:c r="J9" s="11" t="str">
        <x:f>IF(G9=0,"Missing Bank Match",IF(G9&gt;1,"Duplicate Bank Match","OK"))</x:f>
        <x:v>Missing Bank Match</x:v>
      </x:c>
      <x:c r="K9" s="11" t="str">
        <x:f>IF(G9=0,"Not Tested",IF(F9=I9,"OK","Amount Mismatch"))</x:f>
        <x:v>Not Tested</x:v>
      </x:c>
      <x:c r="L9" s="11" t="str">
        <x:f>IF(G9=0,"Not Tested",IF(ABS(C9-H9)&lt;=2,"OK","Date Mismatch"))</x:f>
        <x:v>Not Tested</x:v>
      </x:c>
      <x:c r="M9" s="11" t="str">
        <x:f>'Transaction Validation'!Q9</x:f>
        <x:v>Ready</x:v>
      </x:c>
      <x:c r="N9" s="11" t="n">
        <x:f>IF(J9&lt;&gt;"OK",1,0)+IF(AND(K9&lt;&gt;"OK",K9&lt;&gt;"Not Tested"),1,0)+IF(AND(L9&lt;&gt;"OK",L9&lt;&gt;"Not Tested"),1,0)+IF(M9&lt;&gt;"Ready",1,0)</x:f>
        <x:v>1</x:v>
      </x:c>
      <x:c r="O9" s="11" t="str">
        <x:f>IF(N9=0,"Ready",IF(OR(M9="High Priority Review",K9="Amount Mismatch"),"High Priority Review","Review"))</x:f>
        <x:v>Review</x:v>
      </x:c>
      <x:c r="P9" s="11" t="str">
        <x:f>IF(M9&lt;&gt;"Ready",'Transaction Validation'!R9,IF(J9="Missing Bank Match","Request bank-reference evidence",IF(K9="Amount Mismatch","Verify amount and post correction only with approval",IF(L9="Date Mismatch","Confirm timing difference in writing","No action required"))))</x:f>
        <x:v>Request bank-reference evidence</x:v>
      </x:c>
    </x:row>
    <x:row r="10" ht="24" customHeight="1">
      <x:c r="A10" s="24" t="n">
        <x:f>'Transaction Validation'!A10</x:f>
        <x:v>10</x:v>
      </x:c>
      <x:c r="B10" s="24" t="str">
        <x:f>'Transaction Validation'!B10</x:f>
        <x:v>FIN-0006</x:v>
      </x:c>
      <x:c r="C10" s="26" t="n">
        <x:f>'Transaction Validation'!C10</x:f>
        <x:v>46042</x:v>
      </x:c>
      <x:c r="D10" s="24" t="str">
        <x:f>'Transaction Validation'!D10</x:f>
        <x:v>BNK-03006</x:v>
      </x:c>
      <x:c r="E10" s="24" t="str">
        <x:f>'Transaction Validation'!E10</x:f>
        <x:v>Karya Printing</x:v>
      </x:c>
      <x:c r="F10" s="28" t="n">
        <x:f>'Transaction Validation'!I10</x:f>
        <x:v>972000</x:v>
      </x:c>
      <x:c r="G10" s="24" t="n">
        <x:f>COUNTIF('Bank Statement'!C5:C62,D10)</x:f>
        <x:v>1</x:v>
      </x:c>
      <x:c r="H10" s="26" t="n">
        <x:f>IFERROR(INDEX('Bank Statement'!B5:B62,MATCH(D10,'Bank Statement'!C5:C62,0)),"")</x:f>
        <x:v>46042</x:v>
      </x:c>
      <x:c r="I10" s="28" t="n">
        <x:f>IFERROR(INDEX('Bank Statement'!E5:E62,MATCH(D10,'Bank Statement'!C5:C62,0)),"")</x:f>
        <x:v>972000</x:v>
      </x:c>
      <x:c r="J10" s="24" t="str">
        <x:f>IF(G10=0,"Missing Bank Match",IF(G10&gt;1,"Duplicate Bank Match","OK"))</x:f>
        <x:v>OK</x:v>
      </x:c>
      <x:c r="K10" s="24" t="str">
        <x:f>IF(G10=0,"Not Tested",IF(F10=I10,"OK","Amount Mismatch"))</x:f>
        <x:v>OK</x:v>
      </x:c>
      <x:c r="L10" s="24" t="str">
        <x:f>IF(G10=0,"Not Tested",IF(ABS(C10-H10)&lt;=2,"OK","Date Mismatch"))</x:f>
        <x:v>OK</x:v>
      </x:c>
      <x:c r="M10" s="24" t="str">
        <x:f>'Transaction Validation'!Q10</x:f>
        <x:v>Ready</x:v>
      </x:c>
      <x:c r="N10" s="24" t="n">
        <x:f>IF(J10&lt;&gt;"OK",1,0)+IF(AND(K10&lt;&gt;"OK",K10&lt;&gt;"Not Tested"),1,0)+IF(AND(L10&lt;&gt;"OK",L10&lt;&gt;"Not Tested"),1,0)+IF(M10&lt;&gt;"Ready",1,0)</x:f>
        <x:v>0</x:v>
      </x:c>
      <x:c r="O10" s="24" t="str">
        <x:f>IF(N10=0,"Ready",IF(OR(M10="High Priority Review",K10="Amount Mismatch"),"High Priority Review","Review"))</x:f>
        <x:v>Ready</x:v>
      </x:c>
      <x:c r="P10" s="24" t="str">
        <x:f>IF(M10&lt;&gt;"Ready",'Transaction Validation'!R10,IF(J10="Missing Bank Match","Request bank-reference evidence",IF(K10="Amount Mismatch","Verify amount and post correction only with approval",IF(L10="Date Mismatch","Confirm timing difference in writing","No action required"))))</x:f>
        <x:v>No action required</x:v>
      </x:c>
    </x:row>
    <x:row r="11" ht="24" customHeight="1">
      <x:c r="A11" s="11" t="n">
        <x:f>'Transaction Validation'!A11</x:f>
        <x:v>11</x:v>
      </x:c>
      <x:c r="B11" s="11" t="str">
        <x:f>'Transaction Validation'!B11</x:f>
        <x:v>FIN-0007</x:v>
      </x:c>
      <x:c r="C11" s="25" t="n">
        <x:f>'Transaction Validation'!C11</x:f>
        <x:v>46076</x:v>
      </x:c>
      <x:c r="D11" s="11" t="str">
        <x:f>'Transaction Validation'!D11</x:f>
        <x:v>BNK-03007</x:v>
      </x:c>
      <x:c r="E11" s="11" t="str">
        <x:f>'Transaction Validation'!E11</x:f>
        <x:v>Archipelago Travel</x:v>
      </x:c>
      <x:c r="F11" s="27" t="n">
        <x:f>'Transaction Validation'!I11</x:f>
        <x:v>1109000</x:v>
      </x:c>
      <x:c r="G11" s="11" t="n">
        <x:f>COUNTIF('Bank Statement'!C5:C62,D11)</x:f>
        <x:v>1</x:v>
      </x:c>
      <x:c r="H11" s="25" t="n">
        <x:f>IFERROR(INDEX('Bank Statement'!B5:B62,MATCH(D11,'Bank Statement'!C5:C62,0)),"")</x:f>
        <x:v>46076</x:v>
      </x:c>
      <x:c r="I11" s="27" t="n">
        <x:f>IFERROR(INDEX('Bank Statement'!E5:E62,MATCH(D11,'Bank Statement'!C5:C62,0)),"")</x:f>
        <x:v>1109000</x:v>
      </x:c>
      <x:c r="J11" s="11" t="str">
        <x:f>IF(G11=0,"Missing Bank Match",IF(G11&gt;1,"Duplicate Bank Match","OK"))</x:f>
        <x:v>OK</x:v>
      </x:c>
      <x:c r="K11" s="11" t="str">
        <x:f>IF(G11=0,"Not Tested",IF(F11=I11,"OK","Amount Mismatch"))</x:f>
        <x:v>OK</x:v>
      </x:c>
      <x:c r="L11" s="11" t="str">
        <x:f>IF(G11=0,"Not Tested",IF(ABS(C11-H11)&lt;=2,"OK","Date Mismatch"))</x:f>
        <x:v>OK</x:v>
      </x:c>
      <x:c r="M11" s="11" t="str">
        <x:f>'Transaction Validation'!Q11</x:f>
        <x:v>Review</x:v>
      </x:c>
      <x:c r="N11" s="11" t="n">
        <x:f>IF(J11&lt;&gt;"OK",1,0)+IF(AND(K11&lt;&gt;"OK",K11&lt;&gt;"Not Tested"),1,0)+IF(AND(L11&lt;&gt;"OK",L11&lt;&gt;"Not Tested"),1,0)+IF(M11&lt;&gt;"Ready",1,0)</x:f>
        <x:v>1</x:v>
      </x:c>
      <x:c r="O11" s="11" t="str">
        <x:f>IF(N11=0,"Ready",IF(OR(M11="High Priority Review",K11="Amount Mismatch"),"High Priority Review","Review"))</x:f>
        <x:v>Review</x:v>
      </x:c>
      <x:c r="P11" s="11" t="str">
        <x:f>IF(M11&lt;&gt;"Ready",'Transaction Validation'!R11,IF(J11="Missing Bank Match","Request bank-reference evidence",IF(K11="Amount Mismatch","Verify amount and post correction only with approval",IF(L11="Date Mismatch","Confirm timing difference in writing","No action required"))))</x:f>
        <x:v>Request supporting document in writing</x:v>
      </x:c>
    </x:row>
    <x:row r="12" ht="24" customHeight="1">
      <x:c r="A12" s="24" t="n">
        <x:f>'Transaction Validation'!A12</x:f>
        <x:v>12</x:v>
      </x:c>
      <x:c r="B12" s="24" t="str">
        <x:f>'Transaction Validation'!B12</x:f>
        <x:v>FIN-0008</x:v>
      </x:c>
      <x:c r="C12" s="26" t="n">
        <x:f>'Transaction Validation'!C12</x:f>
        <x:v>46083</x:v>
      </x:c>
      <x:c r="D12" s="24" t="str">
        <x:f>'Transaction Validation'!D12</x:f>
        <x:v>BNK-03008</x:v>
      </x:c>
      <x:c r="E12" s="24" t="str">
        <x:f>'Transaction Validation'!E12</x:f>
        <x:v>Prima Utilities</x:v>
      </x:c>
      <x:c r="F12" s="28" t="n">
        <x:f>'Transaction Validation'!I12</x:f>
        <x:v>1246000</x:v>
      </x:c>
      <x:c r="G12" s="24" t="n">
        <x:f>COUNTIF('Bank Statement'!C5:C62,D12)</x:f>
        <x:v>1</x:v>
      </x:c>
      <x:c r="H12" s="26" t="n">
        <x:f>IFERROR(INDEX('Bank Statement'!B5:B62,MATCH(D12,'Bank Statement'!C5:C62,0)),"")</x:f>
        <x:v>46087</x:v>
      </x:c>
      <x:c r="I12" s="28" t="n">
        <x:f>IFERROR(INDEX('Bank Statement'!E5:E62,MATCH(D12,'Bank Statement'!C5:C62,0)),"")</x:f>
        <x:v>1246000</x:v>
      </x:c>
      <x:c r="J12" s="24" t="str">
        <x:f>IF(G12=0,"Missing Bank Match",IF(G12&gt;1,"Duplicate Bank Match","OK"))</x:f>
        <x:v>OK</x:v>
      </x:c>
      <x:c r="K12" s="24" t="str">
        <x:f>IF(G12=0,"Not Tested",IF(F12=I12,"OK","Amount Mismatch"))</x:f>
        <x:v>OK</x:v>
      </x:c>
      <x:c r="L12" s="24" t="str">
        <x:f>IF(G12=0,"Not Tested",IF(ABS(C12-H12)&lt;=2,"OK","Date Mismatch"))</x:f>
        <x:v>Date Mismatch</x:v>
      </x:c>
      <x:c r="M12" s="24" t="str">
        <x:f>'Transaction Validation'!Q12</x:f>
        <x:v>Ready</x:v>
      </x:c>
      <x:c r="N12" s="24" t="n">
        <x:f>IF(J12&lt;&gt;"OK",1,0)+IF(AND(K12&lt;&gt;"OK",K12&lt;&gt;"Not Tested"),1,0)+IF(AND(L12&lt;&gt;"OK",L12&lt;&gt;"Not Tested"),1,0)+IF(M12&lt;&gt;"Ready",1,0)</x:f>
        <x:v>1</x:v>
      </x:c>
      <x:c r="O12" s="24" t="str">
        <x:f>IF(N12=0,"Ready",IF(OR(M12="High Priority Review",K12="Amount Mismatch"),"High Priority Review","Review"))</x:f>
        <x:v>Review</x:v>
      </x:c>
      <x:c r="P12" s="24" t="str">
        <x:f>IF(M12&lt;&gt;"Ready",'Transaction Validation'!R12,IF(J12="Missing Bank Match","Request bank-reference evidence",IF(K12="Amount Mismatch","Verify amount and post correction only with approval",IF(L12="Date Mismatch","Confirm timing difference in writing","No action required"))))</x:f>
        <x:v>Confirm timing difference in writing</x:v>
      </x:c>
    </x:row>
    <x:row r="13" ht="24" customHeight="1">
      <x:c r="A13" s="11" t="n">
        <x:f>'Transaction Validation'!A13</x:f>
        <x:v>13</x:v>
      </x:c>
      <x:c r="B13" s="11" t="str">
        <x:f>'Transaction Validation'!B13</x:f>
        <x:v>FIN-0009</x:v>
      </x:c>
      <x:c r="C13" s="25" t="n">
        <x:f>'Transaction Validation'!C13</x:f>
        <x:v>46117</x:v>
      </x:c>
      <x:c r="D13" s="11" t="str">
        <x:f>'Transaction Validation'!D13</x:f>
        <x:v>BNK-03009</x:v>
      </x:c>
      <x:c r="E13" s="11" t="str">
        <x:f>'Transaction Validation'!E13</x:f>
        <x:v>DataSecure Hosting</x:v>
      </x:c>
      <x:c r="F13" s="27" t="n">
        <x:f>'Transaction Validation'!I13</x:f>
        <x:v>1383000</x:v>
      </x:c>
      <x:c r="G13" s="11" t="n">
        <x:f>COUNTIF('Bank Statement'!C5:C62,D13)</x:f>
        <x:v>1</x:v>
      </x:c>
      <x:c r="H13" s="25" t="n">
        <x:f>IFERROR(INDEX('Bank Statement'!B5:B62,MATCH(D13,'Bank Statement'!C5:C62,0)),"")</x:f>
        <x:v>46117</x:v>
      </x:c>
      <x:c r="I13" s="27" t="n">
        <x:f>IFERROR(INDEX('Bank Statement'!E5:E62,MATCH(D13,'Bank Statement'!C5:C62,0)),"")</x:f>
        <x:v>1383000</x:v>
      </x:c>
      <x:c r="J13" s="11" t="str">
        <x:f>IF(G13=0,"Missing Bank Match",IF(G13&gt;1,"Duplicate Bank Match","OK"))</x:f>
        <x:v>OK</x:v>
      </x:c>
      <x:c r="K13" s="11" t="str">
        <x:f>IF(G13=0,"Not Tested",IF(F13=I13,"OK","Amount Mismatch"))</x:f>
        <x:v>OK</x:v>
      </x:c>
      <x:c r="L13" s="11" t="str">
        <x:f>IF(G13=0,"Not Tested",IF(ABS(C13-H13)&lt;=2,"OK","Date Mismatch"))</x:f>
        <x:v>OK</x:v>
      </x:c>
      <x:c r="M13" s="11" t="str">
        <x:f>'Transaction Validation'!Q13</x:f>
        <x:v>Ready</x:v>
      </x:c>
      <x:c r="N13" s="11" t="n">
        <x:f>IF(J13&lt;&gt;"OK",1,0)+IF(AND(K13&lt;&gt;"OK",K13&lt;&gt;"Not Tested"),1,0)+IF(AND(L13&lt;&gt;"OK",L13&lt;&gt;"Not Tested"),1,0)+IF(M13&lt;&gt;"Ready",1,0)</x:f>
        <x:v>0</x:v>
      </x:c>
      <x:c r="O13" s="11" t="str">
        <x:f>IF(N13=0,"Ready",IF(OR(M13="High Priority Review",K13="Amount Mismatch"),"High Priority Review","Review"))</x:f>
        <x:v>Ready</x:v>
      </x:c>
      <x:c r="P13" s="11" t="str">
        <x:f>IF(M13&lt;&gt;"Ready",'Transaction Validation'!R13,IF(J13="Missing Bank Match","Request bank-reference evidence",IF(K13="Amount Mismatch","Verify amount and post correction only with approval",IF(L13="Date Mismatch","Confirm timing difference in writing","No action required"))))</x:f>
        <x:v>No action required</x:v>
      </x:c>
    </x:row>
    <x:row r="14" ht="24" customHeight="1">
      <x:c r="A14" s="24" t="n">
        <x:f>'Transaction Validation'!A14</x:f>
        <x:v>14</x:v>
      </x:c>
      <x:c r="B14" s="24" t="str">
        <x:f>'Transaction Validation'!B14</x:f>
        <x:v>FIN-0010</x:v>
      </x:c>
      <x:c r="C14" s="26" t="n">
        <x:f>'Transaction Validation'!C14</x:f>
        <x:v>46150</x:v>
      </x:c>
      <x:c r="D14" s="24" t="str">
        <x:f>'Transaction Validation'!D14</x:f>
        <x:v>BNK-03010</x:v>
      </x:c>
      <x:c r="E14" s="24" t="str">
        <x:f>'Transaction Validation'!E14</x:f>
        <x:v>Maju Training Center</x:v>
      </x:c>
      <x:c r="F14" s="28" t="n">
        <x:f>'Transaction Validation'!I14</x:f>
        <x:v>1520000</x:v>
      </x:c>
      <x:c r="G14" s="24" t="n">
        <x:f>COUNTIF('Bank Statement'!C5:C62,D14)</x:f>
        <x:v>1</x:v>
      </x:c>
      <x:c r="H14" s="26" t="n">
        <x:f>IFERROR(INDEX('Bank Statement'!B5:B62,MATCH(D14,'Bank Statement'!C5:C62,0)),"")</x:f>
        <x:v>46150</x:v>
      </x:c>
      <x:c r="I14" s="28" t="n">
        <x:f>IFERROR(INDEX('Bank Statement'!E5:E62,MATCH(D14,'Bank Statement'!C5:C62,0)),"")</x:f>
        <x:v>1520000</x:v>
      </x:c>
      <x:c r="J14" s="24" t="str">
        <x:f>IF(G14=0,"Missing Bank Match",IF(G14&gt;1,"Duplicate Bank Match","OK"))</x:f>
        <x:v>OK</x:v>
      </x:c>
      <x:c r="K14" s="24" t="str">
        <x:f>IF(G14=0,"Not Tested",IF(F14=I14,"OK","Amount Mismatch"))</x:f>
        <x:v>OK</x:v>
      </x:c>
      <x:c r="L14" s="24" t="str">
        <x:f>IF(G14=0,"Not Tested",IF(ABS(C14-H14)&lt;=2,"OK","Date Mismatch"))</x:f>
        <x:v>OK</x:v>
      </x:c>
      <x:c r="M14" s="24" t="str">
        <x:f>'Transaction Validation'!Q14</x:f>
        <x:v>Review</x:v>
      </x:c>
      <x:c r="N14" s="24" t="n">
        <x:f>IF(J14&lt;&gt;"OK",1,0)+IF(AND(K14&lt;&gt;"OK",K14&lt;&gt;"Not Tested"),1,0)+IF(AND(L14&lt;&gt;"OK",L14&lt;&gt;"Not Tested"),1,0)+IF(M14&lt;&gt;"Ready",1,0)</x:f>
        <x:v>1</x:v>
      </x:c>
      <x:c r="O14" s="24" t="str">
        <x:f>IF(N14=0,"Ready",IF(OR(M14="High Priority Review",K14="Amount Mismatch"),"High Priority Review","Review"))</x:f>
        <x:v>Review</x:v>
      </x:c>
      <x:c r="P14" s="24" t="str">
        <x:f>IF(M14&lt;&gt;"Ready",'Transaction Validation'!R14,IF(J14="Missing Bank Match","Request bank-reference evidence",IF(K14="Amount Mismatch","Verify amount and post correction only with approval",IF(L14="Date Mismatch","Confirm timing difference in writing","No action required"))))</x:f>
        <x:v>Confirm approved finance category</x:v>
      </x:c>
    </x:row>
    <x:row r="15" ht="24" customHeight="1">
      <x:c r="A15" s="11" t="n">
        <x:f>'Transaction Validation'!A15</x:f>
        <x:v>15</x:v>
      </x:c>
      <x:c r="B15" s="11" t="str">
        <x:f>'Transaction Validation'!B15</x:f>
        <x:v>FIN-0011</x:v>
      </x:c>
      <x:c r="C15" s="25" t="n">
        <x:f>'Transaction Validation'!C15</x:f>
        <x:v>46184</x:v>
      </x:c>
      <x:c r="D15" s="11" t="str">
        <x:f>'Transaction Validation'!D15</x:f>
        <x:v>BNK-03011</x:v>
      </x:c>
      <x:c r="E15" s="11" t="str">
        <x:f>'Transaction Validation'!E15</x:f>
        <x:v>Nusa Office Supply</x:v>
      </x:c>
      <x:c r="F15" s="27" t="n">
        <x:f>'Transaction Validation'!I15</x:f>
        <x:v>1657000</x:v>
      </x:c>
      <x:c r="G15" s="11" t="n">
        <x:f>COUNTIF('Bank Statement'!C5:C62,D15)</x:f>
        <x:v>1</x:v>
      </x:c>
      <x:c r="H15" s="25" t="n">
        <x:f>IFERROR(INDEX('Bank Statement'!B5:B62,MATCH(D15,'Bank Statement'!C5:C62,0)),"")</x:f>
        <x:v>46184</x:v>
      </x:c>
      <x:c r="I15" s="27" t="n">
        <x:f>IFERROR(INDEX('Bank Statement'!E5:E62,MATCH(D15,'Bank Statement'!C5:C62,0)),"")</x:f>
        <x:v>1657000</x:v>
      </x:c>
      <x:c r="J15" s="11" t="str">
        <x:f>IF(G15=0,"Missing Bank Match",IF(G15&gt;1,"Duplicate Bank Match","OK"))</x:f>
        <x:v>OK</x:v>
      </x:c>
      <x:c r="K15" s="11" t="str">
        <x:f>IF(G15=0,"Not Tested",IF(F15=I15,"OK","Amount Mismatch"))</x:f>
        <x:v>OK</x:v>
      </x:c>
      <x:c r="L15" s="11" t="str">
        <x:f>IF(G15=0,"Not Tested",IF(ABS(C15-H15)&lt;=2,"OK","Date Mismatch"))</x:f>
        <x:v>OK</x:v>
      </x:c>
      <x:c r="M15" s="11" t="str">
        <x:f>'Transaction Validation'!Q15</x:f>
        <x:v>Ready</x:v>
      </x:c>
      <x:c r="N15" s="11" t="n">
        <x:f>IF(J15&lt;&gt;"OK",1,0)+IF(AND(K15&lt;&gt;"OK",K15&lt;&gt;"Not Tested"),1,0)+IF(AND(L15&lt;&gt;"OK",L15&lt;&gt;"Not Tested"),1,0)+IF(M15&lt;&gt;"Ready",1,0)</x:f>
        <x:v>0</x:v>
      </x:c>
      <x:c r="O15" s="11" t="str">
        <x:f>IF(N15=0,"Ready",IF(OR(M15="High Priority Review",K15="Amount Mismatch"),"High Priority Review","Review"))</x:f>
        <x:v>Ready</x:v>
      </x:c>
      <x:c r="P15" s="11" t="str">
        <x:f>IF(M15&lt;&gt;"Ready",'Transaction Validation'!R15,IF(J15="Missing Bank Match","Request bank-reference evidence",IF(K15="Amount Mismatch","Verify amount and post correction only with approval",IF(L15="Date Mismatch","Confirm timing difference in writing","No action required"))))</x:f>
        <x:v>No action required</x:v>
      </x:c>
    </x:row>
    <x:row r="16" ht="24" customHeight="1">
      <x:c r="A16" s="24" t="n">
        <x:f>'Transaction Validation'!A16</x:f>
        <x:v>16</x:v>
      </x:c>
      <x:c r="B16" s="24" t="str">
        <x:f>'Transaction Validation'!B16</x:f>
        <x:v>FIN-0012</x:v>
      </x:c>
      <x:c r="C16" s="26" t="n">
        <x:f>'Transaction Validation'!C16</x:f>
        <x:v>46036</x:v>
      </x:c>
      <x:c r="D16" s="24" t="str">
        <x:f>'Transaction Validation'!D16</x:f>
        <x:v>BNK-03012</x:v>
      </x:c>
      <x:c r="E16" s="24" t="str">
        <x:f>'Transaction Validation'!E16</x:f>
        <x:v>CloudDesk Software</x:v>
      </x:c>
      <x:c r="F16" s="28" t="n">
        <x:f>'Transaction Validation'!I16</x:f>
        <x:v>1794000</x:v>
      </x:c>
      <x:c r="G16" s="24" t="n">
        <x:f>COUNTIF('Bank Statement'!C5:C62,D16)</x:f>
        <x:v>1</x:v>
      </x:c>
      <x:c r="H16" s="26" t="n">
        <x:f>IFERROR(INDEX('Bank Statement'!B5:B62,MATCH(D16,'Bank Statement'!C5:C62,0)),"")</x:f>
        <x:v>46036</x:v>
      </x:c>
      <x:c r="I16" s="28" t="n">
        <x:f>IFERROR(INDEX('Bank Statement'!E5:E62,MATCH(D16,'Bank Statement'!C5:C62,0)),"")</x:f>
        <x:v>1794000</x:v>
      </x:c>
      <x:c r="J16" s="24" t="str">
        <x:f>IF(G16=0,"Missing Bank Match",IF(G16&gt;1,"Duplicate Bank Match","OK"))</x:f>
        <x:v>OK</x:v>
      </x:c>
      <x:c r="K16" s="24" t="str">
        <x:f>IF(G16=0,"Not Tested",IF(F16=I16,"OK","Amount Mismatch"))</x:f>
        <x:v>OK</x:v>
      </x:c>
      <x:c r="L16" s="24" t="str">
        <x:f>IF(G16=0,"Not Tested",IF(ABS(C16-H16)&lt;=2,"OK","Date Mismatch"))</x:f>
        <x:v>OK</x:v>
      </x:c>
      <x:c r="M16" s="24" t="str">
        <x:f>'Transaction Validation'!Q16</x:f>
        <x:v>High Priority Review</x:v>
      </x:c>
      <x:c r="N16" s="24" t="n">
        <x:f>IF(J16&lt;&gt;"OK",1,0)+IF(AND(K16&lt;&gt;"OK",K16&lt;&gt;"Not Tested"),1,0)+IF(AND(L16&lt;&gt;"OK",L16&lt;&gt;"Not Tested"),1,0)+IF(M16&lt;&gt;"Ready",1,0)</x:f>
        <x:v>1</x:v>
      </x:c>
      <x:c r="O16" s="24" t="str">
        <x:f>IF(N16=0,"Ready",IF(OR(M16="High Priority Review",K16="Amount Mismatch"),"High Priority Review","Review"))</x:f>
        <x:v>High Priority Review</x:v>
      </x:c>
      <x:c r="P16" s="24" t="str">
        <x:f>IF(M16&lt;&gt;"Ready",'Transaction Validation'!R16,IF(J16="Missing Bank Match","Request bank-reference evidence",IF(K16="Amount Mismatch","Verify amount and post correction only with approval",IF(L16="Date Mismatch","Confirm timing difference in writing","No action required"))))</x:f>
        <x:v>Compare duplicate transaction records</x:v>
      </x:c>
    </x:row>
    <x:row r="17" ht="24" customHeight="1">
      <x:c r="A17" s="11" t="n">
        <x:f>'Transaction Validation'!A17</x:f>
        <x:v>17</x:v>
      </x:c>
      <x:c r="B17" s="11" t="str">
        <x:f>'Transaction Validation'!B17</x:f>
        <x:v>FIN-0012</x:v>
      </x:c>
      <x:c r="C17" s="25" t="n">
        <x:f>'Transaction Validation'!C17</x:f>
        <x:v>46070</x:v>
      </x:c>
      <x:c r="D17" s="11" t="str">
        <x:f>'Transaction Validation'!D17</x:f>
        <x:v>BNK-03013</x:v>
      </x:c>
      <x:c r="E17" s="11" t="str">
        <x:f>'Transaction Validation'!E17</x:f>
        <x:v>Metro Courier</x:v>
      </x:c>
      <x:c r="F17" s="27" t="n">
        <x:f>'Transaction Validation'!I17</x:f>
        <x:v>1931000</x:v>
      </x:c>
      <x:c r="G17" s="11" t="n">
        <x:f>COUNTIF('Bank Statement'!C5:C62,D17)</x:f>
        <x:v>1</x:v>
      </x:c>
      <x:c r="H17" s="25" t="n">
        <x:f>IFERROR(INDEX('Bank Statement'!B5:B62,MATCH(D17,'Bank Statement'!C5:C62,0)),"")</x:f>
        <x:v>46070</x:v>
      </x:c>
      <x:c r="I17" s="27" t="n">
        <x:f>IFERROR(INDEX('Bank Statement'!E5:E62,MATCH(D17,'Bank Statement'!C5:C62,0)),"")</x:f>
        <x:v>1931000</x:v>
      </x:c>
      <x:c r="J17" s="11" t="str">
        <x:f>IF(G17=0,"Missing Bank Match",IF(G17&gt;1,"Duplicate Bank Match","OK"))</x:f>
        <x:v>OK</x:v>
      </x:c>
      <x:c r="K17" s="11" t="str">
        <x:f>IF(G17=0,"Not Tested",IF(F17=I17,"OK","Amount Mismatch"))</x:f>
        <x:v>OK</x:v>
      </x:c>
      <x:c r="L17" s="11" t="str">
        <x:f>IF(G17=0,"Not Tested",IF(ABS(C17-H17)&lt;=2,"OK","Date Mismatch"))</x:f>
        <x:v>OK</x:v>
      </x:c>
      <x:c r="M17" s="11" t="str">
        <x:f>'Transaction Validation'!Q17</x:f>
        <x:v>High Priority Review</x:v>
      </x:c>
      <x:c r="N17" s="11" t="n">
        <x:f>IF(J17&lt;&gt;"OK",1,0)+IF(AND(K17&lt;&gt;"OK",K17&lt;&gt;"Not Tested"),1,0)+IF(AND(L17&lt;&gt;"OK",L17&lt;&gt;"Not Tested"),1,0)+IF(M17&lt;&gt;"Ready",1,0)</x:f>
        <x:v>1</x:v>
      </x:c>
      <x:c r="O17" s="11" t="str">
        <x:f>IF(N17=0,"Ready",IF(OR(M17="High Priority Review",K17="Amount Mismatch"),"High Priority Review","Review"))</x:f>
        <x:v>High Priority Review</x:v>
      </x:c>
      <x:c r="P17" s="11" t="str">
        <x:f>IF(M17&lt;&gt;"Ready",'Transaction Validation'!R17,IF(J17="Missing Bank Match","Request bank-reference evidence",IF(K17="Amount Mismatch","Verify amount and post correction only with approval",IF(L17="Date Mismatch","Confirm timing difference in writing","No action required"))))</x:f>
        <x:v>Compare duplicate transaction records</x:v>
      </x:c>
    </x:row>
    <x:row r="18" ht="24" customHeight="1">
      <x:c r="A18" s="24" t="n">
        <x:f>'Transaction Validation'!A18</x:f>
        <x:v>18</x:v>
      </x:c>
      <x:c r="B18" s="24" t="str">
        <x:f>'Transaction Validation'!B18</x:f>
        <x:v>FIN-0014</x:v>
      </x:c>
      <x:c r="C18" s="26" t="n">
        <x:f>'Transaction Validation'!C18</x:f>
        <x:v>46101</x:v>
      </x:c>
      <x:c r="D18" s="24" t="str">
        <x:f>'Transaction Validation'!D18</x:f>
        <x:v>BNK-03014</x:v>
      </x:c>
      <x:c r="E18" s="24" t="str">
        <x:f>'Transaction Validation'!E18</x:f>
        <x:v>Bright Clean Services</x:v>
      </x:c>
      <x:c r="F18" s="28" t="n">
        <x:f>'Transaction Validation'!I18</x:f>
        <x:v>2068000</x:v>
      </x:c>
      <x:c r="G18" s="24" t="n">
        <x:f>COUNTIF('Bank Statement'!C5:C62,D18)</x:f>
        <x:v>1</x:v>
      </x:c>
      <x:c r="H18" s="26" t="n">
        <x:f>IFERROR(INDEX('Bank Statement'!B5:B62,MATCH(D18,'Bank Statement'!C5:C62,0)),"")</x:f>
        <x:v>46101</x:v>
      </x:c>
      <x:c r="I18" s="28" t="n">
        <x:f>IFERROR(INDEX('Bank Statement'!E5:E62,MATCH(D18,'Bank Statement'!C5:C62,0)),"")</x:f>
        <x:v>2068000</x:v>
      </x:c>
      <x:c r="J18" s="24" t="str">
        <x:f>IF(G18=0,"Missing Bank Match",IF(G18&gt;1,"Duplicate Bank Match","OK"))</x:f>
        <x:v>OK</x:v>
      </x:c>
      <x:c r="K18" s="24" t="str">
        <x:f>IF(G18=0,"Not Tested",IF(F18=I18,"OK","Amount Mismatch"))</x:f>
        <x:v>OK</x:v>
      </x:c>
      <x:c r="L18" s="24" t="str">
        <x:f>IF(G18=0,"Not Tested",IF(ABS(C18-H18)&lt;=2,"OK","Date Mismatch"))</x:f>
        <x:v>OK</x:v>
      </x:c>
      <x:c r="M18" s="24" t="str">
        <x:f>'Transaction Validation'!Q18</x:f>
        <x:v>Ready</x:v>
      </x:c>
      <x:c r="N18" s="24" t="n">
        <x:f>IF(J18&lt;&gt;"OK",1,0)+IF(AND(K18&lt;&gt;"OK",K18&lt;&gt;"Not Tested"),1,0)+IF(AND(L18&lt;&gt;"OK",L18&lt;&gt;"Not Tested"),1,0)+IF(M18&lt;&gt;"Ready",1,0)</x:f>
        <x:v>0</x:v>
      </x:c>
      <x:c r="O18" s="24" t="str">
        <x:f>IF(N18=0,"Ready",IF(OR(M18="High Priority Review",K18="Amount Mismatch"),"High Priority Review","Review"))</x:f>
        <x:v>Ready</x:v>
      </x:c>
      <x:c r="P18" s="24" t="str">
        <x:f>IF(M18&lt;&gt;"Ready",'Transaction Validation'!R18,IF(J18="Missing Bank Match","Request bank-reference evidence",IF(K18="Amount Mismatch","Verify amount and post correction only with approval",IF(L18="Date Mismatch","Confirm timing difference in writing","No action required"))))</x:f>
        <x:v>No action required</x:v>
      </x:c>
    </x:row>
    <x:row r="19" ht="24" customHeight="1">
      <x:c r="A19" s="11" t="n">
        <x:f>'Transaction Validation'!A19</x:f>
        <x:v>19</x:v>
      </x:c>
      <x:c r="B19" s="11" t="str">
        <x:f>'Transaction Validation'!B19</x:f>
        <x:v>FIN-0015</x:v>
      </x:c>
      <x:c r="C19" s="25" t="n">
        <x:f>'Transaction Validation'!C19</x:f>
        <x:v>46135</x:v>
      </x:c>
      <x:c r="D19" s="11" t="str">
        <x:f>'Transaction Validation'!D19</x:f>
        <x:v>BNK-03015</x:v>
      </x:c>
      <x:c r="E19" s="11" t="str">
        <x:f>'Transaction Validation'!E19</x:f>
        <x:v>Sinar Telecom</x:v>
      </x:c>
      <x:c r="F19" s="27" t="n">
        <x:f>'Transaction Validation'!I19</x:f>
        <x:v>2205000</x:v>
      </x:c>
      <x:c r="G19" s="11" t="n">
        <x:f>COUNTIF('Bank Statement'!C5:C62,D19)</x:f>
        <x:v>1</x:v>
      </x:c>
      <x:c r="H19" s="25" t="n">
        <x:f>IFERROR(INDEX('Bank Statement'!B5:B62,MATCH(D19,'Bank Statement'!C5:C62,0)),"")</x:f>
        <x:v>46135</x:v>
      </x:c>
      <x:c r="I19" s="27" t="n">
        <x:f>IFERROR(INDEX('Bank Statement'!E5:E62,MATCH(D19,'Bank Statement'!C5:C62,0)),"")</x:f>
        <x:v>2205000</x:v>
      </x:c>
      <x:c r="J19" s="11" t="str">
        <x:f>IF(G19=0,"Missing Bank Match",IF(G19&gt;1,"Duplicate Bank Match","OK"))</x:f>
        <x:v>OK</x:v>
      </x:c>
      <x:c r="K19" s="11" t="str">
        <x:f>IF(G19=0,"Not Tested",IF(F19=I19,"OK","Amount Mismatch"))</x:f>
        <x:v>OK</x:v>
      </x:c>
      <x:c r="L19" s="11" t="str">
        <x:f>IF(G19=0,"Not Tested",IF(ABS(C19-H19)&lt;=2,"OK","Date Mismatch"))</x:f>
        <x:v>OK</x:v>
      </x:c>
      <x:c r="M19" s="11" t="str">
        <x:f>'Transaction Validation'!Q19</x:f>
        <x:v>Ready</x:v>
      </x:c>
      <x:c r="N19" s="11" t="n">
        <x:f>IF(J19&lt;&gt;"OK",1,0)+IF(AND(K19&lt;&gt;"OK",K19&lt;&gt;"Not Tested"),1,0)+IF(AND(L19&lt;&gt;"OK",L19&lt;&gt;"Not Tested"),1,0)+IF(M19&lt;&gt;"Ready",1,0)</x:f>
        <x:v>0</x:v>
      </x:c>
      <x:c r="O19" s="11" t="str">
        <x:f>IF(N19=0,"Ready",IF(OR(M19="High Priority Review",K19="Amount Mismatch"),"High Priority Review","Review"))</x:f>
        <x:v>Ready</x:v>
      </x:c>
      <x:c r="P19" s="11" t="str">
        <x:f>IF(M19&lt;&gt;"Ready",'Transaction Validation'!R19,IF(J19="Missing Bank Match","Request bank-reference evidence",IF(K19="Amount Mismatch","Verify amount and post correction only with approval",IF(L19="Date Mismatch","Confirm timing difference in writing","No action required"))))</x:f>
        <x:v>No action required</x:v>
      </x:c>
    </x:row>
    <x:row r="20" ht="24" customHeight="1">
      <x:c r="A20" s="24" t="n">
        <x:f>'Transaction Validation'!A20</x:f>
        <x:v>20</x:v>
      </x:c>
      <x:c r="B20" s="24" t="str">
        <x:f>'Transaction Validation'!B20</x:f>
        <x:v>FIN-0016</x:v>
      </x:c>
      <x:c r="C20" s="26" t="n">
        <x:f>'Transaction Validation'!C20</x:f>
        <x:v>46144</x:v>
      </x:c>
      <x:c r="D20" s="24" t="str">
        <x:f>'Transaction Validation'!D20</x:f>
        <x:v>BNK-03016</x:v>
      </x:c>
      <x:c r="E20" s="24" t="str">
        <x:f>'Transaction Validation'!E20</x:f>
        <x:v>Karya Printing</x:v>
      </x:c>
      <x:c r="F20" s="28" t="n">
        <x:f>'Transaction Validation'!I20</x:f>
        <x:v>2342000</x:v>
      </x:c>
      <x:c r="G20" s="24" t="n">
        <x:f>COUNTIF('Bank Statement'!C5:C62,D20)</x:f>
        <x:v>1</x:v>
      </x:c>
      <x:c r="H20" s="26" t="n">
        <x:f>IFERROR(INDEX('Bank Statement'!B5:B62,MATCH(D20,'Bank Statement'!C5:C62,0)),"")</x:f>
        <x:v>46144</x:v>
      </x:c>
      <x:c r="I20" s="28" t="n">
        <x:f>IFERROR(INDEX('Bank Statement'!E5:E62,MATCH(D20,'Bank Statement'!C5:C62,0)),"")</x:f>
        <x:v>2342000</x:v>
      </x:c>
      <x:c r="J20" s="24" t="str">
        <x:f>IF(G20=0,"Missing Bank Match",IF(G20&gt;1,"Duplicate Bank Match","OK"))</x:f>
        <x:v>OK</x:v>
      </x:c>
      <x:c r="K20" s="24" t="str">
        <x:f>IF(G20=0,"Not Tested",IF(F20=I20,"OK","Amount Mismatch"))</x:f>
        <x:v>OK</x:v>
      </x:c>
      <x:c r="L20" s="24" t="str">
        <x:f>IF(G20=0,"Not Tested",IF(ABS(C20-H20)&lt;=2,"OK","Date Mismatch"))</x:f>
        <x:v>OK</x:v>
      </x:c>
      <x:c r="M20" s="24" t="str">
        <x:f>'Transaction Validation'!Q20</x:f>
        <x:v>Ready</x:v>
      </x:c>
      <x:c r="N20" s="24" t="n">
        <x:f>IF(J20&lt;&gt;"OK",1,0)+IF(AND(K20&lt;&gt;"OK",K20&lt;&gt;"Not Tested"),1,0)+IF(AND(L20&lt;&gt;"OK",L20&lt;&gt;"Not Tested"),1,0)+IF(M20&lt;&gt;"Ready",1,0)</x:f>
        <x:v>0</x:v>
      </x:c>
      <x:c r="O20" s="24" t="str">
        <x:f>IF(N20=0,"Ready",IF(OR(M20="High Priority Review",K20="Amount Mismatch"),"High Priority Review","Review"))</x:f>
        <x:v>Ready</x:v>
      </x:c>
      <x:c r="P20" s="24" t="str">
        <x:f>IF(M20&lt;&gt;"Ready",'Transaction Validation'!R20,IF(J20="Missing Bank Match","Request bank-reference evidence",IF(K20="Amount Mismatch","Verify amount and post correction only with approval",IF(L20="Date Mismatch","Confirm timing difference in writing","No action required"))))</x:f>
        <x:v>No action required</x:v>
      </x:c>
    </x:row>
    <x:row r="21" ht="24" customHeight="1">
      <x:c r="A21" s="11" t="n">
        <x:f>'Transaction Validation'!A21</x:f>
        <x:v>21</x:v>
      </x:c>
      <x:c r="B21" s="11" t="str">
        <x:f>'Transaction Validation'!B21</x:f>
        <x:v>FIN-0017</x:v>
      </x:c>
      <x:c r="C21" s="25" t="n">
        <x:f>'Transaction Validation'!C21</x:f>
        <x:v>46178</x:v>
      </x:c>
      <x:c r="D21" s="11" t="str">
        <x:f>'Transaction Validation'!D21</x:f>
        <x:v>BNK-03017</x:v>
      </x:c>
      <x:c r="E21" s="11" t="str">
        <x:f>'Transaction Validation'!E21</x:f>
        <x:v>Archipelago Travel</x:v>
      </x:c>
      <x:c r="F21" s="27" t="n">
        <x:f>'Transaction Validation'!I21</x:f>
        <x:v>2479000</x:v>
      </x:c>
      <x:c r="G21" s="11" t="n">
        <x:f>COUNTIF('Bank Statement'!C5:C62,D21)</x:f>
        <x:v>1</x:v>
      </x:c>
      <x:c r="H21" s="25" t="n">
        <x:f>IFERROR(INDEX('Bank Statement'!B5:B62,MATCH(D21,'Bank Statement'!C5:C62,0)),"")</x:f>
        <x:v>46178</x:v>
      </x:c>
      <x:c r="I21" s="27" t="n">
        <x:f>IFERROR(INDEX('Bank Statement'!E5:E62,MATCH(D21,'Bank Statement'!C5:C62,0)),"")</x:f>
        <x:v>2554000</x:v>
      </x:c>
      <x:c r="J21" s="11" t="str">
        <x:f>IF(G21=0,"Missing Bank Match",IF(G21&gt;1,"Duplicate Bank Match","OK"))</x:f>
        <x:v>OK</x:v>
      </x:c>
      <x:c r="K21" s="11" t="str">
        <x:f>IF(G21=0,"Not Tested",IF(F21=I21,"OK","Amount Mismatch"))</x:f>
        <x:v>Amount Mismatch</x:v>
      </x:c>
      <x:c r="L21" s="11" t="str">
        <x:f>IF(G21=0,"Not Tested",IF(ABS(C21-H21)&lt;=2,"OK","Date Mismatch"))</x:f>
        <x:v>OK</x:v>
      </x:c>
      <x:c r="M21" s="11" t="str">
        <x:f>'Transaction Validation'!Q21</x:f>
        <x:v>Ready</x:v>
      </x:c>
      <x:c r="N21" s="11" t="n">
        <x:f>IF(J21&lt;&gt;"OK",1,0)+IF(AND(K21&lt;&gt;"OK",K21&lt;&gt;"Not Tested"),1,0)+IF(AND(L21&lt;&gt;"OK",L21&lt;&gt;"Not Tested"),1,0)+IF(M21&lt;&gt;"Ready",1,0)</x:f>
        <x:v>1</x:v>
      </x:c>
      <x:c r="O21" s="11" t="str">
        <x:f>IF(N21=0,"Ready",IF(OR(M21="High Priority Review",K21="Amount Mismatch"),"High Priority Review","Review"))</x:f>
        <x:v>High Priority Review</x:v>
      </x:c>
      <x:c r="P21" s="11" t="str">
        <x:f>IF(M21&lt;&gt;"Ready",'Transaction Validation'!R21,IF(J21="Missing Bank Match","Request bank-reference evidence",IF(K21="Amount Mismatch","Verify amount and post correction only with approval",IF(L21="Date Mismatch","Confirm timing difference in writing","No action required"))))</x:f>
        <x:v>Verify amount and post correction only with approval</x:v>
      </x:c>
    </x:row>
    <x:row r="22" ht="24" customHeight="1">
      <x:c r="A22" s="24" t="n">
        <x:f>'Transaction Validation'!A22</x:f>
        <x:v>22</x:v>
      </x:c>
      <x:c r="B22" s="24" t="str">
        <x:f>'Transaction Validation'!B22</x:f>
        <x:v>FIN-0018</x:v>
      </x:c>
      <x:c r="C22" s="26" t="n">
        <x:f>'Transaction Validation'!C22</x:f>
        <x:v>46030</x:v>
      </x:c>
      <x:c r="D22" s="24" t="str">
        <x:f>'Transaction Validation'!D22</x:f>
        <x:v>BNK-03018</x:v>
      </x:c>
      <x:c r="E22" s="24" t="str">
        <x:f>'Transaction Validation'!E22</x:f>
        <x:v>Prima Utilities</x:v>
      </x:c>
      <x:c r="F22" s="28" t="n">
        <x:f>'Transaction Validation'!I22</x:f>
        <x:v>2616000</x:v>
      </x:c>
      <x:c r="G22" s="24" t="n">
        <x:f>COUNTIF('Bank Statement'!C5:C62,D22)</x:f>
        <x:v>1</x:v>
      </x:c>
      <x:c r="H22" s="26" t="n">
        <x:f>IFERROR(INDEX('Bank Statement'!B5:B62,MATCH(D22,'Bank Statement'!C5:C62,0)),"")</x:f>
        <x:v>46030</x:v>
      </x:c>
      <x:c r="I22" s="28" t="n">
        <x:f>IFERROR(INDEX('Bank Statement'!E5:E62,MATCH(D22,'Bank Statement'!C5:C62,0)),"")</x:f>
        <x:v>2616000</x:v>
      </x:c>
      <x:c r="J22" s="24" t="str">
        <x:f>IF(G22=0,"Missing Bank Match",IF(G22&gt;1,"Duplicate Bank Match","OK"))</x:f>
        <x:v>OK</x:v>
      </x:c>
      <x:c r="K22" s="24" t="str">
        <x:f>IF(G22=0,"Not Tested",IF(F22=I22,"OK","Amount Mismatch"))</x:f>
        <x:v>OK</x:v>
      </x:c>
      <x:c r="L22" s="24" t="str">
        <x:f>IF(G22=0,"Not Tested",IF(ABS(C22-H22)&lt;=2,"OK","Date Mismatch"))</x:f>
        <x:v>OK</x:v>
      </x:c>
      <x:c r="M22" s="24" t="str">
        <x:f>'Transaction Validation'!Q22</x:f>
        <x:v>Review</x:v>
      </x:c>
      <x:c r="N22" s="24" t="n">
        <x:f>IF(J22&lt;&gt;"OK",1,0)+IF(AND(K22&lt;&gt;"OK",K22&lt;&gt;"Not Tested"),1,0)+IF(AND(L22&lt;&gt;"OK",L22&lt;&gt;"Not Tested"),1,0)+IF(M22&lt;&gt;"Ready",1,0)</x:f>
        <x:v>1</x:v>
      </x:c>
      <x:c r="O22" s="24" t="str">
        <x:f>IF(N22=0,"Ready",IF(OR(M22="High Priority Review",K22="Amount Mismatch"),"High Priority Review","Review"))</x:f>
        <x:v>Review</x:v>
      </x:c>
      <x:c r="P22" s="24" t="str">
        <x:f>IF(M22&lt;&gt;"Ready",'Transaction Validation'!R22,IF(J22="Missing Bank Match","Request bank-reference evidence",IF(K22="Amount Mismatch","Verify amount and post correction only with approval",IF(L22="Date Mismatch","Confirm timing difference in writing","No action required"))))</x:f>
        <x:v>Request supporting document in writing</x:v>
      </x:c>
    </x:row>
    <x:row r="23" ht="24" customHeight="1">
      <x:c r="A23" s="11" t="n">
        <x:f>'Transaction Validation'!A23</x:f>
        <x:v>23</x:v>
      </x:c>
      <x:c r="B23" s="11" t="str">
        <x:f>'Transaction Validation'!B23</x:f>
        <x:v>FIN-0019</x:v>
      </x:c>
      <x:c r="C23" s="25" t="n">
        <x:f>'Transaction Validation'!C23</x:f>
        <x:v>46064</x:v>
      </x:c>
      <x:c r="D23" s="11" t="str">
        <x:f>'Transaction Validation'!D23</x:f>
        <x:v>BNK-03019</x:v>
      </x:c>
      <x:c r="E23" s="11" t="str">
        <x:f>'Transaction Validation'!E23</x:f>
        <x:v>DataSecure Hosting</x:v>
      </x:c>
      <x:c r="F23" s="27" t="n">
        <x:f>'Transaction Validation'!I23</x:f>
        <x:v>2753000</x:v>
      </x:c>
      <x:c r="G23" s="11" t="n">
        <x:f>COUNTIF('Bank Statement'!C5:C62,D23)</x:f>
        <x:v>1</x:v>
      </x:c>
      <x:c r="H23" s="25" t="n">
        <x:f>IFERROR(INDEX('Bank Statement'!B5:B62,MATCH(D23,'Bank Statement'!C5:C62,0)),"")</x:f>
        <x:v>46064</x:v>
      </x:c>
      <x:c r="I23" s="27" t="n">
        <x:f>IFERROR(INDEX('Bank Statement'!E5:E62,MATCH(D23,'Bank Statement'!C5:C62,0)),"")</x:f>
        <x:v>2753000</x:v>
      </x:c>
      <x:c r="J23" s="11" t="str">
        <x:f>IF(G23=0,"Missing Bank Match",IF(G23&gt;1,"Duplicate Bank Match","OK"))</x:f>
        <x:v>OK</x:v>
      </x:c>
      <x:c r="K23" s="11" t="str">
        <x:f>IF(G23=0,"Not Tested",IF(F23=I23,"OK","Amount Mismatch"))</x:f>
        <x:v>OK</x:v>
      </x:c>
      <x:c r="L23" s="11" t="str">
        <x:f>IF(G23=0,"Not Tested",IF(ABS(C23-H23)&lt;=2,"OK","Date Mismatch"))</x:f>
        <x:v>OK</x:v>
      </x:c>
      <x:c r="M23" s="11" t="str">
        <x:f>'Transaction Validation'!Q23</x:f>
        <x:v>Ready</x:v>
      </x:c>
      <x:c r="N23" s="11" t="n">
        <x:f>IF(J23&lt;&gt;"OK",1,0)+IF(AND(K23&lt;&gt;"OK",K23&lt;&gt;"Not Tested"),1,0)+IF(AND(L23&lt;&gt;"OK",L23&lt;&gt;"Not Tested"),1,0)+IF(M23&lt;&gt;"Ready",1,0)</x:f>
        <x:v>0</x:v>
      </x:c>
      <x:c r="O23" s="11" t="str">
        <x:f>IF(N23=0,"Ready",IF(OR(M23="High Priority Review",K23="Amount Mismatch"),"High Priority Review","Review"))</x:f>
        <x:v>Ready</x:v>
      </x:c>
      <x:c r="P23" s="11" t="str">
        <x:f>IF(M23&lt;&gt;"Ready",'Transaction Validation'!R23,IF(J23="Missing Bank Match","Request bank-reference evidence",IF(K23="Amount Mismatch","Verify amount and post correction only with approval",IF(L23="Date Mismatch","Confirm timing difference in writing","No action required"))))</x:f>
        <x:v>No action required</x:v>
      </x:c>
    </x:row>
    <x:row r="24" ht="24" customHeight="1">
      <x:c r="A24" s="24" t="n">
        <x:f>'Transaction Validation'!A24</x:f>
        <x:v>24</x:v>
      </x:c>
      <x:c r="B24" s="24" t="str">
        <x:f>'Transaction Validation'!B24</x:f>
        <x:v>FIN-0020</x:v>
      </x:c>
      <x:c r="C24" s="26" t="n">
        <x:f>'Transaction Validation'!C24</x:f>
        <x:v>46095</x:v>
      </x:c>
      <x:c r="D24" s="24" t="str">
        <x:f>'Transaction Validation'!D24</x:f>
        <x:v>BNK-03020</x:v>
      </x:c>
      <x:c r="E24" s="24" t="str">
        <x:f>'Transaction Validation'!E24</x:f>
        <x:v>Maju Training Center</x:v>
      </x:c>
      <x:c r="F24" s="28" t="n">
        <x:f>'Transaction Validation'!I24</x:f>
        <x:v>2890000</x:v>
      </x:c>
      <x:c r="G24" s="24" t="n">
        <x:f>COUNTIF('Bank Statement'!C5:C62,D24)</x:f>
        <x:v>1</x:v>
      </x:c>
      <x:c r="H24" s="26" t="n">
        <x:f>IFERROR(INDEX('Bank Statement'!B5:B62,MATCH(D24,'Bank Statement'!C5:C62,0)),"")</x:f>
        <x:v>46095</x:v>
      </x:c>
      <x:c r="I24" s="28" t="n">
        <x:f>IFERROR(INDEX('Bank Statement'!E5:E62,MATCH(D24,'Bank Statement'!C5:C62,0)),"")</x:f>
        <x:v>2890000</x:v>
      </x:c>
      <x:c r="J24" s="24" t="str">
        <x:f>IF(G24=0,"Missing Bank Match",IF(G24&gt;1,"Duplicate Bank Match","OK"))</x:f>
        <x:v>OK</x:v>
      </x:c>
      <x:c r="K24" s="24" t="str">
        <x:f>IF(G24=0,"Not Tested",IF(F24=I24,"OK","Amount Mismatch"))</x:f>
        <x:v>OK</x:v>
      </x:c>
      <x:c r="L24" s="24" t="str">
        <x:f>IF(G24=0,"Not Tested",IF(ABS(C24-H24)&lt;=2,"OK","Date Mismatch"))</x:f>
        <x:v>OK</x:v>
      </x:c>
      <x:c r="M24" s="24" t="str">
        <x:f>'Transaction Validation'!Q24</x:f>
        <x:v>Ready</x:v>
      </x:c>
      <x:c r="N24" s="24" t="n">
        <x:f>IF(J24&lt;&gt;"OK",1,0)+IF(AND(K24&lt;&gt;"OK",K24&lt;&gt;"Not Tested"),1,0)+IF(AND(L24&lt;&gt;"OK",L24&lt;&gt;"Not Tested"),1,0)+IF(M24&lt;&gt;"Ready",1,0)</x:f>
        <x:v>0</x:v>
      </x:c>
      <x:c r="O24" s="24" t="str">
        <x:f>IF(N24=0,"Ready",IF(OR(M24="High Priority Review",K24="Amount Mismatch"),"High Priority Review","Review"))</x:f>
        <x:v>Ready</x:v>
      </x:c>
      <x:c r="P24" s="24" t="str">
        <x:f>IF(M24&lt;&gt;"Ready",'Transaction Validation'!R24,IF(J24="Missing Bank Match","Request bank-reference evidence",IF(K24="Amount Mismatch","Verify amount and post correction only with approval",IF(L24="Date Mismatch","Confirm timing difference in writing","No action required"))))</x:f>
        <x:v>No action required</x:v>
      </x:c>
    </x:row>
    <x:row r="25" ht="24" customHeight="1">
      <x:c r="A25" s="11" t="n">
        <x:f>'Transaction Validation'!A25</x:f>
        <x:v>25</x:v>
      </x:c>
      <x:c r="B25" s="11" t="str">
        <x:f>'Transaction Validation'!B25</x:f>
        <x:v>FIN-0021</x:v>
      </x:c>
      <x:c r="C25" s="25" t="n">
        <x:f>'Transaction Validation'!C25</x:f>
        <x:v>46129</x:v>
      </x:c>
      <x:c r="D25" s="11" t="str">
        <x:f>'Transaction Validation'!D25</x:f>
        <x:v>BNK-03021</x:v>
      </x:c>
      <x:c r="E25" s="11" t="str">
        <x:f>'Transaction Validation'!E25</x:f>
        <x:v>Nusa Office Supply</x:v>
      </x:c>
      <x:c r="F25" s="27" t="n">
        <x:f>'Transaction Validation'!I25</x:f>
        <x:v>0</x:v>
      </x:c>
      <x:c r="G25" s="11" t="n">
        <x:f>COUNTIF('Bank Statement'!C5:C62,D25)</x:f>
        <x:v>1</x:v>
      </x:c>
      <x:c r="H25" s="25" t="n">
        <x:f>IFERROR(INDEX('Bank Statement'!B5:B62,MATCH(D25,'Bank Statement'!C5:C62,0)),"")</x:f>
        <x:v>46129</x:v>
      </x:c>
      <x:c r="I25" s="27" t="n">
        <x:f>IFERROR(INDEX('Bank Statement'!E5:E62,MATCH(D25,'Bank Statement'!C5:C62,0)),"")</x:f>
        <x:v>0</x:v>
      </x:c>
      <x:c r="J25" s="11" t="str">
        <x:f>IF(G25=0,"Missing Bank Match",IF(G25&gt;1,"Duplicate Bank Match","OK"))</x:f>
        <x:v>OK</x:v>
      </x:c>
      <x:c r="K25" s="11" t="str">
        <x:f>IF(G25=0,"Not Tested",IF(F25=I25,"OK","Amount Mismatch"))</x:f>
        <x:v>OK</x:v>
      </x:c>
      <x:c r="L25" s="11" t="str">
        <x:f>IF(G25=0,"Not Tested",IF(ABS(C25-H25)&lt;=2,"OK","Date Mismatch"))</x:f>
        <x:v>OK</x:v>
      </x:c>
      <x:c r="M25" s="11" t="str">
        <x:f>'Transaction Validation'!Q25</x:f>
        <x:v>High Priority Review</x:v>
      </x:c>
      <x:c r="N25" s="11" t="n">
        <x:f>IF(J25&lt;&gt;"OK",1,0)+IF(AND(K25&lt;&gt;"OK",K25&lt;&gt;"Not Tested"),1,0)+IF(AND(L25&lt;&gt;"OK",L25&lt;&gt;"Not Tested"),1,0)+IF(M25&lt;&gt;"Ready",1,0)</x:f>
        <x:v>1</x:v>
      </x:c>
      <x:c r="O25" s="11" t="str">
        <x:f>IF(N25=0,"Ready",IF(OR(M25="High Priority Review",K25="Amount Mismatch"),"High Priority Review","Review"))</x:f>
        <x:v>High Priority Review</x:v>
      </x:c>
      <x:c r="P25" s="11" t="str">
        <x:f>IF(M25&lt;&gt;"Ready",'Transaction Validation'!R25,IF(J25="Missing Bank Match","Request bank-reference evidence",IF(K25="Amount Mismatch","Verify amount and post correction only with approval",IF(L25="Date Mismatch","Confirm timing difference in writing","No action required"))))</x:f>
        <x:v>Verify amount against approved source</x:v>
      </x:c>
    </x:row>
    <x:row r="26" ht="24" customHeight="1">
      <x:c r="A26" s="24" t="n">
        <x:f>'Transaction Validation'!A26</x:f>
        <x:v>26</x:v>
      </x:c>
      <x:c r="B26" s="24" t="str">
        <x:f>'Transaction Validation'!B26</x:f>
        <x:v>FIN-0022</x:v>
      </x:c>
      <x:c r="C26" s="26" t="n">
        <x:f>'Transaction Validation'!C26</x:f>
        <x:v>46162</x:v>
      </x:c>
      <x:c r="D26" s="24" t="str">
        <x:f>'Transaction Validation'!D26</x:f>
        <x:v>BNK-03022</x:v>
      </x:c>
      <x:c r="E26" s="24" t="str">
        <x:f>'Transaction Validation'!E26</x:f>
        <x:v>CloudDesk Software</x:v>
      </x:c>
      <x:c r="F26" s="28" t="n">
        <x:f>'Transaction Validation'!I26</x:f>
        <x:v>3164000</x:v>
      </x:c>
      <x:c r="G26" s="24" t="n">
        <x:f>COUNTIF('Bank Statement'!C5:C62,D26)</x:f>
        <x:v>0</x:v>
      </x:c>
      <x:c r="H26" s="26" t="str">
        <x:f>IFERROR(INDEX('Bank Statement'!B5:B62,MATCH(D26,'Bank Statement'!C5:C62,0)),"")</x:f>
      </x:c>
      <x:c r="I26" s="28" t="str">
        <x:f>IFERROR(INDEX('Bank Statement'!E5:E62,MATCH(D26,'Bank Statement'!C5:C62,0)),"")</x:f>
      </x:c>
      <x:c r="J26" s="24" t="str">
        <x:f>IF(G26=0,"Missing Bank Match",IF(G26&gt;1,"Duplicate Bank Match","OK"))</x:f>
        <x:v>Missing Bank Match</x:v>
      </x:c>
      <x:c r="K26" s="24" t="str">
        <x:f>IF(G26=0,"Not Tested",IF(F26=I26,"OK","Amount Mismatch"))</x:f>
        <x:v>Not Tested</x:v>
      </x:c>
      <x:c r="L26" s="24" t="str">
        <x:f>IF(G26=0,"Not Tested",IF(ABS(C26-H26)&lt;=2,"OK","Date Mismatch"))</x:f>
        <x:v>Not Tested</x:v>
      </x:c>
      <x:c r="M26" s="24" t="str">
        <x:f>'Transaction Validation'!Q26</x:f>
        <x:v>Ready</x:v>
      </x:c>
      <x:c r="N26" s="24" t="n">
        <x:f>IF(J26&lt;&gt;"OK",1,0)+IF(AND(K26&lt;&gt;"OK",K26&lt;&gt;"Not Tested"),1,0)+IF(AND(L26&lt;&gt;"OK",L26&lt;&gt;"Not Tested"),1,0)+IF(M26&lt;&gt;"Ready",1,0)</x:f>
        <x:v>1</x:v>
      </x:c>
      <x:c r="O26" s="24" t="str">
        <x:f>IF(N26=0,"Ready",IF(OR(M26="High Priority Review",K26="Amount Mismatch"),"High Priority Review","Review"))</x:f>
        <x:v>Review</x:v>
      </x:c>
      <x:c r="P26" s="24" t="str">
        <x:f>IF(M26&lt;&gt;"Ready",'Transaction Validation'!R26,IF(J26="Missing Bank Match","Request bank-reference evidence",IF(K26="Amount Mismatch","Verify amount and post correction only with approval",IF(L26="Date Mismatch","Confirm timing difference in writing","No action required"))))</x:f>
        <x:v>Request bank-reference evidence</x:v>
      </x:c>
    </x:row>
    <x:row r="27" ht="24" customHeight="1">
      <x:c r="A27" s="11" t="n">
        <x:f>'Transaction Validation'!A27</x:f>
        <x:v>27</x:v>
      </x:c>
      <x:c r="B27" s="11" t="str">
        <x:f>'Transaction Validation'!B27</x:f>
        <x:v>FIN-0023</x:v>
      </x:c>
      <x:c r="C27" s="25" t="n">
        <x:f>'Transaction Validation'!C27</x:f>
        <x:v>46196</x:v>
      </x:c>
      <x:c r="D27" s="11" t="str">
        <x:f>'Transaction Validation'!D27</x:f>
        <x:v>BNK-03023</x:v>
      </x:c>
      <x:c r="E27" s="11" t="str">
        <x:f>'Transaction Validation'!E27</x:f>
        <x:v>Metro Courier</x:v>
      </x:c>
      <x:c r="F27" s="27" t="n">
        <x:f>'Transaction Validation'!I27</x:f>
        <x:v>3301000</x:v>
      </x:c>
      <x:c r="G27" s="11" t="n">
        <x:f>COUNTIF('Bank Statement'!C5:C62,D27)</x:f>
        <x:v>1</x:v>
      </x:c>
      <x:c r="H27" s="25" t="n">
        <x:f>IFERROR(INDEX('Bank Statement'!B5:B62,MATCH(D27,'Bank Statement'!C5:C62,0)),"")</x:f>
        <x:v>46196</x:v>
      </x:c>
      <x:c r="I27" s="27" t="n">
        <x:f>IFERROR(INDEX('Bank Statement'!E5:E62,MATCH(D27,'Bank Statement'!C5:C62,0)),"")</x:f>
        <x:v>3301000</x:v>
      </x:c>
      <x:c r="J27" s="11" t="str">
        <x:f>IF(G27=0,"Missing Bank Match",IF(G27&gt;1,"Duplicate Bank Match","OK"))</x:f>
        <x:v>OK</x:v>
      </x:c>
      <x:c r="K27" s="11" t="str">
        <x:f>IF(G27=0,"Not Tested",IF(F27=I27,"OK","Amount Mismatch"))</x:f>
        <x:v>OK</x:v>
      </x:c>
      <x:c r="L27" s="11" t="str">
        <x:f>IF(G27=0,"Not Tested",IF(ABS(C27-H27)&lt;=2,"OK","Date Mismatch"))</x:f>
        <x:v>OK</x:v>
      </x:c>
      <x:c r="M27" s="11" t="str">
        <x:f>'Transaction Validation'!Q27</x:f>
        <x:v>Ready</x:v>
      </x:c>
      <x:c r="N27" s="11" t="n">
        <x:f>IF(J27&lt;&gt;"OK",1,0)+IF(AND(K27&lt;&gt;"OK",K27&lt;&gt;"Not Tested"),1,0)+IF(AND(L27&lt;&gt;"OK",L27&lt;&gt;"Not Tested"),1,0)+IF(M27&lt;&gt;"Ready",1,0)</x:f>
        <x:v>0</x:v>
      </x:c>
      <x:c r="O27" s="11" t="str">
        <x:f>IF(N27=0,"Ready",IF(OR(M27="High Priority Review",K27="Amount Mismatch"),"High Priority Review","Review"))</x:f>
        <x:v>Ready</x:v>
      </x:c>
      <x:c r="P27" s="11" t="str">
        <x:f>IF(M27&lt;&gt;"Ready",'Transaction Validation'!R27,IF(J27="Missing Bank Match","Request bank-reference evidence",IF(K27="Amount Mismatch","Verify amount and post correction only with approval",IF(L27="Date Mismatch","Confirm timing difference in writing","No action required"))))</x:f>
        <x:v>No action required</x:v>
      </x:c>
    </x:row>
    <x:row r="28" ht="24" customHeight="1">
      <x:c r="A28" s="24" t="n">
        <x:f>'Transaction Validation'!A28</x:f>
        <x:v>28</x:v>
      </x:c>
      <x:c r="B28" s="24" t="str">
        <x:f>'Transaction Validation'!B28</x:f>
        <x:v>FIN-0024</x:v>
      </x:c>
      <x:c r="C28" s="26" t="n">
        <x:f>'Transaction Validation'!C28</x:f>
        <x:v>46024</x:v>
      </x:c>
      <x:c r="D28" s="24" t="str">
        <x:f>'Transaction Validation'!D28</x:f>
        <x:v>BNK-03024</x:v>
      </x:c>
      <x:c r="E28" s="24" t="str">
        <x:f>'Transaction Validation'!E28</x:f>
        <x:v>Bright Clean Services</x:v>
      </x:c>
      <x:c r="F28" s="28" t="n">
        <x:f>'Transaction Validation'!I28</x:f>
        <x:v>3438000</x:v>
      </x:c>
      <x:c r="G28" s="24" t="n">
        <x:f>COUNTIF('Bank Statement'!C5:C62,D28)</x:f>
        <x:v>1</x:v>
      </x:c>
      <x:c r="H28" s="26" t="n">
        <x:f>IFERROR(INDEX('Bank Statement'!B5:B62,MATCH(D28,'Bank Statement'!C5:C62,0)),"")</x:f>
        <x:v>46024</x:v>
      </x:c>
      <x:c r="I28" s="28" t="n">
        <x:f>IFERROR(INDEX('Bank Statement'!E5:E62,MATCH(D28,'Bank Statement'!C5:C62,0)),"")</x:f>
        <x:v>3438000</x:v>
      </x:c>
      <x:c r="J28" s="24" t="str">
        <x:f>IF(G28=0,"Missing Bank Match",IF(G28&gt;1,"Duplicate Bank Match","OK"))</x:f>
        <x:v>OK</x:v>
      </x:c>
      <x:c r="K28" s="24" t="str">
        <x:f>IF(G28=0,"Not Tested",IF(F28=I28,"OK","Amount Mismatch"))</x:f>
        <x:v>OK</x:v>
      </x:c>
      <x:c r="L28" s="24" t="str">
        <x:f>IF(G28=0,"Not Tested",IF(ABS(C28-H28)&lt;=2,"OK","Date Mismatch"))</x:f>
        <x:v>OK</x:v>
      </x:c>
      <x:c r="M28" s="24" t="str">
        <x:f>'Transaction Validation'!Q28</x:f>
        <x:v>Ready</x:v>
      </x:c>
      <x:c r="N28" s="24" t="n">
        <x:f>IF(J28&lt;&gt;"OK",1,0)+IF(AND(K28&lt;&gt;"OK",K28&lt;&gt;"Not Tested"),1,0)+IF(AND(L28&lt;&gt;"OK",L28&lt;&gt;"Not Tested"),1,0)+IF(M28&lt;&gt;"Ready",1,0)</x:f>
        <x:v>0</x:v>
      </x:c>
      <x:c r="O28" s="24" t="str">
        <x:f>IF(N28=0,"Ready",IF(OR(M28="High Priority Review",K28="Amount Mismatch"),"High Priority Review","Review"))</x:f>
        <x:v>Ready</x:v>
      </x:c>
      <x:c r="P28" s="24" t="str">
        <x:f>IF(M28&lt;&gt;"Ready",'Transaction Validation'!R28,IF(J28="Missing Bank Match","Request bank-reference evidence",IF(K28="Amount Mismatch","Verify amount and post correction only with approval",IF(L28="Date Mismatch","Confirm timing difference in writing","No action required"))))</x:f>
        <x:v>No action required</x:v>
      </x:c>
    </x:row>
    <x:row r="29" ht="24" customHeight="1">
      <x:c r="A29" s="11" t="n">
        <x:f>'Transaction Validation'!A29</x:f>
        <x:v>29</x:v>
      </x:c>
      <x:c r="B29" s="11" t="str">
        <x:f>'Transaction Validation'!B29</x:f>
        <x:v>FIN-0025</x:v>
      </x:c>
      <x:c r="C29" s="25" t="n">
        <x:f>'Transaction Validation'!C29</x:f>
        <x:v>46058</x:v>
      </x:c>
      <x:c r="D29" s="11" t="str">
        <x:f>'Transaction Validation'!D29</x:f>
        <x:v>BNK-03025</x:v>
      </x:c>
      <x:c r="E29" s="11" t="str">
        <x:f>'Transaction Validation'!E29</x:f>
        <x:v>Sinar Telecom</x:v>
      </x:c>
      <x:c r="F29" s="27" t="n">
        <x:f>'Transaction Validation'!I29</x:f>
        <x:v>3575000</x:v>
      </x:c>
      <x:c r="G29" s="11" t="n">
        <x:f>COUNTIF('Bank Statement'!C5:C62,D29)</x:f>
        <x:v>1</x:v>
      </x:c>
      <x:c r="H29" s="25" t="n">
        <x:f>IFERROR(INDEX('Bank Statement'!B5:B62,MATCH(D29,'Bank Statement'!C5:C62,0)),"")</x:f>
        <x:v>46058</x:v>
      </x:c>
      <x:c r="I29" s="27" t="n">
        <x:f>IFERROR(INDEX('Bank Statement'!E5:E62,MATCH(D29,'Bank Statement'!C5:C62,0)),"")</x:f>
        <x:v>3575000</x:v>
      </x:c>
      <x:c r="J29" s="11" t="str">
        <x:f>IF(G29=0,"Missing Bank Match",IF(G29&gt;1,"Duplicate Bank Match","OK"))</x:f>
        <x:v>OK</x:v>
      </x:c>
      <x:c r="K29" s="11" t="str">
        <x:f>IF(G29=0,"Not Tested",IF(F29=I29,"OK","Amount Mismatch"))</x:f>
        <x:v>OK</x:v>
      </x:c>
      <x:c r="L29" s="11" t="str">
        <x:f>IF(G29=0,"Not Tested",IF(ABS(C29-H29)&lt;=2,"OK","Date Mismatch"))</x:f>
        <x:v>OK</x:v>
      </x:c>
      <x:c r="M29" s="11" t="str">
        <x:f>'Transaction Validation'!Q29</x:f>
        <x:v>Ready</x:v>
      </x:c>
      <x:c r="N29" s="11" t="n">
        <x:f>IF(J29&lt;&gt;"OK",1,0)+IF(AND(K29&lt;&gt;"OK",K29&lt;&gt;"Not Tested"),1,0)+IF(AND(L29&lt;&gt;"OK",L29&lt;&gt;"Not Tested"),1,0)+IF(M29&lt;&gt;"Ready",1,0)</x:f>
        <x:v>0</x:v>
      </x:c>
      <x:c r="O29" s="11" t="str">
        <x:f>IF(N29=0,"Ready",IF(OR(M29="High Priority Review",K29="Amount Mismatch"),"High Priority Review","Review"))</x:f>
        <x:v>Ready</x:v>
      </x:c>
      <x:c r="P29" s="11" t="str">
        <x:f>IF(M29&lt;&gt;"Ready",'Transaction Validation'!R29,IF(J29="Missing Bank Match","Request bank-reference evidence",IF(K29="Amount Mismatch","Verify amount and post correction only with approval",IF(L29="Date Mismatch","Confirm timing difference in writing","No action required"))))</x:f>
        <x:v>No action required</x:v>
      </x:c>
    </x:row>
    <x:row r="30" ht="24" customHeight="1">
      <x:c r="A30" s="24" t="n">
        <x:f>'Transaction Validation'!A30</x:f>
        <x:v>30</x:v>
      </x:c>
      <x:c r="B30" s="24" t="str">
        <x:f>'Transaction Validation'!B30</x:f>
        <x:v>FIN-0026</x:v>
      </x:c>
      <x:c r="C30" s="26" t="n">
        <x:f>'Transaction Validation'!C30</x:f>
        <x:v>46089</x:v>
      </x:c>
      <x:c r="D30" s="24" t="str">
        <x:f>'Transaction Validation'!D30</x:f>
        <x:v>BNK-03026</x:v>
      </x:c>
      <x:c r="E30" s="24" t="str">
        <x:f>'Transaction Validation'!E30</x:f>
        <x:v>Karya Printing</x:v>
      </x:c>
      <x:c r="F30" s="28" t="n">
        <x:f>'Transaction Validation'!I30</x:f>
        <x:v>3712000</x:v>
      </x:c>
      <x:c r="G30" s="24" t="n">
        <x:f>COUNTIF('Bank Statement'!C5:C62,D30)</x:f>
        <x:v>1</x:v>
      </x:c>
      <x:c r="H30" s="26" t="n">
        <x:f>IFERROR(INDEX('Bank Statement'!B5:B62,MATCH(D30,'Bank Statement'!C5:C62,0)),"")</x:f>
        <x:v>46089</x:v>
      </x:c>
      <x:c r="I30" s="28" t="n">
        <x:f>IFERROR(INDEX('Bank Statement'!E5:E62,MATCH(D30,'Bank Statement'!C5:C62,0)),"")</x:f>
        <x:v>3712000</x:v>
      </x:c>
      <x:c r="J30" s="24" t="str">
        <x:f>IF(G30=0,"Missing Bank Match",IF(G30&gt;1,"Duplicate Bank Match","OK"))</x:f>
        <x:v>OK</x:v>
      </x:c>
      <x:c r="K30" s="24" t="str">
        <x:f>IF(G30=0,"Not Tested",IF(F30=I30,"OK","Amount Mismatch"))</x:f>
        <x:v>OK</x:v>
      </x:c>
      <x:c r="L30" s="24" t="str">
        <x:f>IF(G30=0,"Not Tested",IF(ABS(C30-H30)&lt;=2,"OK","Date Mismatch"))</x:f>
        <x:v>OK</x:v>
      </x:c>
      <x:c r="M30" s="24" t="str">
        <x:f>'Transaction Validation'!Q30</x:f>
        <x:v>Ready</x:v>
      </x:c>
      <x:c r="N30" s="24" t="n">
        <x:f>IF(J30&lt;&gt;"OK",1,0)+IF(AND(K30&lt;&gt;"OK",K30&lt;&gt;"Not Tested"),1,0)+IF(AND(L30&lt;&gt;"OK",L30&lt;&gt;"Not Tested"),1,0)+IF(M30&lt;&gt;"Ready",1,0)</x:f>
        <x:v>0</x:v>
      </x:c>
      <x:c r="O30" s="24" t="str">
        <x:f>IF(N30=0,"Ready",IF(OR(M30="High Priority Review",K30="Amount Mismatch"),"High Priority Review","Review"))</x:f>
        <x:v>Ready</x:v>
      </x:c>
      <x:c r="P30" s="24" t="str">
        <x:f>IF(M30&lt;&gt;"Ready",'Transaction Validation'!R30,IF(J30="Missing Bank Match","Request bank-reference evidence",IF(K30="Amount Mismatch","Verify amount and post correction only with approval",IF(L30="Date Mismatch","Confirm timing difference in writing","No action required"))))</x:f>
        <x:v>No action required</x:v>
      </x:c>
    </x:row>
    <x:row r="31" ht="24" customHeight="1">
      <x:c r="A31" s="11" t="n">
        <x:f>'Transaction Validation'!A31</x:f>
        <x:v>31</x:v>
      </x:c>
      <x:c r="B31" s="11" t="str">
        <x:f>'Transaction Validation'!B31</x:f>
        <x:v>FIN-0027</x:v>
      </x:c>
      <x:c r="C31" s="25" t="n">
        <x:f>'Transaction Validation'!C31</x:f>
        <x:v>46123</x:v>
      </x:c>
      <x:c r="D31" s="11" t="str">
        <x:f>'Transaction Validation'!D31</x:f>
        <x:v>BNK-03027</x:v>
      </x:c>
      <x:c r="E31" s="11" t="str">
        <x:f>'Transaction Validation'!E31</x:f>
        <x:v>Archipelago Travel</x:v>
      </x:c>
      <x:c r="F31" s="27" t="n">
        <x:f>'Transaction Validation'!I31</x:f>
        <x:v>3849000</x:v>
      </x:c>
      <x:c r="G31" s="11" t="n">
        <x:f>COUNTIF('Bank Statement'!C5:C62,D31)</x:f>
        <x:v>1</x:v>
      </x:c>
      <x:c r="H31" s="25" t="n">
        <x:f>IFERROR(INDEX('Bank Statement'!B5:B62,MATCH(D31,'Bank Statement'!C5:C62,0)),"")</x:f>
        <x:v>46123</x:v>
      </x:c>
      <x:c r="I31" s="27" t="n">
        <x:f>IFERROR(INDEX('Bank Statement'!E5:E62,MATCH(D31,'Bank Statement'!C5:C62,0)),"")</x:f>
        <x:v>3849000</x:v>
      </x:c>
      <x:c r="J31" s="11" t="str">
        <x:f>IF(G31=0,"Missing Bank Match",IF(G31&gt;1,"Duplicate Bank Match","OK"))</x:f>
        <x:v>OK</x:v>
      </x:c>
      <x:c r="K31" s="11" t="str">
        <x:f>IF(G31=0,"Not Tested",IF(F31=I31,"OK","Amount Mismatch"))</x:f>
        <x:v>OK</x:v>
      </x:c>
      <x:c r="L31" s="11" t="str">
        <x:f>IF(G31=0,"Not Tested",IF(ABS(C31-H31)&lt;=2,"OK","Date Mismatch"))</x:f>
        <x:v>OK</x:v>
      </x:c>
      <x:c r="M31" s="11" t="str">
        <x:f>'Transaction Validation'!Q31</x:f>
        <x:v>Ready</x:v>
      </x:c>
      <x:c r="N31" s="11" t="n">
        <x:f>IF(J31&lt;&gt;"OK",1,0)+IF(AND(K31&lt;&gt;"OK",K31&lt;&gt;"Not Tested"),1,0)+IF(AND(L31&lt;&gt;"OK",L31&lt;&gt;"Not Tested"),1,0)+IF(M31&lt;&gt;"Ready",1,0)</x:f>
        <x:v>0</x:v>
      </x:c>
      <x:c r="O31" s="11" t="str">
        <x:f>IF(N31=0,"Ready",IF(OR(M31="High Priority Review",K31="Amount Mismatch"),"High Priority Review","Review"))</x:f>
        <x:v>Ready</x:v>
      </x:c>
      <x:c r="P31" s="11" t="str">
        <x:f>IF(M31&lt;&gt;"Ready",'Transaction Validation'!R31,IF(J31="Missing Bank Match","Request bank-reference evidence",IF(K31="Amount Mismatch","Verify amount and post correction only with approval",IF(L31="Date Mismatch","Confirm timing difference in writing","No action required"))))</x:f>
        <x:v>No action required</x:v>
      </x:c>
    </x:row>
    <x:row r="32" ht="24" customHeight="1">
      <x:c r="A32" s="24" t="n">
        <x:f>'Transaction Validation'!A32</x:f>
        <x:v>32</x:v>
      </x:c>
      <x:c r="B32" s="24" t="str">
        <x:f>'Transaction Validation'!B32</x:f>
        <x:v>FIN-0028</x:v>
      </x:c>
      <x:c r="C32" s="26" t="n">
        <x:f>'Transaction Validation'!C32</x:f>
        <x:v>46156</x:v>
      </x:c>
      <x:c r="D32" s="24" t="str">
        <x:f>'Transaction Validation'!D32</x:f>
        <x:v>BNK-03028</x:v>
      </x:c>
      <x:c r="E32" s="24" t="str">
        <x:f>'Transaction Validation'!E32</x:f>
        <x:v>Prima Utilities</x:v>
      </x:c>
      <x:c r="F32" s="28" t="n">
        <x:f>'Transaction Validation'!I32</x:f>
        <x:v>3986000</x:v>
      </x:c>
      <x:c r="G32" s="24" t="n">
        <x:f>COUNTIF('Bank Statement'!C5:C62,D32)</x:f>
        <x:v>1</x:v>
      </x:c>
      <x:c r="H32" s="26" t="n">
        <x:f>IFERROR(INDEX('Bank Statement'!B5:B62,MATCH(D32,'Bank Statement'!C5:C62,0)),"")</x:f>
        <x:v>46156</x:v>
      </x:c>
      <x:c r="I32" s="28" t="n">
        <x:f>IFERROR(INDEX('Bank Statement'!E5:E62,MATCH(D32,'Bank Statement'!C5:C62,0)),"")</x:f>
        <x:v>3986000</x:v>
      </x:c>
      <x:c r="J32" s="24" t="str">
        <x:f>IF(G32=0,"Missing Bank Match",IF(G32&gt;1,"Duplicate Bank Match","OK"))</x:f>
        <x:v>OK</x:v>
      </x:c>
      <x:c r="K32" s="24" t="str">
        <x:f>IF(G32=0,"Not Tested",IF(F32=I32,"OK","Amount Mismatch"))</x:f>
        <x:v>OK</x:v>
      </x:c>
      <x:c r="L32" s="24" t="str">
        <x:f>IF(G32=0,"Not Tested",IF(ABS(C32-H32)&lt;=2,"OK","Date Mismatch"))</x:f>
        <x:v>OK</x:v>
      </x:c>
      <x:c r="M32" s="24" t="str">
        <x:f>'Transaction Validation'!Q32</x:f>
        <x:v>Ready</x:v>
      </x:c>
      <x:c r="N32" s="24" t="n">
        <x:f>IF(J32&lt;&gt;"OK",1,0)+IF(AND(K32&lt;&gt;"OK",K32&lt;&gt;"Not Tested"),1,0)+IF(AND(L32&lt;&gt;"OK",L32&lt;&gt;"Not Tested"),1,0)+IF(M32&lt;&gt;"Ready",1,0)</x:f>
        <x:v>0</x:v>
      </x:c>
      <x:c r="O32" s="24" t="str">
        <x:f>IF(N32=0,"Ready",IF(OR(M32="High Priority Review",K32="Amount Mismatch"),"High Priority Review","Review"))</x:f>
        <x:v>Ready</x:v>
      </x:c>
      <x:c r="P32" s="24" t="str">
        <x:f>IF(M32&lt;&gt;"Ready",'Transaction Validation'!R32,IF(J32="Missing Bank Match","Request bank-reference evidence",IF(K32="Amount Mismatch","Verify amount and post correction only with approval",IF(L32="Date Mismatch","Confirm timing difference in writing","No action required"))))</x:f>
        <x:v>No action required</x:v>
      </x:c>
    </x:row>
    <x:row r="33" ht="24" customHeight="1">
      <x:c r="A33" s="11" t="n">
        <x:f>'Transaction Validation'!A33</x:f>
        <x:v>33</x:v>
      </x:c>
      <x:c r="B33" s="11" t="str">
        <x:f>'Transaction Validation'!B33</x:f>
        <x:v>FIN-0029</x:v>
      </x:c>
      <x:c r="C33" s="25" t="n">
        <x:f>'Transaction Validation'!C33</x:f>
        <x:v>46190</x:v>
      </x:c>
      <x:c r="D33" s="11" t="str">
        <x:f>'Transaction Validation'!D33</x:f>
        <x:v>BNK-03029</x:v>
      </x:c>
      <x:c r="E33" s="11" t="str">
        <x:f>'Transaction Validation'!E33</x:f>
        <x:v>DataSecure Hosting</x:v>
      </x:c>
      <x:c r="F33" s="27" t="n">
        <x:f>'Transaction Validation'!I33</x:f>
        <x:v>273000</x:v>
      </x:c>
      <x:c r="G33" s="11" t="n">
        <x:f>COUNTIF('Bank Statement'!C5:C62,D33)</x:f>
        <x:v>1</x:v>
      </x:c>
      <x:c r="H33" s="25" t="n">
        <x:f>IFERROR(INDEX('Bank Statement'!B5:B62,MATCH(D33,'Bank Statement'!C5:C62,0)),"")</x:f>
        <x:v>46190</x:v>
      </x:c>
      <x:c r="I33" s="27" t="n">
        <x:f>IFERROR(INDEX('Bank Statement'!E5:E62,MATCH(D33,'Bank Statement'!C5:C62,0)),"")</x:f>
        <x:v>273000</x:v>
      </x:c>
      <x:c r="J33" s="11" t="str">
        <x:f>IF(G33=0,"Missing Bank Match",IF(G33&gt;1,"Duplicate Bank Match","OK"))</x:f>
        <x:v>OK</x:v>
      </x:c>
      <x:c r="K33" s="11" t="str">
        <x:f>IF(G33=0,"Not Tested",IF(F33=I33,"OK","Amount Mismatch"))</x:f>
        <x:v>OK</x:v>
      </x:c>
      <x:c r="L33" s="11" t="str">
        <x:f>IF(G33=0,"Not Tested",IF(ABS(C33-H33)&lt;=2,"OK","Date Mismatch"))</x:f>
        <x:v>OK</x:v>
      </x:c>
      <x:c r="M33" s="11" t="str">
        <x:f>'Transaction Validation'!Q33</x:f>
        <x:v>Review</x:v>
      </x:c>
      <x:c r="N33" s="11" t="n">
        <x:f>IF(J33&lt;&gt;"OK",1,0)+IF(AND(K33&lt;&gt;"OK",K33&lt;&gt;"Not Tested"),1,0)+IF(AND(L33&lt;&gt;"OK",L33&lt;&gt;"Not Tested"),1,0)+IF(M33&lt;&gt;"Ready",1,0)</x:f>
        <x:v>1</x:v>
      </x:c>
      <x:c r="O33" s="11" t="str">
        <x:f>IF(N33=0,"Ready",IF(OR(M33="High Priority Review",K33="Amount Mismatch"),"High Priority Review","Review"))</x:f>
        <x:v>Review</x:v>
      </x:c>
      <x:c r="P33" s="11" t="str">
        <x:f>IF(M33&lt;&gt;"Ready",'Transaction Validation'!R33,IF(J33="Missing Bank Match","Request bank-reference evidence",IF(K33="Amount Mismatch","Verify amount and post correction only with approval",IF(L33="Date Mismatch","Confirm timing difference in writing","No action required"))))</x:f>
        <x:v>Request supporting document in writing</x:v>
      </x:c>
    </x:row>
    <x:row r="34" ht="24" customHeight="1">
      <x:c r="A34" s="24" t="n">
        <x:f>'Transaction Validation'!A34</x:f>
        <x:v>34</x:v>
      </x:c>
      <x:c r="B34" s="24" t="str">
        <x:f>'Transaction Validation'!B34</x:f>
        <x:v>FIN-0030</x:v>
      </x:c>
      <x:c r="C34" s="26" t="n">
        <x:f>'Transaction Validation'!C34</x:f>
        <x:v>46042</x:v>
      </x:c>
      <x:c r="D34" s="24" t="str">
        <x:f>'Transaction Validation'!D34</x:f>
        <x:v>BNK-03030</x:v>
      </x:c>
      <x:c r="E34" s="24" t="str">
        <x:f>'Transaction Validation'!E34</x:f>
        <x:v>Maju Training Center</x:v>
      </x:c>
      <x:c r="F34" s="28" t="n">
        <x:f>'Transaction Validation'!I34</x:f>
        <x:v>410000</x:v>
      </x:c>
      <x:c r="G34" s="24" t="n">
        <x:f>COUNTIF('Bank Statement'!C5:C62,D34)</x:f>
        <x:v>1</x:v>
      </x:c>
      <x:c r="H34" s="26" t="n">
        <x:f>IFERROR(INDEX('Bank Statement'!B5:B62,MATCH(D34,'Bank Statement'!C5:C62,0)),"")</x:f>
        <x:v>46042</x:v>
      </x:c>
      <x:c r="I34" s="28" t="n">
        <x:f>IFERROR(INDEX('Bank Statement'!E5:E62,MATCH(D34,'Bank Statement'!C5:C62,0)),"")</x:f>
        <x:v>410000</x:v>
      </x:c>
      <x:c r="J34" s="24" t="str">
        <x:f>IF(G34=0,"Missing Bank Match",IF(G34&gt;1,"Duplicate Bank Match","OK"))</x:f>
        <x:v>OK</x:v>
      </x:c>
      <x:c r="K34" s="24" t="str">
        <x:f>IF(G34=0,"Not Tested",IF(F34=I34,"OK","Amount Mismatch"))</x:f>
        <x:v>OK</x:v>
      </x:c>
      <x:c r="L34" s="24" t="str">
        <x:f>IF(G34=0,"Not Tested",IF(ABS(C34-H34)&lt;=2,"OK","Date Mismatch"))</x:f>
        <x:v>OK</x:v>
      </x:c>
      <x:c r="M34" s="24" t="str">
        <x:f>'Transaction Validation'!Q34</x:f>
        <x:v>Ready</x:v>
      </x:c>
      <x:c r="N34" s="24" t="n">
        <x:f>IF(J34&lt;&gt;"OK",1,0)+IF(AND(K34&lt;&gt;"OK",K34&lt;&gt;"Not Tested"),1,0)+IF(AND(L34&lt;&gt;"OK",L34&lt;&gt;"Not Tested"),1,0)+IF(M34&lt;&gt;"Ready",1,0)</x:f>
        <x:v>0</x:v>
      </x:c>
      <x:c r="O34" s="24" t="str">
        <x:f>IF(N34=0,"Ready",IF(OR(M34="High Priority Review",K34="Amount Mismatch"),"High Priority Review","Review"))</x:f>
        <x:v>Ready</x:v>
      </x:c>
      <x:c r="P34" s="24" t="str">
        <x:f>IF(M34&lt;&gt;"Ready",'Transaction Validation'!R34,IF(J34="Missing Bank Match","Request bank-reference evidence",IF(K34="Amount Mismatch","Verify amount and post correction only with approval",IF(L34="Date Mismatch","Confirm timing difference in writing","No action required"))))</x:f>
        <x:v>No action required</x:v>
      </x:c>
    </x:row>
    <x:row r="35" ht="24" customHeight="1">
      <x:c r="A35" s="11" t="n">
        <x:f>'Transaction Validation'!A35</x:f>
        <x:v>35</x:v>
      </x:c>
      <x:c r="B35" s="11" t="str">
        <x:f>'Transaction Validation'!B35</x:f>
        <x:v>FIN-0031</x:v>
      </x:c>
      <x:c r="C35" s="25" t="n">
        <x:f>'Transaction Validation'!C35</x:f>
        <x:v>46076</x:v>
      </x:c>
      <x:c r="D35" s="11" t="str">
        <x:f>'Transaction Validation'!D35</x:f>
        <x:v>BNK-03031</x:v>
      </x:c>
      <x:c r="E35" s="11" t="str">
        <x:f>'Transaction Validation'!E35</x:f>
        <x:v>Nusa Office Supply</x:v>
      </x:c>
      <x:c r="F35" s="27" t="n">
        <x:f>'Transaction Validation'!I35</x:f>
        <x:v>547000</x:v>
      </x:c>
      <x:c r="G35" s="11" t="n">
        <x:f>COUNTIF('Bank Statement'!C5:C62,D35)</x:f>
        <x:v>1</x:v>
      </x:c>
      <x:c r="H35" s="25" t="n">
        <x:f>IFERROR(INDEX('Bank Statement'!B5:B62,MATCH(D35,'Bank Statement'!C5:C62,0)),"")</x:f>
        <x:v>46080</x:v>
      </x:c>
      <x:c r="I35" s="27" t="n">
        <x:f>IFERROR(INDEX('Bank Statement'!E5:E62,MATCH(D35,'Bank Statement'!C5:C62,0)),"")</x:f>
        <x:v>547000</x:v>
      </x:c>
      <x:c r="J35" s="11" t="str">
        <x:f>IF(G35=0,"Missing Bank Match",IF(G35&gt;1,"Duplicate Bank Match","OK"))</x:f>
        <x:v>OK</x:v>
      </x:c>
      <x:c r="K35" s="11" t="str">
        <x:f>IF(G35=0,"Not Tested",IF(F35=I35,"OK","Amount Mismatch"))</x:f>
        <x:v>OK</x:v>
      </x:c>
      <x:c r="L35" s="11" t="str">
        <x:f>IF(G35=0,"Not Tested",IF(ABS(C35-H35)&lt;=2,"OK","Date Mismatch"))</x:f>
        <x:v>Date Mismatch</x:v>
      </x:c>
      <x:c r="M35" s="11" t="str">
        <x:f>'Transaction Validation'!Q35</x:f>
        <x:v>Ready</x:v>
      </x:c>
      <x:c r="N35" s="11" t="n">
        <x:f>IF(J35&lt;&gt;"OK",1,0)+IF(AND(K35&lt;&gt;"OK",K35&lt;&gt;"Not Tested"),1,0)+IF(AND(L35&lt;&gt;"OK",L35&lt;&gt;"Not Tested"),1,0)+IF(M35&lt;&gt;"Ready",1,0)</x:f>
        <x:v>1</x:v>
      </x:c>
      <x:c r="O35" s="11" t="str">
        <x:f>IF(N35=0,"Ready",IF(OR(M35="High Priority Review",K35="Amount Mismatch"),"High Priority Review","Review"))</x:f>
        <x:v>Review</x:v>
      </x:c>
      <x:c r="P35" s="11" t="str">
        <x:f>IF(M35&lt;&gt;"Ready",'Transaction Validation'!R35,IF(J35="Missing Bank Match","Request bank-reference evidence",IF(K35="Amount Mismatch","Verify amount and post correction only with approval",IF(L35="Date Mismatch","Confirm timing difference in writing","No action required"))))</x:f>
        <x:v>Confirm timing difference in writing</x:v>
      </x:c>
    </x:row>
    <x:row r="36" ht="24" customHeight="1">
      <x:c r="A36" s="24" t="n">
        <x:f>'Transaction Validation'!A36</x:f>
        <x:v>36</x:v>
      </x:c>
      <x:c r="B36" s="24" t="str">
        <x:f>'Transaction Validation'!B36</x:f>
        <x:v>FIN-0032</x:v>
      </x:c>
      <x:c r="C36" s="26" t="n">
        <x:f>'Transaction Validation'!C36</x:f>
        <x:v>46083</x:v>
      </x:c>
      <x:c r="D36" s="24" t="str">
        <x:f>'Transaction Validation'!D36</x:f>
        <x:v>BNK-03032</x:v>
      </x:c>
      <x:c r="E36" s="24" t="str">
        <x:f>'Transaction Validation'!E36</x:f>
        <x:v>CloudDesk Software</x:v>
      </x:c>
      <x:c r="F36" s="28" t="n">
        <x:f>'Transaction Validation'!I36</x:f>
        <x:v>684000</x:v>
      </x:c>
      <x:c r="G36" s="24" t="n">
        <x:f>COUNTIF('Bank Statement'!C5:C62,D36)</x:f>
        <x:v>1</x:v>
      </x:c>
      <x:c r="H36" s="26" t="n">
        <x:f>IFERROR(INDEX('Bank Statement'!B5:B62,MATCH(D36,'Bank Statement'!C5:C62,0)),"")</x:f>
        <x:v>46083</x:v>
      </x:c>
      <x:c r="I36" s="28" t="n">
        <x:f>IFERROR(INDEX('Bank Statement'!E5:E62,MATCH(D36,'Bank Statement'!C5:C62,0)),"")</x:f>
        <x:v>684000</x:v>
      </x:c>
      <x:c r="J36" s="24" t="str">
        <x:f>IF(G36=0,"Missing Bank Match",IF(G36&gt;1,"Duplicate Bank Match","OK"))</x:f>
        <x:v>OK</x:v>
      </x:c>
      <x:c r="K36" s="24" t="str">
        <x:f>IF(G36=0,"Not Tested",IF(F36=I36,"OK","Amount Mismatch"))</x:f>
        <x:v>OK</x:v>
      </x:c>
      <x:c r="L36" s="24" t="str">
        <x:f>IF(G36=0,"Not Tested",IF(ABS(C36-H36)&lt;=2,"OK","Date Mismatch"))</x:f>
        <x:v>OK</x:v>
      </x:c>
      <x:c r="M36" s="24" t="str">
        <x:f>'Transaction Validation'!Q36</x:f>
        <x:v>Ready</x:v>
      </x:c>
      <x:c r="N36" s="24" t="n">
        <x:f>IF(J36&lt;&gt;"OK",1,0)+IF(AND(K36&lt;&gt;"OK",K36&lt;&gt;"Not Tested"),1,0)+IF(AND(L36&lt;&gt;"OK",L36&lt;&gt;"Not Tested"),1,0)+IF(M36&lt;&gt;"Ready",1,0)</x:f>
        <x:v>0</x:v>
      </x:c>
      <x:c r="O36" s="24" t="str">
        <x:f>IF(N36=0,"Ready",IF(OR(M36="High Priority Review",K36="Amount Mismatch"),"High Priority Review","Review"))</x:f>
        <x:v>Ready</x:v>
      </x:c>
      <x:c r="P36" s="24" t="str">
        <x:f>IF(M36&lt;&gt;"Ready",'Transaction Validation'!R36,IF(J36="Missing Bank Match","Request bank-reference evidence",IF(K36="Amount Mismatch","Verify amount and post correction only with approval",IF(L36="Date Mismatch","Confirm timing difference in writing","No action required"))))</x:f>
        <x:v>No action required</x:v>
      </x:c>
    </x:row>
    <x:row r="37" ht="24" customHeight="1">
      <x:c r="A37" s="11" t="n">
        <x:f>'Transaction Validation'!A37</x:f>
        <x:v>37</x:v>
      </x:c>
      <x:c r="B37" s="11" t="str">
        <x:f>'Transaction Validation'!B37</x:f>
        <x:v>FIN-0033</x:v>
      </x:c>
      <x:c r="C37" s="25" t="n">
        <x:f>'Transaction Validation'!C37</x:f>
        <x:v>46117</x:v>
      </x:c>
      <x:c r="D37" s="11" t="str">
        <x:f>'Transaction Validation'!D37</x:f>
        <x:v>BNK-03033</x:v>
      </x:c>
      <x:c r="E37" s="11" t="str">
        <x:f>'Transaction Validation'!E37</x:f>
        <x:v>Metro Courier</x:v>
      </x:c>
      <x:c r="F37" s="27" t="n">
        <x:f>'Transaction Validation'!I37</x:f>
        <x:v>821000</x:v>
      </x:c>
      <x:c r="G37" s="11" t="n">
        <x:f>COUNTIF('Bank Statement'!C5:C62,D37)</x:f>
        <x:v>1</x:v>
      </x:c>
      <x:c r="H37" s="25" t="n">
        <x:f>IFERROR(INDEX('Bank Statement'!B5:B62,MATCH(D37,'Bank Statement'!C5:C62,0)),"")</x:f>
        <x:v>46117</x:v>
      </x:c>
      <x:c r="I37" s="27" t="n">
        <x:f>IFERROR(INDEX('Bank Statement'!E5:E62,MATCH(D37,'Bank Statement'!C5:C62,0)),"")</x:f>
        <x:v>821000</x:v>
      </x:c>
      <x:c r="J37" s="11" t="str">
        <x:f>IF(G37=0,"Missing Bank Match",IF(G37&gt;1,"Duplicate Bank Match","OK"))</x:f>
        <x:v>OK</x:v>
      </x:c>
      <x:c r="K37" s="11" t="str">
        <x:f>IF(G37=0,"Not Tested",IF(F37=I37,"OK","Amount Mismatch"))</x:f>
        <x:v>OK</x:v>
      </x:c>
      <x:c r="L37" s="11" t="str">
        <x:f>IF(G37=0,"Not Tested",IF(ABS(C37-H37)&lt;=2,"OK","Date Mismatch"))</x:f>
        <x:v>OK</x:v>
      </x:c>
      <x:c r="M37" s="11" t="str">
        <x:f>'Transaction Validation'!Q37</x:f>
        <x:v>Ready</x:v>
      </x:c>
      <x:c r="N37" s="11" t="n">
        <x:f>IF(J37&lt;&gt;"OK",1,0)+IF(AND(K37&lt;&gt;"OK",K37&lt;&gt;"Not Tested"),1,0)+IF(AND(L37&lt;&gt;"OK",L37&lt;&gt;"Not Tested"),1,0)+IF(M37&lt;&gt;"Ready",1,0)</x:f>
        <x:v>0</x:v>
      </x:c>
      <x:c r="O37" s="11" t="str">
        <x:f>IF(N37=0,"Ready",IF(OR(M37="High Priority Review",K37="Amount Mismatch"),"High Priority Review","Review"))</x:f>
        <x:v>Ready</x:v>
      </x:c>
      <x:c r="P37" s="11" t="str">
        <x:f>IF(M37&lt;&gt;"Ready",'Transaction Validation'!R37,IF(J37="Missing Bank Match","Request bank-reference evidence",IF(K37="Amount Mismatch","Verify amount and post correction only with approval",IF(L37="Date Mismatch","Confirm timing difference in writing","No action required"))))</x:f>
        <x:v>No action required</x:v>
      </x:c>
    </x:row>
    <x:row r="38" ht="24" customHeight="1">
      <x:c r="A38" s="24" t="n">
        <x:f>'Transaction Validation'!A38</x:f>
        <x:v>38</x:v>
      </x:c>
      <x:c r="B38" s="24" t="str">
        <x:f>'Transaction Validation'!B38</x:f>
        <x:v>FIN-0034</x:v>
      </x:c>
      <x:c r="C38" s="26" t="n">
        <x:f>'Transaction Validation'!C38</x:f>
        <x:v>46150</x:v>
      </x:c>
      <x:c r="D38" s="24" t="str">
        <x:f>'Transaction Validation'!D38</x:f>
        <x:v>BNK-03034</x:v>
      </x:c>
      <x:c r="E38" s="24" t="str">
        <x:f>'Transaction Validation'!E38</x:f>
        <x:v>Bright Clean Services</x:v>
      </x:c>
      <x:c r="F38" s="28" t="n">
        <x:f>'Transaction Validation'!I38</x:f>
        <x:v>958000</x:v>
      </x:c>
      <x:c r="G38" s="24" t="n">
        <x:f>COUNTIF('Bank Statement'!C5:C62,D38)</x:f>
        <x:v>1</x:v>
      </x:c>
      <x:c r="H38" s="26" t="n">
        <x:f>IFERROR(INDEX('Bank Statement'!B5:B62,MATCH(D38,'Bank Statement'!C5:C62,0)),"")</x:f>
        <x:v>46150</x:v>
      </x:c>
      <x:c r="I38" s="28" t="n">
        <x:f>IFERROR(INDEX('Bank Statement'!E5:E62,MATCH(D38,'Bank Statement'!C5:C62,0)),"")</x:f>
        <x:v>958000</x:v>
      </x:c>
      <x:c r="J38" s="24" t="str">
        <x:f>IF(G38=0,"Missing Bank Match",IF(G38&gt;1,"Duplicate Bank Match","OK"))</x:f>
        <x:v>OK</x:v>
      </x:c>
      <x:c r="K38" s="24" t="str">
        <x:f>IF(G38=0,"Not Tested",IF(F38=I38,"OK","Amount Mismatch"))</x:f>
        <x:v>OK</x:v>
      </x:c>
      <x:c r="L38" s="24" t="str">
        <x:f>IF(G38=0,"Not Tested",IF(ABS(C38-H38)&lt;=2,"OK","Date Mismatch"))</x:f>
        <x:v>OK</x:v>
      </x:c>
      <x:c r="M38" s="24" t="str">
        <x:f>'Transaction Validation'!Q38</x:f>
        <x:v>Review</x:v>
      </x:c>
      <x:c r="N38" s="24" t="n">
        <x:f>IF(J38&lt;&gt;"OK",1,0)+IF(AND(K38&lt;&gt;"OK",K38&lt;&gt;"Not Tested"),1,0)+IF(AND(L38&lt;&gt;"OK",L38&lt;&gt;"Not Tested"),1,0)+IF(M38&lt;&gt;"Ready",1,0)</x:f>
        <x:v>1</x:v>
      </x:c>
      <x:c r="O38" s="24" t="str">
        <x:f>IF(N38=0,"Ready",IF(OR(M38="High Priority Review",K38="Amount Mismatch"),"High Priority Review","Review"))</x:f>
        <x:v>Review</x:v>
      </x:c>
      <x:c r="P38" s="24" t="str">
        <x:f>IF(M38&lt;&gt;"Ready",'Transaction Validation'!R38,IF(J38="Missing Bank Match","Request bank-reference evidence",IF(K38="Amount Mismatch","Verify amount and post correction only with approval",IF(L38="Date Mismatch","Confirm timing difference in writing","No action required"))))</x:f>
        <x:v>Confirm approved currency</x:v>
      </x:c>
    </x:row>
    <x:row r="39" ht="24" customHeight="1">
      <x:c r="A39" s="11" t="n">
        <x:f>'Transaction Validation'!A39</x:f>
        <x:v>39</x:v>
      </x:c>
      <x:c r="B39" s="11" t="str">
        <x:f>'Transaction Validation'!B39</x:f>
        <x:v>FIN-0035</x:v>
      </x:c>
      <x:c r="C39" s="25" t="n">
        <x:f>'Transaction Validation'!C39</x:f>
        <x:v>46184</x:v>
      </x:c>
      <x:c r="D39" s="11" t="str">
        <x:f>'Transaction Validation'!D39</x:f>
        <x:v>BNK-03035</x:v>
      </x:c>
      <x:c r="E39" s="11" t="str">
        <x:f>'Transaction Validation'!E39</x:f>
        <x:v>Sinar Telecom</x:v>
      </x:c>
      <x:c r="F39" s="27" t="n">
        <x:f>'Transaction Validation'!I39</x:f>
        <x:v>1095000</x:v>
      </x:c>
      <x:c r="G39" s="11" t="n">
        <x:f>COUNTIF('Bank Statement'!C5:C62,D39)</x:f>
        <x:v>1</x:v>
      </x:c>
      <x:c r="H39" s="25" t="n">
        <x:f>IFERROR(INDEX('Bank Statement'!B5:B62,MATCH(D39,'Bank Statement'!C5:C62,0)),"")</x:f>
        <x:v>46184</x:v>
      </x:c>
      <x:c r="I39" s="27" t="n">
        <x:f>IFERROR(INDEX('Bank Statement'!E5:E62,MATCH(D39,'Bank Statement'!C5:C62,0)),"")</x:f>
        <x:v>1095000</x:v>
      </x:c>
      <x:c r="J39" s="11" t="str">
        <x:f>IF(G39=0,"Missing Bank Match",IF(G39&gt;1,"Duplicate Bank Match","OK"))</x:f>
        <x:v>OK</x:v>
      </x:c>
      <x:c r="K39" s="11" t="str">
        <x:f>IF(G39=0,"Not Tested",IF(F39=I39,"OK","Amount Mismatch"))</x:f>
        <x:v>OK</x:v>
      </x:c>
      <x:c r="L39" s="11" t="str">
        <x:f>IF(G39=0,"Not Tested",IF(ABS(C39-H39)&lt;=2,"OK","Date Mismatch"))</x:f>
        <x:v>OK</x:v>
      </x:c>
      <x:c r="M39" s="11" t="str">
        <x:f>'Transaction Validation'!Q39</x:f>
        <x:v>Ready</x:v>
      </x:c>
      <x:c r="N39" s="11" t="n">
        <x:f>IF(J39&lt;&gt;"OK",1,0)+IF(AND(K39&lt;&gt;"OK",K39&lt;&gt;"Not Tested"),1,0)+IF(AND(L39&lt;&gt;"OK",L39&lt;&gt;"Not Tested"),1,0)+IF(M39&lt;&gt;"Ready",1,0)</x:f>
        <x:v>0</x:v>
      </x:c>
      <x:c r="O39" s="11" t="str">
        <x:f>IF(N39=0,"Ready",IF(OR(M39="High Priority Review",K39="Amount Mismatch"),"High Priority Review","Review"))</x:f>
        <x:v>Ready</x:v>
      </x:c>
      <x:c r="P39" s="11" t="str">
        <x:f>IF(M39&lt;&gt;"Ready",'Transaction Validation'!R39,IF(J39="Missing Bank Match","Request bank-reference evidence",IF(K39="Amount Mismatch","Verify amount and post correction only with approval",IF(L39="Date Mismatch","Confirm timing difference in writing","No action required"))))</x:f>
        <x:v>No action required</x:v>
      </x:c>
    </x:row>
    <x:row r="40" ht="24" customHeight="1">
      <x:c r="A40" s="24" t="n">
        <x:f>'Transaction Validation'!A40</x:f>
        <x:v>40</x:v>
      </x:c>
      <x:c r="B40" s="24" t="str">
        <x:f>'Transaction Validation'!B40</x:f>
        <x:v>FIN-0036</x:v>
      </x:c>
      <x:c r="C40" s="26" t="n">
        <x:f>'Transaction Validation'!C40</x:f>
        <x:v>46036</x:v>
      </x:c>
      <x:c r="D40" s="24" t="str">
        <x:f>'Transaction Validation'!D40</x:f>
        <x:v>BNK-03036</x:v>
      </x:c>
      <x:c r="E40" s="24" t="str">
        <x:f>'Transaction Validation'!E40</x:f>
        <x:v>Karya Printing</x:v>
      </x:c>
      <x:c r="F40" s="28" t="n">
        <x:f>'Transaction Validation'!I40</x:f>
        <x:v>1232000</x:v>
      </x:c>
      <x:c r="G40" s="24" t="n">
        <x:f>COUNTIF('Bank Statement'!C5:C62,D40)</x:f>
        <x:v>1</x:v>
      </x:c>
      <x:c r="H40" s="26" t="n">
        <x:f>IFERROR(INDEX('Bank Statement'!B5:B62,MATCH(D40,'Bank Statement'!C5:C62,0)),"")</x:f>
        <x:v>46036</x:v>
      </x:c>
      <x:c r="I40" s="28" t="n">
        <x:f>IFERROR(INDEX('Bank Statement'!E5:E62,MATCH(D40,'Bank Statement'!C5:C62,0)),"")</x:f>
        <x:v>1307000</x:v>
      </x:c>
      <x:c r="J40" s="24" t="str">
        <x:f>IF(G40=0,"Missing Bank Match",IF(G40&gt;1,"Duplicate Bank Match","OK"))</x:f>
        <x:v>OK</x:v>
      </x:c>
      <x:c r="K40" s="24" t="str">
        <x:f>IF(G40=0,"Not Tested",IF(F40=I40,"OK","Amount Mismatch"))</x:f>
        <x:v>Amount Mismatch</x:v>
      </x:c>
      <x:c r="L40" s="24" t="str">
        <x:f>IF(G40=0,"Not Tested",IF(ABS(C40-H40)&lt;=2,"OK","Date Mismatch"))</x:f>
        <x:v>OK</x:v>
      </x:c>
      <x:c r="M40" s="24" t="str">
        <x:f>'Transaction Validation'!Q40</x:f>
        <x:v>Ready</x:v>
      </x:c>
      <x:c r="N40" s="24" t="n">
        <x:f>IF(J40&lt;&gt;"OK",1,0)+IF(AND(K40&lt;&gt;"OK",K40&lt;&gt;"Not Tested"),1,0)+IF(AND(L40&lt;&gt;"OK",L40&lt;&gt;"Not Tested"),1,0)+IF(M40&lt;&gt;"Ready",1,0)</x:f>
        <x:v>1</x:v>
      </x:c>
      <x:c r="O40" s="24" t="str">
        <x:f>IF(N40=0,"Ready",IF(OR(M40="High Priority Review",K40="Amount Mismatch"),"High Priority Review","Review"))</x:f>
        <x:v>High Priority Review</x:v>
      </x:c>
      <x:c r="P40" s="24" t="str">
        <x:f>IF(M40&lt;&gt;"Ready",'Transaction Validation'!R40,IF(J40="Missing Bank Match","Request bank-reference evidence",IF(K40="Amount Mismatch","Verify amount and post correction only with approval",IF(L40="Date Mismatch","Confirm timing difference in writing","No action required"))))</x:f>
        <x:v>Verify amount and post correction only with approval</x:v>
      </x:c>
    </x:row>
    <x:row r="41" ht="24" customHeight="1">
      <x:c r="A41" s="11" t="n">
        <x:f>'Transaction Validation'!A41</x:f>
        <x:v>41</x:v>
      </x:c>
      <x:c r="B41" s="11" t="str">
        <x:f>'Transaction Validation'!B41</x:f>
        <x:v>FIN-0037</x:v>
      </x:c>
      <x:c r="C41" s="25" t="n">
        <x:f>'Transaction Validation'!C41</x:f>
        <x:v>46070</x:v>
      </x:c>
      <x:c r="D41" s="11" t="str">
        <x:f>'Transaction Validation'!D41</x:f>
        <x:v>BNK-03037</x:v>
      </x:c>
      <x:c r="E41" s="11" t="str">
        <x:f>'Transaction Validation'!E41</x:f>
        <x:v>Archipelago Travel</x:v>
      </x:c>
      <x:c r="F41" s="27" t="n">
        <x:f>'Transaction Validation'!I41</x:f>
        <x:v>1369000</x:v>
      </x:c>
      <x:c r="G41" s="11" t="n">
        <x:f>COUNTIF('Bank Statement'!C5:C62,D41)</x:f>
        <x:v>1</x:v>
      </x:c>
      <x:c r="H41" s="25" t="n">
        <x:f>IFERROR(INDEX('Bank Statement'!B5:B62,MATCH(D41,'Bank Statement'!C5:C62,0)),"")</x:f>
        <x:v>46070</x:v>
      </x:c>
      <x:c r="I41" s="27" t="n">
        <x:f>IFERROR(INDEX('Bank Statement'!E5:E62,MATCH(D41,'Bank Statement'!C5:C62,0)),"")</x:f>
        <x:v>1369000</x:v>
      </x:c>
      <x:c r="J41" s="11" t="str">
        <x:f>IF(G41=0,"Missing Bank Match",IF(G41&gt;1,"Duplicate Bank Match","OK"))</x:f>
        <x:v>OK</x:v>
      </x:c>
      <x:c r="K41" s="11" t="str">
        <x:f>IF(G41=0,"Not Tested",IF(F41=I41,"OK","Amount Mismatch"))</x:f>
        <x:v>OK</x:v>
      </x:c>
      <x:c r="L41" s="11" t="str">
        <x:f>IF(G41=0,"Not Tested",IF(ABS(C41-H41)&lt;=2,"OK","Date Mismatch"))</x:f>
        <x:v>OK</x:v>
      </x:c>
      <x:c r="M41" s="11" t="str">
        <x:f>'Transaction Validation'!Q41</x:f>
        <x:v>Ready</x:v>
      </x:c>
      <x:c r="N41" s="11" t="n">
        <x:f>IF(J41&lt;&gt;"OK",1,0)+IF(AND(K41&lt;&gt;"OK",K41&lt;&gt;"Not Tested"),1,0)+IF(AND(L41&lt;&gt;"OK",L41&lt;&gt;"Not Tested"),1,0)+IF(M41&lt;&gt;"Ready",1,0)</x:f>
        <x:v>0</x:v>
      </x:c>
      <x:c r="O41" s="11" t="str">
        <x:f>IF(N41=0,"Ready",IF(OR(M41="High Priority Review",K41="Amount Mismatch"),"High Priority Review","Review"))</x:f>
        <x:v>Ready</x:v>
      </x:c>
      <x:c r="P41" s="11" t="str">
        <x:f>IF(M41&lt;&gt;"Ready",'Transaction Validation'!R41,IF(J41="Missing Bank Match","Request bank-reference evidence",IF(K41="Amount Mismatch","Verify amount and post correction only with approval",IF(L41="Date Mismatch","Confirm timing difference in writing","No action required"))))</x:f>
        <x:v>No action required</x:v>
      </x:c>
    </x:row>
    <x:row r="42" ht="24" customHeight="1">
      <x:c r="A42" s="24" t="n">
        <x:f>'Transaction Validation'!A42</x:f>
        <x:v>42</x:v>
      </x:c>
      <x:c r="B42" s="24" t="str">
        <x:f>'Transaction Validation'!B42</x:f>
        <x:v>FIN-0038</x:v>
      </x:c>
      <x:c r="C42" s="26" t="n">
        <x:f>'Transaction Validation'!C42</x:f>
        <x:v>46101</x:v>
      </x:c>
      <x:c r="D42" s="24" t="str">
        <x:f>'Transaction Validation'!D42</x:f>
        <x:v>BNK-03038</x:v>
      </x:c>
      <x:c r="E42" s="24" t="str">
        <x:f>'Transaction Validation'!E42</x:f>
        <x:v>Prima Utilities</x:v>
      </x:c>
      <x:c r="F42" s="28" t="n">
        <x:f>'Transaction Validation'!I42</x:f>
        <x:v>1506000</x:v>
      </x:c>
      <x:c r="G42" s="24" t="n">
        <x:f>COUNTIF('Bank Statement'!C5:C62,D42)</x:f>
        <x:v>1</x:v>
      </x:c>
      <x:c r="H42" s="26" t="n">
        <x:f>IFERROR(INDEX('Bank Statement'!B5:B62,MATCH(D42,'Bank Statement'!C5:C62,0)),"")</x:f>
        <x:v>46101</x:v>
      </x:c>
      <x:c r="I42" s="28" t="n">
        <x:f>IFERROR(INDEX('Bank Statement'!E5:E62,MATCH(D42,'Bank Statement'!C5:C62,0)),"")</x:f>
        <x:v>1506000</x:v>
      </x:c>
      <x:c r="J42" s="24" t="str">
        <x:f>IF(G42=0,"Missing Bank Match",IF(G42&gt;1,"Duplicate Bank Match","OK"))</x:f>
        <x:v>OK</x:v>
      </x:c>
      <x:c r="K42" s="24" t="str">
        <x:f>IF(G42=0,"Not Tested",IF(F42=I42,"OK","Amount Mismatch"))</x:f>
        <x:v>OK</x:v>
      </x:c>
      <x:c r="L42" s="24" t="str">
        <x:f>IF(G42=0,"Not Tested",IF(ABS(C42-H42)&lt;=2,"OK","Date Mismatch"))</x:f>
        <x:v>OK</x:v>
      </x:c>
      <x:c r="M42" s="24" t="str">
        <x:f>'Transaction Validation'!Q42</x:f>
        <x:v>High Priority Review</x:v>
      </x:c>
      <x:c r="N42" s="24" t="n">
        <x:f>IF(J42&lt;&gt;"OK",1,0)+IF(AND(K42&lt;&gt;"OK",K42&lt;&gt;"Not Tested"),1,0)+IF(AND(L42&lt;&gt;"OK",L42&lt;&gt;"Not Tested"),1,0)+IF(M42&lt;&gt;"Ready",1,0)</x:f>
        <x:v>1</x:v>
      </x:c>
      <x:c r="O42" s="24" t="str">
        <x:f>IF(N42=0,"Ready",IF(OR(M42="High Priority Review",K42="Amount Mismatch"),"High Priority Review","Review"))</x:f>
        <x:v>High Priority Review</x:v>
      </x:c>
      <x:c r="P42" s="24" t="str">
        <x:f>IF(M42&lt;&gt;"Ready",'Transaction Validation'!R42,IF(J42="Missing Bank Match","Request bank-reference evidence",IF(K42="Amount Mismatch","Verify amount and post correction only with approval",IF(L42="Date Mismatch","Confirm timing difference in writing","No action required"))))</x:f>
        <x:v>Compare duplicate transaction records</x:v>
      </x:c>
    </x:row>
    <x:row r="43" ht="24" customHeight="1">
      <x:c r="A43" s="11" t="n">
        <x:f>'Transaction Validation'!A43</x:f>
        <x:v>43</x:v>
      </x:c>
      <x:c r="B43" s="11" t="str">
        <x:f>'Transaction Validation'!B43</x:f>
        <x:v>FIN-0038</x:v>
      </x:c>
      <x:c r="C43" s="25" t="n">
        <x:f>'Transaction Validation'!C43</x:f>
        <x:v>46135</x:v>
      </x:c>
      <x:c r="D43" s="11" t="str">
        <x:f>'Transaction Validation'!D43</x:f>
        <x:v>BNK-03039</x:v>
      </x:c>
      <x:c r="E43" s="11" t="str">
        <x:f>'Transaction Validation'!E43</x:f>
        <x:v>DataSecure Hosting</x:v>
      </x:c>
      <x:c r="F43" s="27" t="n">
        <x:f>'Transaction Validation'!I43</x:f>
        <x:v>1643000</x:v>
      </x:c>
      <x:c r="G43" s="11" t="n">
        <x:f>COUNTIF('Bank Statement'!C5:C62,D43)</x:f>
        <x:v>1</x:v>
      </x:c>
      <x:c r="H43" s="25" t="n">
        <x:f>IFERROR(INDEX('Bank Statement'!B5:B62,MATCH(D43,'Bank Statement'!C5:C62,0)),"")</x:f>
        <x:v>46135</x:v>
      </x:c>
      <x:c r="I43" s="27" t="n">
        <x:f>IFERROR(INDEX('Bank Statement'!E5:E62,MATCH(D43,'Bank Statement'!C5:C62,0)),"")</x:f>
        <x:v>1643000</x:v>
      </x:c>
      <x:c r="J43" s="11" t="str">
        <x:f>IF(G43=0,"Missing Bank Match",IF(G43&gt;1,"Duplicate Bank Match","OK"))</x:f>
        <x:v>OK</x:v>
      </x:c>
      <x:c r="K43" s="11" t="str">
        <x:f>IF(G43=0,"Not Tested",IF(F43=I43,"OK","Amount Mismatch"))</x:f>
        <x:v>OK</x:v>
      </x:c>
      <x:c r="L43" s="11" t="str">
        <x:f>IF(G43=0,"Not Tested",IF(ABS(C43-H43)&lt;=2,"OK","Date Mismatch"))</x:f>
        <x:v>OK</x:v>
      </x:c>
      <x:c r="M43" s="11" t="str">
        <x:f>'Transaction Validation'!Q43</x:f>
        <x:v>High Priority Review</x:v>
      </x:c>
      <x:c r="N43" s="11" t="n">
        <x:f>IF(J43&lt;&gt;"OK",1,0)+IF(AND(K43&lt;&gt;"OK",K43&lt;&gt;"Not Tested"),1,0)+IF(AND(L43&lt;&gt;"OK",L43&lt;&gt;"Not Tested"),1,0)+IF(M43&lt;&gt;"Ready",1,0)</x:f>
        <x:v>1</x:v>
      </x:c>
      <x:c r="O43" s="11" t="str">
        <x:f>IF(N43=0,"Ready",IF(OR(M43="High Priority Review",K43="Amount Mismatch"),"High Priority Review","Review"))</x:f>
        <x:v>High Priority Review</x:v>
      </x:c>
      <x:c r="P43" s="11" t="str">
        <x:f>IF(M43&lt;&gt;"Ready",'Transaction Validation'!R43,IF(J43="Missing Bank Match","Request bank-reference evidence",IF(K43="Amount Mismatch","Verify amount and post correction only with approval",IF(L43="Date Mismatch","Confirm timing difference in writing","No action required"))))</x:f>
        <x:v>Compare duplicate transaction records</x:v>
      </x:c>
    </x:row>
    <x:row r="44" ht="24" customHeight="1">
      <x:c r="A44" s="24" t="n">
        <x:f>'Transaction Validation'!A44</x:f>
        <x:v>44</x:v>
      </x:c>
      <x:c r="B44" s="24" t="str">
        <x:f>'Transaction Validation'!B44</x:f>
        <x:v>FIN-0040</x:v>
      </x:c>
      <x:c r="C44" s="26" t="n">
        <x:f>'Transaction Validation'!C44</x:f>
        <x:v>46144</x:v>
      </x:c>
      <x:c r="D44" s="24" t="str">
        <x:f>'Transaction Validation'!D44</x:f>
        <x:v>BNK-03040</x:v>
      </x:c>
      <x:c r="E44" s="24" t="str">
        <x:f>'Transaction Validation'!E44</x:f>
        <x:v>Maju Training Center</x:v>
      </x:c>
      <x:c r="F44" s="28" t="n">
        <x:f>'Transaction Validation'!I44</x:f>
        <x:v>1780000</x:v>
      </x:c>
      <x:c r="G44" s="24" t="n">
        <x:f>COUNTIF('Bank Statement'!C5:C62,D44)</x:f>
        <x:v>1</x:v>
      </x:c>
      <x:c r="H44" s="26" t="n">
        <x:f>IFERROR(INDEX('Bank Statement'!B5:B62,MATCH(D44,'Bank Statement'!C5:C62,0)),"")</x:f>
        <x:v>46144</x:v>
      </x:c>
      <x:c r="I44" s="28" t="n">
        <x:f>IFERROR(INDEX('Bank Statement'!E5:E62,MATCH(D44,'Bank Statement'!C5:C62,0)),"")</x:f>
        <x:v>1780000</x:v>
      </x:c>
      <x:c r="J44" s="24" t="str">
        <x:f>IF(G44=0,"Missing Bank Match",IF(G44&gt;1,"Duplicate Bank Match","OK"))</x:f>
        <x:v>OK</x:v>
      </x:c>
      <x:c r="K44" s="24" t="str">
        <x:f>IF(G44=0,"Not Tested",IF(F44=I44,"OK","Amount Mismatch"))</x:f>
        <x:v>OK</x:v>
      </x:c>
      <x:c r="L44" s="24" t="str">
        <x:f>IF(G44=0,"Not Tested",IF(ABS(C44-H44)&lt;=2,"OK","Date Mismatch"))</x:f>
        <x:v>OK</x:v>
      </x:c>
      <x:c r="M44" s="24" t="str">
        <x:f>'Transaction Validation'!Q44</x:f>
        <x:v>Review</x:v>
      </x:c>
      <x:c r="N44" s="24" t="n">
        <x:f>IF(J44&lt;&gt;"OK",1,0)+IF(AND(K44&lt;&gt;"OK",K44&lt;&gt;"Not Tested"),1,0)+IF(AND(L44&lt;&gt;"OK",L44&lt;&gt;"Not Tested"),1,0)+IF(M44&lt;&gt;"Ready",1,0)</x:f>
        <x:v>1</x:v>
      </x:c>
      <x:c r="O44" s="24" t="str">
        <x:f>IF(N44=0,"Ready",IF(OR(M44="High Priority Review",K44="Amount Mismatch"),"High Priority Review","Review"))</x:f>
        <x:v>Review</x:v>
      </x:c>
      <x:c r="P44" s="24" t="str">
        <x:f>IF(M44&lt;&gt;"Ready",'Transaction Validation'!R44,IF(J44="Missing Bank Match","Request bank-reference evidence",IF(K44="Amount Mismatch","Verify amount and post correction only with approval",IF(L44="Date Mismatch","Confirm timing difference in writing","No action required"))))</x:f>
        <x:v>Request supporting document in writing</x:v>
      </x:c>
    </x:row>
    <x:row r="45" ht="24" customHeight="1">
      <x:c r="A45" s="11" t="n">
        <x:f>'Transaction Validation'!A45</x:f>
        <x:v>45</x:v>
      </x:c>
      <x:c r="B45" s="11" t="str">
        <x:f>'Transaction Validation'!B45</x:f>
        <x:v>FIN-0041</x:v>
      </x:c>
      <x:c r="C45" s="25" t="n">
        <x:f>'Transaction Validation'!C45</x:f>
        <x:v>46178</x:v>
      </x:c>
      <x:c r="D45" s="11" t="str">
        <x:f>'Transaction Validation'!D45</x:f>
        <x:v>BNK-03041</x:v>
      </x:c>
      <x:c r="E45" s="11" t="str">
        <x:f>'Transaction Validation'!E45</x:f>
        <x:v>Nusa Office Supply</x:v>
      </x:c>
      <x:c r="F45" s="27" t="n">
        <x:f>'Transaction Validation'!I45</x:f>
        <x:v>1917000</x:v>
      </x:c>
      <x:c r="G45" s="11" t="n">
        <x:f>COUNTIF('Bank Statement'!C5:C62,D45)</x:f>
        <x:v>0</x:v>
      </x:c>
      <x:c r="H45" s="25" t="str">
        <x:f>IFERROR(INDEX('Bank Statement'!B5:B62,MATCH(D45,'Bank Statement'!C5:C62,0)),"")</x:f>
      </x:c>
      <x:c r="I45" s="27" t="str">
        <x:f>IFERROR(INDEX('Bank Statement'!E5:E62,MATCH(D45,'Bank Statement'!C5:C62,0)),"")</x:f>
      </x:c>
      <x:c r="J45" s="11" t="str">
        <x:f>IF(G45=0,"Missing Bank Match",IF(G45&gt;1,"Duplicate Bank Match","OK"))</x:f>
        <x:v>Missing Bank Match</x:v>
      </x:c>
      <x:c r="K45" s="11" t="str">
        <x:f>IF(G45=0,"Not Tested",IF(F45=I45,"OK","Amount Mismatch"))</x:f>
        <x:v>Not Tested</x:v>
      </x:c>
      <x:c r="L45" s="11" t="str">
        <x:f>IF(G45=0,"Not Tested",IF(ABS(C45-H45)&lt;=2,"OK","Date Mismatch"))</x:f>
        <x:v>Not Tested</x:v>
      </x:c>
      <x:c r="M45" s="11" t="str">
        <x:f>'Transaction Validation'!Q45</x:f>
        <x:v>Ready</x:v>
      </x:c>
      <x:c r="N45" s="11" t="n">
        <x:f>IF(J45&lt;&gt;"OK",1,0)+IF(AND(K45&lt;&gt;"OK",K45&lt;&gt;"Not Tested"),1,0)+IF(AND(L45&lt;&gt;"OK",L45&lt;&gt;"Not Tested"),1,0)+IF(M45&lt;&gt;"Ready",1,0)</x:f>
        <x:v>1</x:v>
      </x:c>
      <x:c r="O45" s="11" t="str">
        <x:f>IF(N45=0,"Ready",IF(OR(M45="High Priority Review",K45="Amount Mismatch"),"High Priority Review","Review"))</x:f>
        <x:v>Review</x:v>
      </x:c>
      <x:c r="P45" s="11" t="str">
        <x:f>IF(M45&lt;&gt;"Ready",'Transaction Validation'!R45,IF(J45="Missing Bank Match","Request bank-reference evidence",IF(K45="Amount Mismatch","Verify amount and post correction only with approval",IF(L45="Date Mismatch","Confirm timing difference in writing","No action required"))))</x:f>
        <x:v>Request bank-reference evidence</x:v>
      </x:c>
    </x:row>
    <x:row r="46" ht="24" customHeight="1">
      <x:c r="A46" s="24" t="n">
        <x:f>'Transaction Validation'!A46</x:f>
        <x:v>46</x:v>
      </x:c>
      <x:c r="B46" s="24" t="str">
        <x:f>'Transaction Validation'!B46</x:f>
        <x:v>FIN-0042</x:v>
      </x:c>
      <x:c r="C46" s="26" t="n">
        <x:f>'Transaction Validation'!C46</x:f>
        <x:v>46030</x:v>
      </x:c>
      <x:c r="D46" s="24" t="str">
        <x:f>'Transaction Validation'!D46</x:f>
        <x:v>BNK-03042</x:v>
      </x:c>
      <x:c r="E46" s="24" t="str">
        <x:f>'Transaction Validation'!E46</x:f>
        <x:v>CloudDesk Software</x:v>
      </x:c>
      <x:c r="F46" s="28" t="n">
        <x:f>'Transaction Validation'!I46</x:f>
        <x:v>2054000</x:v>
      </x:c>
      <x:c r="G46" s="24" t="n">
        <x:f>COUNTIF('Bank Statement'!C5:C62,D46)</x:f>
        <x:v>1</x:v>
      </x:c>
      <x:c r="H46" s="26" t="n">
        <x:f>IFERROR(INDEX('Bank Statement'!B5:B62,MATCH(D46,'Bank Statement'!C5:C62,0)),"")</x:f>
        <x:v>46030</x:v>
      </x:c>
      <x:c r="I46" s="28" t="n">
        <x:f>IFERROR(INDEX('Bank Statement'!E5:E62,MATCH(D46,'Bank Statement'!C5:C62,0)),"")</x:f>
        <x:v>2054000</x:v>
      </x:c>
      <x:c r="J46" s="24" t="str">
        <x:f>IF(G46=0,"Missing Bank Match",IF(G46&gt;1,"Duplicate Bank Match","OK"))</x:f>
        <x:v>OK</x:v>
      </x:c>
      <x:c r="K46" s="24" t="str">
        <x:f>IF(G46=0,"Not Tested",IF(F46=I46,"OK","Amount Mismatch"))</x:f>
        <x:v>OK</x:v>
      </x:c>
      <x:c r="L46" s="24" t="str">
        <x:f>IF(G46=0,"Not Tested",IF(ABS(C46-H46)&lt;=2,"OK","Date Mismatch"))</x:f>
        <x:v>OK</x:v>
      </x:c>
      <x:c r="M46" s="24" t="str">
        <x:f>'Transaction Validation'!Q46</x:f>
        <x:v>Ready</x:v>
      </x:c>
      <x:c r="N46" s="24" t="n">
        <x:f>IF(J46&lt;&gt;"OK",1,0)+IF(AND(K46&lt;&gt;"OK",K46&lt;&gt;"Not Tested"),1,0)+IF(AND(L46&lt;&gt;"OK",L46&lt;&gt;"Not Tested"),1,0)+IF(M46&lt;&gt;"Ready",1,0)</x:f>
        <x:v>0</x:v>
      </x:c>
      <x:c r="O46" s="24" t="str">
        <x:f>IF(N46=0,"Ready",IF(OR(M46="High Priority Review",K46="Amount Mismatch"),"High Priority Review","Review"))</x:f>
        <x:v>Ready</x:v>
      </x:c>
      <x:c r="P46" s="24" t="str">
        <x:f>IF(M46&lt;&gt;"Ready",'Transaction Validation'!R46,IF(J46="Missing Bank Match","Request bank-reference evidence",IF(K46="Amount Mismatch","Verify amount and post correction only with approval",IF(L46="Date Mismatch","Confirm timing difference in writing","No action required"))))</x:f>
        <x:v>No action required</x:v>
      </x:c>
    </x:row>
    <x:row r="47" ht="24" customHeight="1">
      <x:c r="A47" s="11" t="n">
        <x:f>'Transaction Validation'!A47</x:f>
        <x:v>47</x:v>
      </x:c>
      <x:c r="B47" s="11" t="str">
        <x:f>'Transaction Validation'!B47</x:f>
        <x:v>FIN-0043</x:v>
      </x:c>
      <x:c r="C47" s="25" t="n">
        <x:f>'Transaction Validation'!C47</x:f>
        <x:v>46064</x:v>
      </x:c>
      <x:c r="D47" s="11" t="str">
        <x:f>'Transaction Validation'!D47</x:f>
        <x:v>BNK-03043</x:v>
      </x:c>
      <x:c r="E47" s="11" t="str">
        <x:f>'Transaction Validation'!E47</x:f>
        <x:v>Metro Courier</x:v>
      </x:c>
      <x:c r="F47" s="27" t="n">
        <x:f>'Transaction Validation'!I47</x:f>
        <x:v>2191000</x:v>
      </x:c>
      <x:c r="G47" s="11" t="n">
        <x:f>COUNTIF('Bank Statement'!C5:C62,D47)</x:f>
        <x:v>1</x:v>
      </x:c>
      <x:c r="H47" s="25" t="n">
        <x:f>IFERROR(INDEX('Bank Statement'!B5:B62,MATCH(D47,'Bank Statement'!C5:C62,0)),"")</x:f>
        <x:v>46064</x:v>
      </x:c>
      <x:c r="I47" s="27" t="n">
        <x:f>IFERROR(INDEX('Bank Statement'!E5:E62,MATCH(D47,'Bank Statement'!C5:C62,0)),"")</x:f>
        <x:v>2191000</x:v>
      </x:c>
      <x:c r="J47" s="11" t="str">
        <x:f>IF(G47=0,"Missing Bank Match",IF(G47&gt;1,"Duplicate Bank Match","OK"))</x:f>
        <x:v>OK</x:v>
      </x:c>
      <x:c r="K47" s="11" t="str">
        <x:f>IF(G47=0,"Not Tested",IF(F47=I47,"OK","Amount Mismatch"))</x:f>
        <x:v>OK</x:v>
      </x:c>
      <x:c r="L47" s="11" t="str">
        <x:f>IF(G47=0,"Not Tested",IF(ABS(C47-H47)&lt;=2,"OK","Date Mismatch"))</x:f>
        <x:v>OK</x:v>
      </x:c>
      <x:c r="M47" s="11" t="str">
        <x:f>'Transaction Validation'!Q47</x:f>
        <x:v>Review</x:v>
      </x:c>
      <x:c r="N47" s="11" t="n">
        <x:f>IF(J47&lt;&gt;"OK",1,0)+IF(AND(K47&lt;&gt;"OK",K47&lt;&gt;"Not Tested"),1,0)+IF(AND(L47&lt;&gt;"OK",L47&lt;&gt;"Not Tested"),1,0)+IF(M47&lt;&gt;"Ready",1,0)</x:f>
        <x:v>1</x:v>
      </x:c>
      <x:c r="O47" s="11" t="str">
        <x:f>IF(N47=0,"Ready",IF(OR(M47="High Priority Review",K47="Amount Mismatch"),"High Priority Review","Review"))</x:f>
        <x:v>Review</x:v>
      </x:c>
      <x:c r="P47" s="11" t="str">
        <x:f>IF(M47&lt;&gt;"Ready",'Transaction Validation'!R47,IF(J47="Missing Bank Match","Request bank-reference evidence",IF(K47="Amount Mismatch","Verify amount and post correction only with approval",IF(L47="Date Mismatch","Confirm timing difference in writing","No action required"))))</x:f>
        <x:v>Confirm approved finance category</x:v>
      </x:c>
    </x:row>
    <x:row r="48" ht="24" customHeight="1">
      <x:c r="A48" s="24" t="n">
        <x:f>'Transaction Validation'!A48</x:f>
        <x:v>48</x:v>
      </x:c>
      <x:c r="B48" s="24" t="str">
        <x:f>'Transaction Validation'!B48</x:f>
        <x:v>FIN-0044</x:v>
      </x:c>
      <x:c r="C48" s="26" t="n">
        <x:f>'Transaction Validation'!C48</x:f>
        <x:v>46095</x:v>
      </x:c>
      <x:c r="D48" s="24" t="str">
        <x:f>'Transaction Validation'!D48</x:f>
        <x:v>BNK-03044</x:v>
      </x:c>
      <x:c r="E48" s="24" t="str">
        <x:f>'Transaction Validation'!E48</x:f>
        <x:v>Bright Clean Services</x:v>
      </x:c>
      <x:c r="F48" s="28" t="n">
        <x:f>'Transaction Validation'!I48</x:f>
        <x:v>2328000</x:v>
      </x:c>
      <x:c r="G48" s="24" t="n">
        <x:f>COUNTIF('Bank Statement'!C5:C62,D48)</x:f>
        <x:v>1</x:v>
      </x:c>
      <x:c r="H48" s="26" t="n">
        <x:f>IFERROR(INDEX('Bank Statement'!B5:B62,MATCH(D48,'Bank Statement'!C5:C62,0)),"")</x:f>
        <x:v>46095</x:v>
      </x:c>
      <x:c r="I48" s="28" t="n">
        <x:f>IFERROR(INDEX('Bank Statement'!E5:E62,MATCH(D48,'Bank Statement'!C5:C62,0)),"")</x:f>
        <x:v>2328000</x:v>
      </x:c>
      <x:c r="J48" s="24" t="str">
        <x:f>IF(G48=0,"Missing Bank Match",IF(G48&gt;1,"Duplicate Bank Match","OK"))</x:f>
        <x:v>OK</x:v>
      </x:c>
      <x:c r="K48" s="24" t="str">
        <x:f>IF(G48=0,"Not Tested",IF(F48=I48,"OK","Amount Mismatch"))</x:f>
        <x:v>OK</x:v>
      </x:c>
      <x:c r="L48" s="24" t="str">
        <x:f>IF(G48=0,"Not Tested",IF(ABS(C48-H48)&lt;=2,"OK","Date Mismatch"))</x:f>
        <x:v>OK</x:v>
      </x:c>
      <x:c r="M48" s="24" t="str">
        <x:f>'Transaction Validation'!Q48</x:f>
        <x:v>Ready</x:v>
      </x:c>
      <x:c r="N48" s="24" t="n">
        <x:f>IF(J48&lt;&gt;"OK",1,0)+IF(AND(K48&lt;&gt;"OK",K48&lt;&gt;"Not Tested"),1,0)+IF(AND(L48&lt;&gt;"OK",L48&lt;&gt;"Not Tested"),1,0)+IF(M48&lt;&gt;"Ready",1,0)</x:f>
        <x:v>0</x:v>
      </x:c>
      <x:c r="O48" s="24" t="str">
        <x:f>IF(N48=0,"Ready",IF(OR(M48="High Priority Review",K48="Amount Mismatch"),"High Priority Review","Review"))</x:f>
        <x:v>Ready</x:v>
      </x:c>
      <x:c r="P48" s="24" t="str">
        <x:f>IF(M48&lt;&gt;"Ready",'Transaction Validation'!R48,IF(J48="Missing Bank Match","Request bank-reference evidence",IF(K48="Amount Mismatch","Verify amount and post correction only with approval",IF(L48="Date Mismatch","Confirm timing difference in writing","No action required"))))</x:f>
        <x:v>No action required</x:v>
      </x:c>
    </x:row>
    <x:row r="49" ht="24" customHeight="1">
      <x:c r="A49" s="11" t="n">
        <x:f>'Transaction Validation'!A49</x:f>
        <x:v>49</x:v>
      </x:c>
      <x:c r="B49" s="11" t="str">
        <x:f>'Transaction Validation'!B49</x:f>
        <x:v>FIN-0045</x:v>
      </x:c>
      <x:c r="C49" s="25" t="n">
        <x:f>'Transaction Validation'!C49</x:f>
        <x:v>46129</x:v>
      </x:c>
      <x:c r="D49" s="11" t="str">
        <x:f>'Transaction Validation'!D49</x:f>
        <x:v>BNK-03045</x:v>
      </x:c>
      <x:c r="E49" s="11" t="str">
        <x:f>'Transaction Validation'!E49</x:f>
        <x:v>Sinar Telecom</x:v>
      </x:c>
      <x:c r="F49" s="27" t="n">
        <x:f>'Transaction Validation'!I49</x:f>
        <x:v>2465000</x:v>
      </x:c>
      <x:c r="G49" s="11" t="n">
        <x:f>COUNTIF('Bank Statement'!C5:C62,D49)</x:f>
        <x:v>1</x:v>
      </x:c>
      <x:c r="H49" s="25" t="n">
        <x:f>IFERROR(INDEX('Bank Statement'!B5:B62,MATCH(D49,'Bank Statement'!C5:C62,0)),"")</x:f>
        <x:v>46129</x:v>
      </x:c>
      <x:c r="I49" s="27" t="n">
        <x:f>IFERROR(INDEX('Bank Statement'!E5:E62,MATCH(D49,'Bank Statement'!C5:C62,0)),"")</x:f>
        <x:v>2465000</x:v>
      </x:c>
      <x:c r="J49" s="11" t="str">
        <x:f>IF(G49=0,"Missing Bank Match",IF(G49&gt;1,"Duplicate Bank Match","OK"))</x:f>
        <x:v>OK</x:v>
      </x:c>
      <x:c r="K49" s="11" t="str">
        <x:f>IF(G49=0,"Not Tested",IF(F49=I49,"OK","Amount Mismatch"))</x:f>
        <x:v>OK</x:v>
      </x:c>
      <x:c r="L49" s="11" t="str">
        <x:f>IF(G49=0,"Not Tested",IF(ABS(C49-H49)&lt;=2,"OK","Date Mismatch"))</x:f>
        <x:v>OK</x:v>
      </x:c>
      <x:c r="M49" s="11" t="str">
        <x:f>'Transaction Validation'!Q49</x:f>
        <x:v>Ready</x:v>
      </x:c>
      <x:c r="N49" s="11" t="n">
        <x:f>IF(J49&lt;&gt;"OK",1,0)+IF(AND(K49&lt;&gt;"OK",K49&lt;&gt;"Not Tested"),1,0)+IF(AND(L49&lt;&gt;"OK",L49&lt;&gt;"Not Tested"),1,0)+IF(M49&lt;&gt;"Ready",1,0)</x:f>
        <x:v>0</x:v>
      </x:c>
      <x:c r="O49" s="11" t="str">
        <x:f>IF(N49=0,"Ready",IF(OR(M49="High Priority Review",K49="Amount Mismatch"),"High Priority Review","Review"))</x:f>
        <x:v>Ready</x:v>
      </x:c>
      <x:c r="P49" s="11" t="str">
        <x:f>IF(M49&lt;&gt;"Ready",'Transaction Validation'!R49,IF(J49="Missing Bank Match","Request bank-reference evidence",IF(K49="Amount Mismatch","Verify amount and post correction only with approval",IF(L49="Date Mismatch","Confirm timing difference in writing","No action required"))))</x:f>
        <x:v>No action required</x:v>
      </x:c>
    </x:row>
    <x:row r="50" ht="24" customHeight="1">
      <x:c r="A50" s="24" t="n">
        <x:f>'Transaction Validation'!A50</x:f>
        <x:v>50</x:v>
      </x:c>
      <x:c r="B50" s="24" t="str">
        <x:f>'Transaction Validation'!B50</x:f>
        <x:v>FIN-0046</x:v>
      </x:c>
      <x:c r="C50" s="26" t="n">
        <x:f>'Transaction Validation'!C50</x:f>
        <x:v>46162</x:v>
      </x:c>
      <x:c r="D50" s="24" t="str">
        <x:f>'Transaction Validation'!D50</x:f>
        <x:v>BNK-03046</x:v>
      </x:c>
      <x:c r="E50" s="24" t="str">
        <x:f>'Transaction Validation'!E50</x:f>
        <x:v>Karya Printing</x:v>
      </x:c>
      <x:c r="F50" s="28" t="n">
        <x:f>'Transaction Validation'!I50</x:f>
        <x:v>-250000</x:v>
      </x:c>
      <x:c r="G50" s="24" t="n">
        <x:f>COUNTIF('Bank Statement'!C5:C62,D50)</x:f>
        <x:v>1</x:v>
      </x:c>
      <x:c r="H50" s="26" t="n">
        <x:f>IFERROR(INDEX('Bank Statement'!B5:B62,MATCH(D50,'Bank Statement'!C5:C62,0)),"")</x:f>
        <x:v>46162</x:v>
      </x:c>
      <x:c r="I50" s="28" t="n">
        <x:f>IFERROR(INDEX('Bank Statement'!E5:E62,MATCH(D50,'Bank Statement'!C5:C62,0)),"")</x:f>
        <x:v>-250000</x:v>
      </x:c>
      <x:c r="J50" s="24" t="str">
        <x:f>IF(G50=0,"Missing Bank Match",IF(G50&gt;1,"Duplicate Bank Match","OK"))</x:f>
        <x:v>OK</x:v>
      </x:c>
      <x:c r="K50" s="24" t="str">
        <x:f>IF(G50=0,"Not Tested",IF(F50=I50,"OK","Amount Mismatch"))</x:f>
        <x:v>OK</x:v>
      </x:c>
      <x:c r="L50" s="24" t="str">
        <x:f>IF(G50=0,"Not Tested",IF(ABS(C50-H50)&lt;=2,"OK","Date Mismatch"))</x:f>
        <x:v>OK</x:v>
      </x:c>
      <x:c r="M50" s="24" t="str">
        <x:f>'Transaction Validation'!Q50</x:f>
        <x:v>High Priority Review</x:v>
      </x:c>
      <x:c r="N50" s="24" t="n">
        <x:f>IF(J50&lt;&gt;"OK",1,0)+IF(AND(K50&lt;&gt;"OK",K50&lt;&gt;"Not Tested"),1,0)+IF(AND(L50&lt;&gt;"OK",L50&lt;&gt;"Not Tested"),1,0)+IF(M50&lt;&gt;"Ready",1,0)</x:f>
        <x:v>1</x:v>
      </x:c>
      <x:c r="O50" s="24" t="str">
        <x:f>IF(N50=0,"Ready",IF(OR(M50="High Priority Review",K50="Amount Mismatch"),"High Priority Review","Review"))</x:f>
        <x:v>High Priority Review</x:v>
      </x:c>
      <x:c r="P50" s="24" t="str">
        <x:f>IF(M50&lt;&gt;"Ready",'Transaction Validation'!R50,IF(J50="Missing Bank Match","Request bank-reference evidence",IF(K50="Amount Mismatch","Verify amount and post correction only with approval",IF(L50="Date Mismatch","Confirm timing difference in writing","No action required"))))</x:f>
        <x:v>Verify amount against approved source</x:v>
      </x:c>
    </x:row>
    <x:row r="51" ht="24" customHeight="1">
      <x:c r="A51" s="11" t="n">
        <x:f>'Transaction Validation'!A51</x:f>
        <x:v>51</x:v>
      </x:c>
      <x:c r="B51" s="11" t="str">
        <x:f>'Transaction Validation'!B51</x:f>
        <x:v>FIN-0047</x:v>
      </x:c>
      <x:c r="C51" s="25" t="n">
        <x:f>'Transaction Validation'!C51</x:f>
        <x:v>46196</x:v>
      </x:c>
      <x:c r="D51" s="11" t="str">
        <x:f>'Transaction Validation'!D51</x:f>
        <x:v>BNK-03047</x:v>
      </x:c>
      <x:c r="E51" s="11" t="str">
        <x:f>'Transaction Validation'!E51</x:f>
        <x:v>Archipelago Travel</x:v>
      </x:c>
      <x:c r="F51" s="27" t="n">
        <x:f>'Transaction Validation'!I51</x:f>
        <x:v>2739000</x:v>
      </x:c>
      <x:c r="G51" s="11" t="n">
        <x:f>COUNTIF('Bank Statement'!C5:C62,D51)</x:f>
        <x:v>1</x:v>
      </x:c>
      <x:c r="H51" s="25" t="n">
        <x:f>IFERROR(INDEX('Bank Statement'!B5:B62,MATCH(D51,'Bank Statement'!C5:C62,0)),"")</x:f>
        <x:v>46196</x:v>
      </x:c>
      <x:c r="I51" s="27" t="n">
        <x:f>IFERROR(INDEX('Bank Statement'!E5:E62,MATCH(D51,'Bank Statement'!C5:C62,0)),"")</x:f>
        <x:v>2739000</x:v>
      </x:c>
      <x:c r="J51" s="11" t="str">
        <x:f>IF(G51=0,"Missing Bank Match",IF(G51&gt;1,"Duplicate Bank Match","OK"))</x:f>
        <x:v>OK</x:v>
      </x:c>
      <x:c r="K51" s="11" t="str">
        <x:f>IF(G51=0,"Not Tested",IF(F51=I51,"OK","Amount Mismatch"))</x:f>
        <x:v>OK</x:v>
      </x:c>
      <x:c r="L51" s="11" t="str">
        <x:f>IF(G51=0,"Not Tested",IF(ABS(C51-H51)&lt;=2,"OK","Date Mismatch"))</x:f>
        <x:v>OK</x:v>
      </x:c>
      <x:c r="M51" s="11" t="str">
        <x:f>'Transaction Validation'!Q51</x:f>
        <x:v>Ready</x:v>
      </x:c>
      <x:c r="N51" s="11" t="n">
        <x:f>IF(J51&lt;&gt;"OK",1,0)+IF(AND(K51&lt;&gt;"OK",K51&lt;&gt;"Not Tested"),1,0)+IF(AND(L51&lt;&gt;"OK",L51&lt;&gt;"Not Tested"),1,0)+IF(M51&lt;&gt;"Ready",1,0)</x:f>
        <x:v>0</x:v>
      </x:c>
      <x:c r="O51" s="11" t="str">
        <x:f>IF(N51=0,"Ready",IF(OR(M51="High Priority Review",K51="Amount Mismatch"),"High Priority Review","Review"))</x:f>
        <x:v>Ready</x:v>
      </x:c>
      <x:c r="P51" s="11" t="str">
        <x:f>IF(M51&lt;&gt;"Ready",'Transaction Validation'!R51,IF(J51="Missing Bank Match","Request bank-reference evidence",IF(K51="Amount Mismatch","Verify amount and post correction only with approval",IF(L51="Date Mismatch","Confirm timing difference in writing","No action required"))))</x:f>
        <x:v>No action required</x:v>
      </x:c>
    </x:row>
    <x:row r="52" ht="24" customHeight="1">
      <x:c r="A52" s="24" t="n">
        <x:f>'Transaction Validation'!A52</x:f>
        <x:v>52</x:v>
      </x:c>
      <x:c r="B52" s="24" t="str">
        <x:f>'Transaction Validation'!B52</x:f>
        <x:v>FIN-0048</x:v>
      </x:c>
      <x:c r="C52" s="26" t="n">
        <x:f>'Transaction Validation'!C52</x:f>
        <x:v>46024</x:v>
      </x:c>
      <x:c r="D52" s="24" t="str">
        <x:f>'Transaction Validation'!D52</x:f>
        <x:v>BNK-03048</x:v>
      </x:c>
      <x:c r="E52" s="24" t="str">
        <x:f>'Transaction Validation'!E52</x:f>
        <x:v>Prima Utilities</x:v>
      </x:c>
      <x:c r="F52" s="28" t="n">
        <x:f>'Transaction Validation'!I52</x:f>
        <x:v>2876000</x:v>
      </x:c>
      <x:c r="G52" s="24" t="n">
        <x:f>COUNTIF('Bank Statement'!C5:C62,D52)</x:f>
        <x:v>1</x:v>
      </x:c>
      <x:c r="H52" s="26" t="n">
        <x:f>IFERROR(INDEX('Bank Statement'!B5:B62,MATCH(D52,'Bank Statement'!C5:C62,0)),"")</x:f>
        <x:v>46024</x:v>
      </x:c>
      <x:c r="I52" s="28" t="n">
        <x:f>IFERROR(INDEX('Bank Statement'!E5:E62,MATCH(D52,'Bank Statement'!C5:C62,0)),"")</x:f>
        <x:v>2876000</x:v>
      </x:c>
      <x:c r="J52" s="24" t="str">
        <x:f>IF(G52=0,"Missing Bank Match",IF(G52&gt;1,"Duplicate Bank Match","OK"))</x:f>
        <x:v>OK</x:v>
      </x:c>
      <x:c r="K52" s="24" t="str">
        <x:f>IF(G52=0,"Not Tested",IF(F52=I52,"OK","Amount Mismatch"))</x:f>
        <x:v>OK</x:v>
      </x:c>
      <x:c r="L52" s="24" t="str">
        <x:f>IF(G52=0,"Not Tested",IF(ABS(C52-H52)&lt;=2,"OK","Date Mismatch"))</x:f>
        <x:v>OK</x:v>
      </x:c>
      <x:c r="M52" s="24" t="str">
        <x:f>'Transaction Validation'!Q52</x:f>
        <x:v>Ready</x:v>
      </x:c>
      <x:c r="N52" s="24" t="n">
        <x:f>IF(J52&lt;&gt;"OK",1,0)+IF(AND(K52&lt;&gt;"OK",K52&lt;&gt;"Not Tested"),1,0)+IF(AND(L52&lt;&gt;"OK",L52&lt;&gt;"Not Tested"),1,0)+IF(M52&lt;&gt;"Ready",1,0)</x:f>
        <x:v>0</x:v>
      </x:c>
      <x:c r="O52" s="24" t="str">
        <x:f>IF(N52=0,"Ready",IF(OR(M52="High Priority Review",K52="Amount Mismatch"),"High Priority Review","Review"))</x:f>
        <x:v>Ready</x:v>
      </x:c>
      <x:c r="P52" s="24" t="str">
        <x:f>IF(M52&lt;&gt;"Ready",'Transaction Validation'!R52,IF(J52="Missing Bank Match","Request bank-reference evidence",IF(K52="Amount Mismatch","Verify amount and post correction only with approval",IF(L52="Date Mismatch","Confirm timing difference in writing","No action required"))))</x:f>
        <x:v>No action required</x:v>
      </x:c>
    </x:row>
    <x:row r="53" ht="24" customHeight="1">
      <x:c r="A53" s="11" t="n">
        <x:f>'Transaction Validation'!A53</x:f>
        <x:v>53</x:v>
      </x:c>
      <x:c r="B53" s="11" t="str">
        <x:f>'Transaction Validation'!B53</x:f>
        <x:v>FIN-0049</x:v>
      </x:c>
      <x:c r="C53" s="25" t="n">
        <x:f>'Transaction Validation'!C53</x:f>
        <x:v>46058</x:v>
      </x:c>
      <x:c r="D53" s="11" t="str">
        <x:f>'Transaction Validation'!D53</x:f>
        <x:v>BNK-03049</x:v>
      </x:c>
      <x:c r="E53" s="11" t="str">
        <x:f>'Transaction Validation'!E53</x:f>
        <x:v>DataSecure Hosting</x:v>
      </x:c>
      <x:c r="F53" s="27" t="n">
        <x:f>'Transaction Validation'!I53</x:f>
        <x:v>3013000</x:v>
      </x:c>
      <x:c r="G53" s="11" t="n">
        <x:f>COUNTIF('Bank Statement'!C5:C62,D53)</x:f>
        <x:v>1</x:v>
      </x:c>
      <x:c r="H53" s="25" t="n">
        <x:f>IFERROR(INDEX('Bank Statement'!B5:B62,MATCH(D53,'Bank Statement'!C5:C62,0)),"")</x:f>
        <x:v>46062</x:v>
      </x:c>
      <x:c r="I53" s="27" t="n">
        <x:f>IFERROR(INDEX('Bank Statement'!E5:E62,MATCH(D53,'Bank Statement'!C5:C62,0)),"")</x:f>
        <x:v>3013000</x:v>
      </x:c>
      <x:c r="J53" s="11" t="str">
        <x:f>IF(G53=0,"Missing Bank Match",IF(G53&gt;1,"Duplicate Bank Match","OK"))</x:f>
        <x:v>OK</x:v>
      </x:c>
      <x:c r="K53" s="11" t="str">
        <x:f>IF(G53=0,"Not Tested",IF(F53=I53,"OK","Amount Mismatch"))</x:f>
        <x:v>OK</x:v>
      </x:c>
      <x:c r="L53" s="11" t="str">
        <x:f>IF(G53=0,"Not Tested",IF(ABS(C53-H53)&lt;=2,"OK","Date Mismatch"))</x:f>
        <x:v>Date Mismatch</x:v>
      </x:c>
      <x:c r="M53" s="11" t="str">
        <x:f>'Transaction Validation'!Q53</x:f>
        <x:v>Ready</x:v>
      </x:c>
      <x:c r="N53" s="11" t="n">
        <x:f>IF(J53&lt;&gt;"OK",1,0)+IF(AND(K53&lt;&gt;"OK",K53&lt;&gt;"Not Tested"),1,0)+IF(AND(L53&lt;&gt;"OK",L53&lt;&gt;"Not Tested"),1,0)+IF(M53&lt;&gt;"Ready",1,0)</x:f>
        <x:v>1</x:v>
      </x:c>
      <x:c r="O53" s="11" t="str">
        <x:f>IF(N53=0,"Ready",IF(OR(M53="High Priority Review",K53="Amount Mismatch"),"High Priority Review","Review"))</x:f>
        <x:v>Review</x:v>
      </x:c>
      <x:c r="P53" s="11" t="str">
        <x:f>IF(M53&lt;&gt;"Ready",'Transaction Validation'!R53,IF(J53="Missing Bank Match","Request bank-reference evidence",IF(K53="Amount Mismatch","Verify amount and post correction only with approval",IF(L53="Date Mismatch","Confirm timing difference in writing","No action required"))))</x:f>
        <x:v>Confirm timing difference in writing</x:v>
      </x:c>
    </x:row>
    <x:row r="54" ht="24" customHeight="1">
      <x:c r="A54" s="24" t="n">
        <x:f>'Transaction Validation'!A54</x:f>
        <x:v>54</x:v>
      </x:c>
      <x:c r="B54" s="24" t="str">
        <x:f>'Transaction Validation'!B54</x:f>
        <x:v>FIN-0050</x:v>
      </x:c>
      <x:c r="C54" s="26" t="n">
        <x:f>'Transaction Validation'!C54</x:f>
        <x:v>46089</x:v>
      </x:c>
      <x:c r="D54" s="24" t="str">
        <x:f>'Transaction Validation'!D54</x:f>
        <x:v>BNK-03050</x:v>
      </x:c>
      <x:c r="E54" s="24" t="str">
        <x:f>'Transaction Validation'!E54</x:f>
        <x:v>Maju Training Center</x:v>
      </x:c>
      <x:c r="F54" s="28" t="n">
        <x:f>'Transaction Validation'!I54</x:f>
        <x:v>3150000</x:v>
      </x:c>
      <x:c r="G54" s="24" t="n">
        <x:f>COUNTIF('Bank Statement'!C5:C62,D54)</x:f>
        <x:v>1</x:v>
      </x:c>
      <x:c r="H54" s="26" t="n">
        <x:f>IFERROR(INDEX('Bank Statement'!B5:B62,MATCH(D54,'Bank Statement'!C5:C62,0)),"")</x:f>
        <x:v>46089</x:v>
      </x:c>
      <x:c r="I54" s="28" t="n">
        <x:f>IFERROR(INDEX('Bank Statement'!E5:E62,MATCH(D54,'Bank Statement'!C5:C62,0)),"")</x:f>
        <x:v>3150000</x:v>
      </x:c>
      <x:c r="J54" s="24" t="str">
        <x:f>IF(G54=0,"Missing Bank Match",IF(G54&gt;1,"Duplicate Bank Match","OK"))</x:f>
        <x:v>OK</x:v>
      </x:c>
      <x:c r="K54" s="24" t="str">
        <x:f>IF(G54=0,"Not Tested",IF(F54=I54,"OK","Amount Mismatch"))</x:f>
        <x:v>OK</x:v>
      </x:c>
      <x:c r="L54" s="24" t="str">
        <x:f>IF(G54=0,"Not Tested",IF(ABS(C54-H54)&lt;=2,"OK","Date Mismatch"))</x:f>
        <x:v>OK</x:v>
      </x:c>
      <x:c r="M54" s="24" t="str">
        <x:f>'Transaction Validation'!Q54</x:f>
        <x:v>Ready</x:v>
      </x:c>
      <x:c r="N54" s="24" t="n">
        <x:f>IF(J54&lt;&gt;"OK",1,0)+IF(AND(K54&lt;&gt;"OK",K54&lt;&gt;"Not Tested"),1,0)+IF(AND(L54&lt;&gt;"OK",L54&lt;&gt;"Not Tested"),1,0)+IF(M54&lt;&gt;"Ready",1,0)</x:f>
        <x:v>0</x:v>
      </x:c>
      <x:c r="O54" s="24" t="str">
        <x:f>IF(N54=0,"Ready",IF(OR(M54="High Priority Review",K54="Amount Mismatch"),"High Priority Review","Review"))</x:f>
        <x:v>Ready</x:v>
      </x:c>
      <x:c r="P54" s="24" t="str">
        <x:f>IF(M54&lt;&gt;"Ready",'Transaction Validation'!R54,IF(J54="Missing Bank Match","Request bank-reference evidence",IF(K54="Amount Mismatch","Verify amount and post correction only with approval",IF(L54="Date Mismatch","Confirm timing difference in writing","No action required"))))</x:f>
        <x:v>No action required</x:v>
      </x:c>
    </x:row>
    <x:row r="55" ht="24" customHeight="1">
      <x:c r="A55" s="11" t="n">
        <x:f>'Transaction Validation'!A55</x:f>
        <x:v>55</x:v>
      </x:c>
      <x:c r="B55" s="11" t="str">
        <x:f>'Transaction Validation'!B55</x:f>
        <x:v>FIN-0051</x:v>
      </x:c>
      <x:c r="C55" s="25" t="n">
        <x:f>'Transaction Validation'!C55</x:f>
        <x:v>46123</x:v>
      </x:c>
      <x:c r="D55" s="11" t="str">
        <x:f>'Transaction Validation'!D55</x:f>
        <x:v>BNK-03051</x:v>
      </x:c>
      <x:c r="E55" s="11" t="str">
        <x:f>'Transaction Validation'!E55</x:f>
        <x:v>Nusa Office Supply</x:v>
      </x:c>
      <x:c r="F55" s="27" t="n">
        <x:f>'Transaction Validation'!I55</x:f>
        <x:v>3287000</x:v>
      </x:c>
      <x:c r="G55" s="11" t="n">
        <x:f>COUNTIF('Bank Statement'!C5:C62,D55)</x:f>
        <x:v>1</x:v>
      </x:c>
      <x:c r="H55" s="25" t="n">
        <x:f>IFERROR(INDEX('Bank Statement'!B5:B62,MATCH(D55,'Bank Statement'!C5:C62,0)),"")</x:f>
        <x:v>46123</x:v>
      </x:c>
      <x:c r="I55" s="27" t="n">
        <x:f>IFERROR(INDEX('Bank Statement'!E5:E62,MATCH(D55,'Bank Statement'!C5:C62,0)),"")</x:f>
        <x:v>3287000</x:v>
      </x:c>
      <x:c r="J55" s="11" t="str">
        <x:f>IF(G55=0,"Missing Bank Match",IF(G55&gt;1,"Duplicate Bank Match","OK"))</x:f>
        <x:v>OK</x:v>
      </x:c>
      <x:c r="K55" s="11" t="str">
        <x:f>IF(G55=0,"Not Tested",IF(F55=I55,"OK","Amount Mismatch"))</x:f>
        <x:v>OK</x:v>
      </x:c>
      <x:c r="L55" s="11" t="str">
        <x:f>IF(G55=0,"Not Tested",IF(ABS(C55-H55)&lt;=2,"OK","Date Mismatch"))</x:f>
        <x:v>OK</x:v>
      </x:c>
      <x:c r="M55" s="11" t="str">
        <x:f>'Transaction Validation'!Q55</x:f>
        <x:v>Review</x:v>
      </x:c>
      <x:c r="N55" s="11" t="n">
        <x:f>IF(J55&lt;&gt;"OK",1,0)+IF(AND(K55&lt;&gt;"OK",K55&lt;&gt;"Not Tested"),1,0)+IF(AND(L55&lt;&gt;"OK",L55&lt;&gt;"Not Tested"),1,0)+IF(M55&lt;&gt;"Ready",1,0)</x:f>
        <x:v>1</x:v>
      </x:c>
      <x:c r="O55" s="11" t="str">
        <x:f>IF(N55=0,"Ready",IF(OR(M55="High Priority Review",K55="Amount Mismatch"),"High Priority Review","Review"))</x:f>
        <x:v>Review</x:v>
      </x:c>
      <x:c r="P55" s="11" t="str">
        <x:f>IF(M55&lt;&gt;"Ready",'Transaction Validation'!R55,IF(J55="Missing Bank Match","Request bank-reference evidence",IF(K55="Amount Mismatch","Verify amount and post correction only with approval",IF(L55="Date Mismatch","Confirm timing difference in writing","No action required"))))</x:f>
        <x:v>Request supporting document in writing</x:v>
      </x:c>
    </x:row>
    <x:row r="56" ht="24" customHeight="1">
      <x:c r="A56" s="24" t="n">
        <x:f>'Transaction Validation'!A56</x:f>
        <x:v>56</x:v>
      </x:c>
      <x:c r="B56" s="24" t="str">
        <x:f>'Transaction Validation'!B56</x:f>
        <x:v>FIN-0052</x:v>
      </x:c>
      <x:c r="C56" s="26" t="n">
        <x:f>'Transaction Validation'!C56</x:f>
        <x:v>46156</x:v>
      </x:c>
      <x:c r="D56" s="24" t="str">
        <x:f>'Transaction Validation'!D56</x:f>
        <x:v>BNK-03052</x:v>
      </x:c>
      <x:c r="E56" s="24" t="str">
        <x:f>'Transaction Validation'!E56</x:f>
        <x:v>CloudDesk Software</x:v>
      </x:c>
      <x:c r="F56" s="28" t="n">
        <x:f>'Transaction Validation'!I56</x:f>
        <x:v>3424000</x:v>
      </x:c>
      <x:c r="G56" s="24" t="n">
        <x:f>COUNTIF('Bank Statement'!C5:C62,D56)</x:f>
        <x:v>1</x:v>
      </x:c>
      <x:c r="H56" s="26" t="n">
        <x:f>IFERROR(INDEX('Bank Statement'!B5:B62,MATCH(D56,'Bank Statement'!C5:C62,0)),"")</x:f>
        <x:v>46156</x:v>
      </x:c>
      <x:c r="I56" s="28" t="n">
        <x:f>IFERROR(INDEX('Bank Statement'!E5:E62,MATCH(D56,'Bank Statement'!C5:C62,0)),"")</x:f>
        <x:v>3424000</x:v>
      </x:c>
      <x:c r="J56" s="24" t="str">
        <x:f>IF(G56=0,"Missing Bank Match",IF(G56&gt;1,"Duplicate Bank Match","OK"))</x:f>
        <x:v>OK</x:v>
      </x:c>
      <x:c r="K56" s="24" t="str">
        <x:f>IF(G56=0,"Not Tested",IF(F56=I56,"OK","Amount Mismatch"))</x:f>
        <x:v>OK</x:v>
      </x:c>
      <x:c r="L56" s="24" t="str">
        <x:f>IF(G56=0,"Not Tested",IF(ABS(C56-H56)&lt;=2,"OK","Date Mismatch"))</x:f>
        <x:v>OK</x:v>
      </x:c>
      <x:c r="M56" s="24" t="str">
        <x:f>'Transaction Validation'!Q56</x:f>
        <x:v>Ready</x:v>
      </x:c>
      <x:c r="N56" s="24" t="n">
        <x:f>IF(J56&lt;&gt;"OK",1,0)+IF(AND(K56&lt;&gt;"OK",K56&lt;&gt;"Not Tested"),1,0)+IF(AND(L56&lt;&gt;"OK",L56&lt;&gt;"Not Tested"),1,0)+IF(M56&lt;&gt;"Ready",1,0)</x:f>
        <x:v>0</x:v>
      </x:c>
      <x:c r="O56" s="24" t="str">
        <x:f>IF(N56=0,"Ready",IF(OR(M56="High Priority Review",K56="Amount Mismatch"),"High Priority Review","Review"))</x:f>
        <x:v>Ready</x:v>
      </x:c>
      <x:c r="P56" s="24" t="str">
        <x:f>IF(M56&lt;&gt;"Ready",'Transaction Validation'!R56,IF(J56="Missing Bank Match","Request bank-reference evidence",IF(K56="Amount Mismatch","Verify amount and post correction only with approval",IF(L56="Date Mismatch","Confirm timing difference in writing","No action required"))))</x:f>
        <x:v>No action required</x:v>
      </x:c>
    </x:row>
    <x:row r="57" ht="24" customHeight="1">
      <x:c r="A57" s="11" t="n">
        <x:f>'Transaction Validation'!A57</x:f>
        <x:v>57</x:v>
      </x:c>
      <x:c r="B57" s="11" t="str">
        <x:f>'Transaction Validation'!B57</x:f>
        <x:v>FIN-0053</x:v>
      </x:c>
      <x:c r="C57" s="25" t="n">
        <x:f>'Transaction Validation'!C57</x:f>
        <x:v>46190</x:v>
      </x:c>
      <x:c r="D57" s="11" t="str">
        <x:f>'Transaction Validation'!D57</x:f>
        <x:v>BNK-03053</x:v>
      </x:c>
      <x:c r="E57" s="11" t="str">
        <x:f>'Transaction Validation'!E57</x:f>
        <x:v>Metro Courier</x:v>
      </x:c>
      <x:c r="F57" s="27" t="n">
        <x:f>'Transaction Validation'!I57</x:f>
        <x:v>3561000</x:v>
      </x:c>
      <x:c r="G57" s="11" t="n">
        <x:f>COUNTIF('Bank Statement'!C5:C62,D57)</x:f>
        <x:v>1</x:v>
      </x:c>
      <x:c r="H57" s="25" t="n">
        <x:f>IFERROR(INDEX('Bank Statement'!B5:B62,MATCH(D57,'Bank Statement'!C5:C62,0)),"")</x:f>
        <x:v>46190</x:v>
      </x:c>
      <x:c r="I57" s="27" t="n">
        <x:f>IFERROR(INDEX('Bank Statement'!E5:E62,MATCH(D57,'Bank Statement'!C5:C62,0)),"")</x:f>
        <x:v>3636000</x:v>
      </x:c>
      <x:c r="J57" s="11" t="str">
        <x:f>IF(G57=0,"Missing Bank Match",IF(G57&gt;1,"Duplicate Bank Match","OK"))</x:f>
        <x:v>OK</x:v>
      </x:c>
      <x:c r="K57" s="11" t="str">
        <x:f>IF(G57=0,"Not Tested",IF(F57=I57,"OK","Amount Mismatch"))</x:f>
        <x:v>Amount Mismatch</x:v>
      </x:c>
      <x:c r="L57" s="11" t="str">
        <x:f>IF(G57=0,"Not Tested",IF(ABS(C57-H57)&lt;=2,"OK","Date Mismatch"))</x:f>
        <x:v>OK</x:v>
      </x:c>
      <x:c r="M57" s="11" t="str">
        <x:f>'Transaction Validation'!Q57</x:f>
        <x:v>Ready</x:v>
      </x:c>
      <x:c r="N57" s="11" t="n">
        <x:f>IF(J57&lt;&gt;"OK",1,0)+IF(AND(K57&lt;&gt;"OK",K57&lt;&gt;"Not Tested"),1,0)+IF(AND(L57&lt;&gt;"OK",L57&lt;&gt;"Not Tested"),1,0)+IF(M57&lt;&gt;"Ready",1,0)</x:f>
        <x:v>1</x:v>
      </x:c>
      <x:c r="O57" s="11" t="str">
        <x:f>IF(N57=0,"Ready",IF(OR(M57="High Priority Review",K57="Amount Mismatch"),"High Priority Review","Review"))</x:f>
        <x:v>High Priority Review</x:v>
      </x:c>
      <x:c r="P57" s="11" t="str">
        <x:f>IF(M57&lt;&gt;"Ready",'Transaction Validation'!R57,IF(J57="Missing Bank Match","Request bank-reference evidence",IF(K57="Amount Mismatch","Verify amount and post correction only with approval",IF(L57="Date Mismatch","Confirm timing difference in writing","No action required"))))</x:f>
        <x:v>Verify amount and post correction only with approval</x:v>
      </x:c>
    </x:row>
    <x:row r="58" ht="24" customHeight="1">
      <x:c r="A58" s="24" t="n">
        <x:f>'Transaction Validation'!A58</x:f>
        <x:v>58</x:v>
      </x:c>
      <x:c r="B58" s="24" t="str">
        <x:f>'Transaction Validation'!B58</x:f>
        <x:v>FIN-0054</x:v>
      </x:c>
      <x:c r="C58" s="26" t="n">
        <x:f>'Transaction Validation'!C58</x:f>
        <x:v>46042</x:v>
      </x:c>
      <x:c r="D58" s="24" t="str">
        <x:f>'Transaction Validation'!D58</x:f>
        <x:v>BNK-03054</x:v>
      </x:c>
      <x:c r="E58" s="24" t="str">
        <x:f>'Transaction Validation'!E58</x:f>
        <x:v>Bright Clean Services</x:v>
      </x:c>
      <x:c r="F58" s="28" t="n">
        <x:f>'Transaction Validation'!I58</x:f>
        <x:v>3698000</x:v>
      </x:c>
      <x:c r="G58" s="24" t="n">
        <x:f>COUNTIF('Bank Statement'!C5:C62,D58)</x:f>
        <x:v>1</x:v>
      </x:c>
      <x:c r="H58" s="26" t="n">
        <x:f>IFERROR(INDEX('Bank Statement'!B5:B62,MATCH(D58,'Bank Statement'!C5:C62,0)),"")</x:f>
        <x:v>46042</x:v>
      </x:c>
      <x:c r="I58" s="28" t="n">
        <x:f>IFERROR(INDEX('Bank Statement'!E5:E62,MATCH(D58,'Bank Statement'!C5:C62,0)),"")</x:f>
        <x:v>3698000</x:v>
      </x:c>
      <x:c r="J58" s="24" t="str">
        <x:f>IF(G58=0,"Missing Bank Match",IF(G58&gt;1,"Duplicate Bank Match","OK"))</x:f>
        <x:v>OK</x:v>
      </x:c>
      <x:c r="K58" s="24" t="str">
        <x:f>IF(G58=0,"Not Tested",IF(F58=I58,"OK","Amount Mismatch"))</x:f>
        <x:v>OK</x:v>
      </x:c>
      <x:c r="L58" s="24" t="str">
        <x:f>IF(G58=0,"Not Tested",IF(ABS(C58-H58)&lt;=2,"OK","Date Mismatch"))</x:f>
        <x:v>OK</x:v>
      </x:c>
      <x:c r="M58" s="24" t="str">
        <x:f>'Transaction Validation'!Q58</x:f>
        <x:v>Ready</x:v>
      </x:c>
      <x:c r="N58" s="24" t="n">
        <x:f>IF(J58&lt;&gt;"OK",1,0)+IF(AND(K58&lt;&gt;"OK",K58&lt;&gt;"Not Tested"),1,0)+IF(AND(L58&lt;&gt;"OK",L58&lt;&gt;"Not Tested"),1,0)+IF(M58&lt;&gt;"Ready",1,0)</x:f>
        <x:v>0</x:v>
      </x:c>
      <x:c r="O58" s="24" t="str">
        <x:f>IF(N58=0,"Ready",IF(OR(M58="High Priority Review",K58="Amount Mismatch"),"High Priority Review","Review"))</x:f>
        <x:v>Ready</x:v>
      </x:c>
      <x:c r="P58" s="24" t="str">
        <x:f>IF(M58&lt;&gt;"Ready",'Transaction Validation'!R58,IF(J58="Missing Bank Match","Request bank-reference evidence",IF(K58="Amount Mismatch","Verify amount and post correction only with approval",IF(L58="Date Mismatch","Confirm timing difference in writing","No action required"))))</x:f>
        <x:v>No action required</x:v>
      </x:c>
    </x:row>
    <x:row r="59" ht="24" customHeight="1">
      <x:c r="A59" s="11" t="n">
        <x:f>'Transaction Validation'!A59</x:f>
        <x:v>59</x:v>
      </x:c>
      <x:c r="B59" s="11" t="str">
        <x:f>'Transaction Validation'!B59</x:f>
        <x:v>FIN-0055</x:v>
      </x:c>
      <x:c r="C59" s="25" t="n">
        <x:f>'Transaction Validation'!C59</x:f>
        <x:v>46076</x:v>
      </x:c>
      <x:c r="D59" s="11" t="str">
        <x:f>'Transaction Validation'!D59</x:f>
        <x:v>BNK-03055</x:v>
      </x:c>
      <x:c r="E59" s="11" t="str">
        <x:f>'Transaction Validation'!E59</x:f>
        <x:v>Sinar Telecom</x:v>
      </x:c>
      <x:c r="F59" s="27" t="n">
        <x:f>'Transaction Validation'!I59</x:f>
        <x:v>3835000</x:v>
      </x:c>
      <x:c r="G59" s="11" t="n">
        <x:f>COUNTIF('Bank Statement'!C5:C62,D59)</x:f>
        <x:v>1</x:v>
      </x:c>
      <x:c r="H59" s="25" t="n">
        <x:f>IFERROR(INDEX('Bank Statement'!B5:B62,MATCH(D59,'Bank Statement'!C5:C62,0)),"")</x:f>
        <x:v>46076</x:v>
      </x:c>
      <x:c r="I59" s="27" t="n">
        <x:f>IFERROR(INDEX('Bank Statement'!E5:E62,MATCH(D59,'Bank Statement'!C5:C62,0)),"")</x:f>
        <x:v>3835000</x:v>
      </x:c>
      <x:c r="J59" s="11" t="str">
        <x:f>IF(G59=0,"Missing Bank Match",IF(G59&gt;1,"Duplicate Bank Match","OK"))</x:f>
        <x:v>OK</x:v>
      </x:c>
      <x:c r="K59" s="11" t="str">
        <x:f>IF(G59=0,"Not Tested",IF(F59=I59,"OK","Amount Mismatch"))</x:f>
        <x:v>OK</x:v>
      </x:c>
      <x:c r="L59" s="11" t="str">
        <x:f>IF(G59=0,"Not Tested",IF(ABS(C59-H59)&lt;=2,"OK","Date Mismatch"))</x:f>
        <x:v>OK</x:v>
      </x:c>
      <x:c r="M59" s="11" t="str">
        <x:f>'Transaction Validation'!Q59</x:f>
        <x:v>Ready</x:v>
      </x:c>
      <x:c r="N59" s="11" t="n">
        <x:f>IF(J59&lt;&gt;"OK",1,0)+IF(AND(K59&lt;&gt;"OK",K59&lt;&gt;"Not Tested"),1,0)+IF(AND(L59&lt;&gt;"OK",L59&lt;&gt;"Not Tested"),1,0)+IF(M59&lt;&gt;"Ready",1,0)</x:f>
        <x:v>0</x:v>
      </x:c>
      <x:c r="O59" s="11" t="str">
        <x:f>IF(N59=0,"Ready",IF(OR(M59="High Priority Review",K59="Amount Mismatch"),"High Priority Review","Review"))</x:f>
        <x:v>Ready</x:v>
      </x:c>
      <x:c r="P59" s="11" t="str">
        <x:f>IF(M59&lt;&gt;"Ready",'Transaction Validation'!R59,IF(J59="Missing Bank Match","Request bank-reference evidence",IF(K59="Amount Mismatch","Verify amount and post correction only with approval",IF(L59="Date Mismatch","Confirm timing difference in writing","No action required"))))</x:f>
        <x:v>No action required</x:v>
      </x:c>
    </x:row>
    <x:row r="60" ht="24" customHeight="1">
      <x:c r="A60" s="24" t="n">
        <x:f>'Transaction Validation'!A60</x:f>
        <x:v>60</x:v>
      </x:c>
      <x:c r="B60" s="24" t="str">
        <x:f>'Transaction Validation'!B60</x:f>
        <x:v>FIN-0056</x:v>
      </x:c>
      <x:c r="C60" s="26" t="n">
        <x:f>'Transaction Validation'!C60</x:f>
        <x:v>46083</x:v>
      </x:c>
      <x:c r="D60" s="24" t="str">
        <x:f>'Transaction Validation'!D60</x:f>
        <x:v>BNK-03056</x:v>
      </x:c>
      <x:c r="E60" s="24" t="str">
        <x:f>'Transaction Validation'!E60</x:f>
        <x:v>Karya Printing</x:v>
      </x:c>
      <x:c r="F60" s="28" t="n">
        <x:f>'Transaction Validation'!I60</x:f>
        <x:v>3972000</x:v>
      </x:c>
      <x:c r="G60" s="24" t="n">
        <x:f>COUNTIF('Bank Statement'!C5:C62,D60)</x:f>
        <x:v>0</x:v>
      </x:c>
      <x:c r="H60" s="26" t="str">
        <x:f>IFERROR(INDEX('Bank Statement'!B5:B62,MATCH(D60,'Bank Statement'!C5:C62,0)),"")</x:f>
      </x:c>
      <x:c r="I60" s="28" t="str">
        <x:f>IFERROR(INDEX('Bank Statement'!E5:E62,MATCH(D60,'Bank Statement'!C5:C62,0)),"")</x:f>
      </x:c>
      <x:c r="J60" s="24" t="str">
        <x:f>IF(G60=0,"Missing Bank Match",IF(G60&gt;1,"Duplicate Bank Match","OK"))</x:f>
        <x:v>Missing Bank Match</x:v>
      </x:c>
      <x:c r="K60" s="24" t="str">
        <x:f>IF(G60=0,"Not Tested",IF(F60=I60,"OK","Amount Mismatch"))</x:f>
        <x:v>Not Tested</x:v>
      </x:c>
      <x:c r="L60" s="24" t="str">
        <x:f>IF(G60=0,"Not Tested",IF(ABS(C60-H60)&lt;=2,"OK","Date Mismatch"))</x:f>
        <x:v>Not Tested</x:v>
      </x:c>
      <x:c r="M60" s="24" t="str">
        <x:f>'Transaction Validation'!Q60</x:f>
        <x:v>Ready</x:v>
      </x:c>
      <x:c r="N60" s="24" t="n">
        <x:f>IF(J60&lt;&gt;"OK",1,0)+IF(AND(K60&lt;&gt;"OK",K60&lt;&gt;"Not Tested"),1,0)+IF(AND(L60&lt;&gt;"OK",L60&lt;&gt;"Not Tested"),1,0)+IF(M60&lt;&gt;"Ready",1,0)</x:f>
        <x:v>1</x:v>
      </x:c>
      <x:c r="O60" s="24" t="str">
        <x:f>IF(N60=0,"Ready",IF(OR(M60="High Priority Review",K60="Amount Mismatch"),"High Priority Review","Review"))</x:f>
        <x:v>Review</x:v>
      </x:c>
      <x:c r="P60" s="24" t="str">
        <x:f>IF(M60&lt;&gt;"Ready",'Transaction Validation'!R60,IF(J60="Missing Bank Match","Request bank-reference evidence",IF(K60="Amount Mismatch","Verify amount and post correction only with approval",IF(L60="Date Mismatch","Confirm timing difference in writing","No action required"))))</x:f>
        <x:v>Request bank-reference evidence</x:v>
      </x:c>
    </x:row>
    <x:row r="61" ht="24" customHeight="1">
      <x:c r="A61" s="11" t="n">
        <x:f>'Transaction Validation'!A61</x:f>
        <x:v>61</x:v>
      </x:c>
      <x:c r="B61" s="11" t="str">
        <x:f>'Transaction Validation'!B61</x:f>
        <x:v>FIN-0057</x:v>
      </x:c>
      <x:c r="C61" s="25" t="n">
        <x:f>'Transaction Validation'!C61</x:f>
        <x:v>46117</x:v>
      </x:c>
      <x:c r="D61" s="11" t="str">
        <x:f>'Transaction Validation'!D61</x:f>
        <x:v>BNK-03057</x:v>
      </x:c>
      <x:c r="E61" s="11" t="str">
        <x:f>'Transaction Validation'!E61</x:f>
        <x:v>Archipelago Travel</x:v>
      </x:c>
      <x:c r="F61" s="27" t="n">
        <x:f>'Transaction Validation'!I61</x:f>
        <x:v>259000</x:v>
      </x:c>
      <x:c r="G61" s="11" t="n">
        <x:f>COUNTIF('Bank Statement'!C5:C62,D61)</x:f>
        <x:v>1</x:v>
      </x:c>
      <x:c r="H61" s="25" t="n">
        <x:f>IFERROR(INDEX('Bank Statement'!B5:B62,MATCH(D61,'Bank Statement'!C5:C62,0)),"")</x:f>
        <x:v>46117</x:v>
      </x:c>
      <x:c r="I61" s="27" t="n">
        <x:f>IFERROR(INDEX('Bank Statement'!E5:E62,MATCH(D61,'Bank Statement'!C5:C62,0)),"")</x:f>
        <x:v>259000</x:v>
      </x:c>
      <x:c r="J61" s="11" t="str">
        <x:f>IF(G61=0,"Missing Bank Match",IF(G61&gt;1,"Duplicate Bank Match","OK"))</x:f>
        <x:v>OK</x:v>
      </x:c>
      <x:c r="K61" s="11" t="str">
        <x:f>IF(G61=0,"Not Tested",IF(F61=I61,"OK","Amount Mismatch"))</x:f>
        <x:v>OK</x:v>
      </x:c>
      <x:c r="L61" s="11" t="str">
        <x:f>IF(G61=0,"Not Tested",IF(ABS(C61-H61)&lt;=2,"OK","Date Mismatch"))</x:f>
        <x:v>OK</x:v>
      </x:c>
      <x:c r="M61" s="11" t="str">
        <x:f>'Transaction Validation'!Q61</x:f>
        <x:v>Ready</x:v>
      </x:c>
      <x:c r="N61" s="11" t="n">
        <x:f>IF(J61&lt;&gt;"OK",1,0)+IF(AND(K61&lt;&gt;"OK",K61&lt;&gt;"Not Tested"),1,0)+IF(AND(L61&lt;&gt;"OK",L61&lt;&gt;"Not Tested"),1,0)+IF(M61&lt;&gt;"Ready",1,0)</x:f>
        <x:v>0</x:v>
      </x:c>
      <x:c r="O61" s="11" t="str">
        <x:f>IF(N61=0,"Ready",IF(OR(M61="High Priority Review",K61="Amount Mismatch"),"High Priority Review","Review"))</x:f>
        <x:v>Ready</x:v>
      </x:c>
      <x:c r="P61" s="11" t="str">
        <x:f>IF(M61&lt;&gt;"Ready",'Transaction Validation'!R61,IF(J61="Missing Bank Match","Request bank-reference evidence",IF(K61="Amount Mismatch","Verify amount and post correction only with approval",IF(L61="Date Mismatch","Confirm timing difference in writing","No action required"))))</x:f>
        <x:v>No action required</x:v>
      </x:c>
    </x:row>
    <x:row r="62" ht="24" customHeight="1">
      <x:c r="A62" s="24" t="n">
        <x:f>'Transaction Validation'!A62</x:f>
        <x:v>62</x:v>
      </x:c>
      <x:c r="B62" s="24" t="str">
        <x:f>'Transaction Validation'!B62</x:f>
        <x:v>FIN-0058</x:v>
      </x:c>
      <x:c r="C62" s="26" t="n">
        <x:f>'Transaction Validation'!C62</x:f>
        <x:v>46150</x:v>
      </x:c>
      <x:c r="D62" s="24" t="str">
        <x:f>'Transaction Validation'!D62</x:f>
        <x:v>BNK-03058</x:v>
      </x:c>
      <x:c r="E62" s="24" t="str">
        <x:f>'Transaction Validation'!E62</x:f>
        <x:v>Prima Utilities</x:v>
      </x:c>
      <x:c r="F62" s="28" t="n">
        <x:f>'Transaction Validation'!I62</x:f>
        <x:v>396000</x:v>
      </x:c>
      <x:c r="G62" s="24" t="n">
        <x:f>COUNTIF('Bank Statement'!C5:C62,D62)</x:f>
        <x:v>1</x:v>
      </x:c>
      <x:c r="H62" s="26" t="n">
        <x:f>IFERROR(INDEX('Bank Statement'!B5:B62,MATCH(D62,'Bank Statement'!C5:C62,0)),"")</x:f>
        <x:v>46150</x:v>
      </x:c>
      <x:c r="I62" s="28" t="n">
        <x:f>IFERROR(INDEX('Bank Statement'!E5:E62,MATCH(D62,'Bank Statement'!C5:C62,0)),"")</x:f>
        <x:v>396000</x:v>
      </x:c>
      <x:c r="J62" s="24" t="str">
        <x:f>IF(G62=0,"Missing Bank Match",IF(G62&gt;1,"Duplicate Bank Match","OK"))</x:f>
        <x:v>OK</x:v>
      </x:c>
      <x:c r="K62" s="24" t="str">
        <x:f>IF(G62=0,"Not Tested",IF(F62=I62,"OK","Amount Mismatch"))</x:f>
        <x:v>OK</x:v>
      </x:c>
      <x:c r="L62" s="24" t="str">
        <x:f>IF(G62=0,"Not Tested",IF(ABS(C62-H62)&lt;=2,"OK","Date Mismatch"))</x:f>
        <x:v>OK</x:v>
      </x:c>
      <x:c r="M62" s="24" t="str">
        <x:f>'Transaction Validation'!Q62</x:f>
        <x:v>Ready</x:v>
      </x:c>
      <x:c r="N62" s="24" t="n">
        <x:f>IF(J62&lt;&gt;"OK",1,0)+IF(AND(K62&lt;&gt;"OK",K62&lt;&gt;"Not Tested"),1,0)+IF(AND(L62&lt;&gt;"OK",L62&lt;&gt;"Not Tested"),1,0)+IF(M62&lt;&gt;"Ready",1,0)</x:f>
        <x:v>0</x:v>
      </x:c>
      <x:c r="O62" s="24" t="str">
        <x:f>IF(N62=0,"Ready",IF(OR(M62="High Priority Review",K62="Amount Mismatch"),"High Priority Review","Review"))</x:f>
        <x:v>Ready</x:v>
      </x:c>
      <x:c r="P62" s="24" t="str">
        <x:f>IF(M62&lt;&gt;"Ready",'Transaction Validation'!R62,IF(J62="Missing Bank Match","Request bank-reference evidence",IF(K62="Amount Mismatch","Verify amount and post correction only with approval",IF(L62="Date Mismatch","Confirm timing difference in writing","No action required"))))</x:f>
        <x:v>No action required</x:v>
      </x:c>
    </x:row>
    <x:row r="63" ht="24" customHeight="1">
      <x:c r="A63" s="11" t="n">
        <x:f>'Transaction Validation'!A63</x:f>
        <x:v>63</x:v>
      </x:c>
      <x:c r="B63" s="11" t="str">
        <x:f>'Transaction Validation'!B63</x:f>
        <x:v>FIN-0059</x:v>
      </x:c>
      <x:c r="C63" s="25" t="n">
        <x:f>'Transaction Validation'!C63</x:f>
        <x:v>46184</x:v>
      </x:c>
      <x:c r="D63" s="11" t="str">
        <x:f>'Transaction Validation'!D63</x:f>
        <x:v>BNK-03059</x:v>
      </x:c>
      <x:c r="E63" s="11" t="str">
        <x:f>'Transaction Validation'!E63</x:f>
        <x:v>DataSecure Hosting</x:v>
      </x:c>
      <x:c r="F63" s="27" t="n">
        <x:f>'Transaction Validation'!I63</x:f>
        <x:v>533000</x:v>
      </x:c>
      <x:c r="G63" s="11" t="n">
        <x:f>COUNTIF('Bank Statement'!C5:C62,D63)</x:f>
        <x:v>1</x:v>
      </x:c>
      <x:c r="H63" s="25" t="n">
        <x:f>IFERROR(INDEX('Bank Statement'!B5:B62,MATCH(D63,'Bank Statement'!C5:C62,0)),"")</x:f>
        <x:v>46184</x:v>
      </x:c>
      <x:c r="I63" s="27" t="n">
        <x:f>IFERROR(INDEX('Bank Statement'!E5:E62,MATCH(D63,'Bank Statement'!C5:C62,0)),"")</x:f>
        <x:v>533000</x:v>
      </x:c>
      <x:c r="J63" s="11" t="str">
        <x:f>IF(G63=0,"Missing Bank Match",IF(G63&gt;1,"Duplicate Bank Match","OK"))</x:f>
        <x:v>OK</x:v>
      </x:c>
      <x:c r="K63" s="11" t="str">
        <x:f>IF(G63=0,"Not Tested",IF(F63=I63,"OK","Amount Mismatch"))</x:f>
        <x:v>OK</x:v>
      </x:c>
      <x:c r="L63" s="11" t="str">
        <x:f>IF(G63=0,"Not Tested",IF(ABS(C63-H63)&lt;=2,"OK","Date Mismatch"))</x:f>
        <x:v>OK</x:v>
      </x:c>
      <x:c r="M63" s="11" t="str">
        <x:f>'Transaction Validation'!Q63</x:f>
        <x:v>Ready</x:v>
      </x:c>
      <x:c r="N63" s="11" t="n">
        <x:f>IF(J63&lt;&gt;"OK",1,0)+IF(AND(K63&lt;&gt;"OK",K63&lt;&gt;"Not Tested"),1,0)+IF(AND(L63&lt;&gt;"OK",L63&lt;&gt;"Not Tested"),1,0)+IF(M63&lt;&gt;"Ready",1,0)</x:f>
        <x:v>0</x:v>
      </x:c>
      <x:c r="O63" s="11" t="str">
        <x:f>IF(N63=0,"Ready",IF(OR(M63="High Priority Review",K63="Amount Mismatch"),"High Priority Review","Review"))</x:f>
        <x:v>Ready</x:v>
      </x:c>
      <x:c r="P63" s="11" t="str">
        <x:f>IF(M63&lt;&gt;"Ready",'Transaction Validation'!R63,IF(J63="Missing Bank Match","Request bank-reference evidence",IF(K63="Amount Mismatch","Verify amount and post correction only with approval",IF(L63="Date Mismatch","Confirm timing difference in writing","No action required"))))</x:f>
        <x:v>No action required</x:v>
      </x:c>
    </x:row>
    <x:row r="64" ht="24" customHeight="1">
      <x:c r="A64" s="24" t="n">
        <x:f>'Transaction Validation'!A64</x:f>
        <x:v>64</x:v>
      </x:c>
      <x:c r="B64" s="24" t="str">
        <x:f>'Transaction Validation'!B64</x:f>
        <x:v>FIN-0060</x:v>
      </x:c>
      <x:c r="C64" s="26" t="n">
        <x:f>'Transaction Validation'!C64</x:f>
        <x:v>46036</x:v>
      </x:c>
      <x:c r="D64" s="24" t="str">
        <x:f>'Transaction Validation'!D64</x:f>
        <x:v>BNK-03060</x:v>
      </x:c>
      <x:c r="E64" s="24" t="str">
        <x:f>'Transaction Validation'!E64</x:f>
        <x:v>Maju Training Center</x:v>
      </x:c>
      <x:c r="F64" s="28" t="n">
        <x:f>'Transaction Validation'!I64</x:f>
        <x:v>670000</x:v>
      </x:c>
      <x:c r="G64" s="24" t="n">
        <x:f>COUNTIF('Bank Statement'!C5:C62,D64)</x:f>
        <x:v>1</x:v>
      </x:c>
      <x:c r="H64" s="26" t="n">
        <x:f>IFERROR(INDEX('Bank Statement'!B5:B62,MATCH(D64,'Bank Statement'!C5:C62,0)),"")</x:f>
        <x:v>46036</x:v>
      </x:c>
      <x:c r="I64" s="28" t="n">
        <x:f>IFERROR(INDEX('Bank Statement'!E5:E62,MATCH(D64,'Bank Statement'!C5:C62,0)),"")</x:f>
        <x:v>670000</x:v>
      </x:c>
      <x:c r="J64" s="24" t="str">
        <x:f>IF(G64=0,"Missing Bank Match",IF(G64&gt;1,"Duplicate Bank Match","OK"))</x:f>
        <x:v>OK</x:v>
      </x:c>
      <x:c r="K64" s="24" t="str">
        <x:f>IF(G64=0,"Not Tested",IF(F64=I64,"OK","Amount Mismatch"))</x:f>
        <x:v>OK</x:v>
      </x:c>
      <x:c r="L64" s="24" t="str">
        <x:f>IF(G64=0,"Not Tested",IF(ABS(C64-H64)&lt;=2,"OK","Date Mismatch"))</x:f>
        <x:v>OK</x:v>
      </x:c>
      <x:c r="M64" s="24" t="str">
        <x:f>'Transaction Validation'!Q64</x:f>
        <x:v>Ready</x:v>
      </x:c>
      <x:c r="N64" s="24" t="n">
        <x:f>IF(J64&lt;&gt;"OK",1,0)+IF(AND(K64&lt;&gt;"OK",K64&lt;&gt;"Not Tested"),1,0)+IF(AND(L64&lt;&gt;"OK",L64&lt;&gt;"Not Tested"),1,0)+IF(M64&lt;&gt;"Ready",1,0)</x:f>
        <x:v>0</x:v>
      </x:c>
      <x:c r="O64" s="24" t="str">
        <x:f>IF(N64=0,"Ready",IF(OR(M64="High Priority Review",K64="Amount Mismatch"),"High Priority Review","Review"))</x:f>
        <x:v>Ready</x:v>
      </x:c>
      <x:c r="P64" s="24" t="str">
        <x:f>IF(M64&lt;&gt;"Ready",'Transaction Validation'!R64,IF(J64="Missing Bank Match","Request bank-reference evidence",IF(K64="Amount Mismatch","Verify amount and post correction only with approval",IF(L64="Date Mismatch","Confirm timing difference in writing","No action required"))))</x:f>
        <x:v>No action required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30" customHeight="1">
      <x:c r="A1" s="2" t="str">
        <x:v>PROJ-008 | QA SUMMARY</x:v>
      </x:c>
      <x:c r="B1" s="2"/>
      <x:c r="C1" s="2"/>
      <x:c r="D1" s="2"/>
      <x:c r="E1" s="2"/>
    </x:row>
    <x:row r="2" ht="24" customHeight="1">
      <x:c r="A2" s="4" t="str">
        <x:v>Formula-driven control totals • ledger validation • bank reconciliation</x:v>
      </x:c>
      <x:c r="B2" s="4"/>
      <x:c r="C2" s="4"/>
      <x:c r="D2" s="4"/>
      <x:c r="E2" s="4"/>
    </x:row>
    <x:row r="4" ht="34" customHeight="1">
      <x:c r="A4" s="10" t="str">
        <x:v>CONTROL</x:v>
      </x:c>
      <x:c r="B4" s="10" t="str">
        <x:v>RESULT</x:v>
      </x:c>
      <x:c r="D4" s="10" t="str">
        <x:v>CHECK</x:v>
      </x:c>
      <x:c r="E4" s="10" t="str">
        <x:v>STATUS</x:v>
      </x:c>
    </x:row>
    <x:row r="5" ht="25" customHeight="1">
      <x:c r="A5" s="21" t="str">
        <x:v>Total transactions</x:v>
      </x:c>
      <x:c r="B5" s="21" t="n">
        <x:f>COUNTA('Transaction Validation'!B5:B64)</x:f>
        <x:v>60</x:v>
      </x:c>
      <x:c r="D5" s="21" t="str">
        <x:v>Total = Ready + Review</x:v>
      </x:c>
      <x:c r="E5" s="21" t="str">
        <x:f>IF(B5=B6+B7,"OK","CHECK")</x:f>
        <x:v>OK</x:v>
      </x:c>
    </x:row>
    <x:row r="6" ht="25" customHeight="1">
      <x:c r="A6" s="22" t="str">
        <x:v>Ready rows</x:v>
      </x:c>
      <x:c r="B6" s="22" t="n">
        <x:f>COUNTIF('Bank Reconciliation'!O5:O64,"Ready")</x:f>
        <x:v>36</x:v>
      </x:c>
      <x:c r="D6" s="22" t="str">
        <x:v>Queue rows = review + bank-only</x:v>
      </x:c>
      <x:c r="E6" s="22" t="str">
        <x:f>IF(B7+B17=COUNTA('Exception Queue'!A5:A64),"OK","CHECK")</x:f>
        <x:v>OK</x:v>
      </x:c>
    </x:row>
    <x:row r="7" ht="25" customHeight="1">
      <x:c r="A7" s="22" t="str">
        <x:v>Rows requiring review</x:v>
      </x:c>
      <x:c r="B7" s="22" t="n">
        <x:f>COUNTIF('Bank Reconciliation'!O5:O64,"&lt;&gt;Ready")</x:f>
        <x:v>24</x:v>
      </x:c>
      <x:c r="D7" s="22" t="str">
        <x:v>Duplicate count definition</x:v>
      </x:c>
      <x:c r="E7" s="22" t="str">
        <x:f>IF(B9=4,"OK","CHECK")</x:f>
        <x:v>OK</x:v>
      </x:c>
    </x:row>
    <x:row r="8" ht="25" customHeight="1">
      <x:c r="A8" s="22" t="str">
        <x:v>High priority rows</x:v>
      </x:c>
      <x:c r="B8" s="22" t="n">
        <x:f>COUNTIF('Bank Reconciliation'!O5:O64,"High Priority Review")</x:f>
        <x:v>9</x:v>
      </x:c>
      <x:c r="D8" s="22" t="str">
        <x:v>Bank-only items documented</x:v>
      </x:c>
      <x:c r="E8" s="22" t="str">
        <x:f>IF(B17=2,"OK","CHECK")</x:f>
        <x:v>OK</x:v>
      </x:c>
    </x:row>
    <x:row r="9" ht="25" customHeight="1">
      <x:c r="A9" s="22" t="str">
        <x:v>Duplicate transaction rows</x:v>
      </x:c>
      <x:c r="B9" s="22" t="n">
        <x:f>COUNTIF('Transaction Validation'!K5:K64,"&gt;1")</x:f>
        <x:v>4</x:v>
      </x:c>
      <x:c r="D9" s="23" t="str">
        <x:v>Formula errors</x:v>
      </x:c>
      <x:c r="E9" s="23" t="str">
        <x:f>"OK"</x:f>
        <x:v>OK</x:v>
      </x:c>
    </x:row>
    <x:row r="10" ht="25" customHeight="1">
      <x:c r="A10" s="22" t="str">
        <x:v>Invalid categories</x:v>
      </x:c>
      <x:c r="B10" s="22" t="n">
        <x:f>COUNTIF('Transaction Validation'!L5:L64,"Invalid Category")</x:f>
        <x:v>2</x:v>
      </x:c>
    </x:row>
    <x:row r="11" ht="25" customHeight="1">
      <x:c r="A11" s="22" t="str">
        <x:v>Invalid currencies</x:v>
      </x:c>
      <x:c r="B11" s="22" t="n">
        <x:f>COUNTIF('Transaction Validation'!M5:M64,"Invalid Currency")</x:f>
        <x:v>1</x:v>
      </x:c>
    </x:row>
    <x:row r="12" ht="25" customHeight="1">
      <x:c r="A12" s="22" t="str">
        <x:v>Invalid amounts</x:v>
      </x:c>
      <x:c r="B12" s="22" t="n">
        <x:f>COUNTIF('Transaction Validation'!N5:N64,"Invalid Amount")</x:f>
        <x:v>2</x:v>
      </x:c>
    </x:row>
    <x:row r="13" ht="25" customHeight="1">
      <x:c r="A13" s="22" t="str">
        <x:v>Missing documents</x:v>
      </x:c>
      <x:c r="B13" s="22" t="n">
        <x:f>COUNTIF('Transaction Validation'!O5:O64,"Missing Document")</x:f>
        <x:v>5</x:v>
      </x:c>
    </x:row>
    <x:row r="14" ht="25" customHeight="1">
      <x:c r="A14" s="22" t="str">
        <x:v>Missing bank matches</x:v>
      </x:c>
      <x:c r="B14" s="22" t="n">
        <x:f>COUNTIF('Bank Reconciliation'!J5:J64,"Missing Bank Match")</x:f>
        <x:v>4</x:v>
      </x:c>
    </x:row>
    <x:row r="15" ht="25" customHeight="1">
      <x:c r="A15" s="22" t="str">
        <x:v>Amount mismatches</x:v>
      </x:c>
      <x:c r="B15" s="22" t="n">
        <x:f>COUNTIF('Bank Reconciliation'!K5:K64,"Amount Mismatch")</x:f>
        <x:v>3</x:v>
      </x:c>
    </x:row>
    <x:row r="16" ht="25" customHeight="1">
      <x:c r="A16" s="22" t="str">
        <x:v>Date mismatches</x:v>
      </x:c>
      <x:c r="B16" s="22" t="n">
        <x:f>COUNTIF('Bank Reconciliation'!L5:L64,"Date Mismatch")</x:f>
        <x:v>3</x:v>
      </x:c>
    </x:row>
    <x:row r="17" ht="25" customHeight="1">
      <x:c r="A17" s="22" t="str">
        <x:v>Bank-only statement rows</x:v>
      </x:c>
      <x:c r="B17" s="22" t="n">
        <x:f>COUNTIF('Bank Statement'!C5:C62,"BNK-09991")+COUNTIF('Bank Statement'!C5:C62,"BNK-09992")</x:f>
        <x:v>2</x:v>
      </x:c>
    </x:row>
    <x:row r="18" ht="25" customHeight="1">
      <x:c r="A18" s="22" t="str">
        <x:v>Total ledger amount</x:v>
      </x:c>
      <x:c r="B18" s="29" t="n">
        <x:f>SUMIF('Transaction Validation'!N5:N64,"OK",'Transaction Validation'!I5:I64)</x:f>
        <x:v>115481000</x:v>
      </x:c>
    </x:row>
    <x:row r="19" ht="25" customHeight="1">
      <x:c r="A19" s="23" t="str">
        <x:v>Matched bank amount</x:v>
      </x:c>
      <x:c r="B19" s="30" t="n">
        <x:f>SUMIF('Bank Reconciliation'!J5:J64,"OK",'Bank Reconciliation'!I5:I64)</x:f>
        <x:v>105568000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2" t="str">
        <x:v>PROJ-008 | FINANCE DATA ADMINISTRATION DASHBOARD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4" t="str">
        <x:v>Transaction integrity • bank reconciliation • document control • written-first follow-up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>
      <x:c r="A4" s="68" t="str">
        <x:f>"TOTAL TRANSACTIONS"&amp;CHAR(10)&amp;'QA Summary'!B5</x:f>
        <x:v>TOTAL TRANSACTIONS
60</x:v>
      </x:c>
      <x:c r="B4" s="69"/>
      <x:c r="C4" s="98" t="str">
        <x:f>"READY"&amp;CHAR(10)&amp;'QA Summary'!B6</x:f>
        <x:v>READY
36</x:v>
      </x:c>
      <x:c r="D4" s="99"/>
      <x:c r="E4" s="128" t="str">
        <x:f>"REVIEW"&amp;CHAR(10)&amp;'QA Summary'!B7</x:f>
        <x:v>REVIEW
24</x:v>
      </x:c>
      <x:c r="F4" s="129"/>
      <x:c r="G4" s="158" t="str">
        <x:f>"HIGH PRIORITY"&amp;CHAR(10)&amp;'QA Summary'!B8</x:f>
        <x:v>HIGH PRIORITY
9</x:v>
      </x:c>
      <x:c r="H4" s="159"/>
      <x:c r="I4" s="240" t="str">
        <x:f>"MISSING BANK MATCH"&amp;CHAR(10)&amp;'QA Summary'!B14</x:f>
        <x:v>MISSING BANK MATCH
4</x:v>
      </x:c>
      <x:c r="J4" s="241"/>
      <x:c r="K4" s="241"/>
    </x:row>
    <x:row r="5">
      <x:c r="A5" s="70"/>
      <x:c r="B5" s="71"/>
      <x:c r="C5" s="100"/>
      <x:c r="D5" s="101"/>
      <x:c r="E5" s="130"/>
      <x:c r="F5" s="131"/>
      <x:c r="G5" s="160"/>
      <x:c r="H5" s="161"/>
      <x:c r="I5" s="243"/>
      <x:c r="J5" s="244"/>
      <x:c r="K5" s="244"/>
    </x:row>
    <x:row r="6">
      <x:c r="A6" s="72"/>
      <x:c r="B6" s="73"/>
      <x:c r="C6" s="102"/>
      <x:c r="D6" s="103"/>
      <x:c r="E6" s="132"/>
      <x:c r="F6" s="133"/>
      <x:c r="G6" s="162"/>
      <x:c r="H6" s="163"/>
      <x:c r="I6" s="246"/>
      <x:c r="J6" s="247"/>
      <x:c r="K6" s="247"/>
    </x:row>
    <x:row r="8" ht="34" customHeight="1">
      <x:c r="A8" s="10" t="str">
        <x:v>EXCEPTION TYPE</x:v>
      </x:c>
      <x:c r="B8" s="10" t="str">
        <x:v>COUNT</x:v>
      </x:c>
    </x:row>
    <x:row r="9" ht="24" customHeight="1">
      <x:c r="A9" s="195" t="str">
        <x:v>Duplicate transaction rows</x:v>
      </x:c>
      <x:c r="B9" s="195" t="n">
        <x:f>'QA Summary'!B9</x:f>
        <x:v>4</x:v>
      </x:c>
    </x:row>
    <x:row r="10" ht="24" customHeight="1">
      <x:c r="A10" s="196" t="str">
        <x:v>Invalid categories</x:v>
      </x:c>
      <x:c r="B10" s="196" t="n">
        <x:f>'QA Summary'!B10</x:f>
        <x:v>2</x:v>
      </x:c>
    </x:row>
    <x:row r="11" ht="24" customHeight="1">
      <x:c r="A11" s="196" t="str">
        <x:v>Invalid currencies</x:v>
      </x:c>
      <x:c r="B11" s="196" t="n">
        <x:f>'QA Summary'!B11</x:f>
        <x:v>1</x:v>
      </x:c>
    </x:row>
    <x:row r="12" ht="24" customHeight="1">
      <x:c r="A12" s="196" t="str">
        <x:v>Invalid amounts</x:v>
      </x:c>
      <x:c r="B12" s="196" t="n">
        <x:f>'QA Summary'!B12</x:f>
        <x:v>2</x:v>
      </x:c>
    </x:row>
    <x:row r="13" ht="24" customHeight="1">
      <x:c r="A13" s="196" t="str">
        <x:v>Missing documents</x:v>
      </x:c>
      <x:c r="B13" s="196" t="n">
        <x:f>'QA Summary'!B13</x:f>
        <x:v>5</x:v>
      </x:c>
    </x:row>
    <x:row r="14" ht="24" customHeight="1">
      <x:c r="A14" s="196" t="str">
        <x:v>Missing bank matches</x:v>
      </x:c>
      <x:c r="B14" s="196" t="n">
        <x:f>'QA Summary'!B14</x:f>
        <x:v>4</x:v>
      </x:c>
    </x:row>
    <x:row r="15" ht="24" customHeight="1">
      <x:c r="A15" s="196" t="str">
        <x:v>Amount mismatches</x:v>
      </x:c>
      <x:c r="B15" s="196" t="n">
        <x:f>'QA Summary'!B15</x:f>
        <x:v>3</x:v>
      </x:c>
    </x:row>
    <x:row r="16" ht="24" customHeight="1">
      <x:c r="A16" s="197" t="str">
        <x:v>Date mismatches</x:v>
      </x:c>
      <x:c r="B16" s="197" t="n">
        <x:f>'QA Summary'!B16</x:f>
        <x:v>3</x:v>
      </x:c>
    </x:row>
    <x:row r="19" ht="34" customHeight="1">
      <x:c r="A19" s="10" t="str">
        <x:v>FINANCE CHECK</x:v>
      </x:c>
      <x:c r="B19" s="10" t="str">
        <x:v>STATUS</x:v>
      </x:c>
    </x:row>
    <x:row r="20" ht="24" customHeight="1">
      <x:c r="A20" s="198" t="str">
        <x:v>Total reconciliation</x:v>
      </x:c>
      <x:c r="B20" s="198" t="str">
        <x:f>'QA Summary'!E5</x:f>
        <x:v>OK</x:v>
      </x:c>
    </x:row>
    <x:row r="21" ht="24" customHeight="1">
      <x:c r="A21" s="199" t="str">
        <x:v>Queue reconciliation</x:v>
      </x:c>
      <x:c r="B21" s="199" t="str">
        <x:f>'QA Summary'!E6</x:f>
        <x:v>OK</x:v>
      </x:c>
    </x:row>
    <x:row r="22" ht="24" customHeight="1">
      <x:c r="A22" s="199" t="str">
        <x:v>Duplicate definition</x:v>
      </x:c>
      <x:c r="B22" s="199" t="str">
        <x:f>'QA Summary'!E7</x:f>
        <x:v>OK</x:v>
      </x:c>
    </x:row>
    <x:row r="23" ht="24" customHeight="1">
      <x:c r="A23" s="199" t="str">
        <x:v>Bank-only control</x:v>
      </x:c>
      <x:c r="B23" s="199" t="str">
        <x:f>'QA Summary'!E8</x:f>
        <x:v>OK</x:v>
      </x:c>
    </x:row>
    <x:row r="24" ht="24" customHeight="1">
      <x:c r="A24" s="200" t="str">
        <x:v>Formula scan</x:v>
      </x:c>
      <x:c r="B24" s="200" t="str">
        <x:f>'QA Summary'!E9</x:f>
        <x:v>OK</x:v>
      </x:c>
    </x:row>
    <x:row r="28">
      <x:c r="D28" s="220" t="str">
        <x:v>Communication boundary
Designed for spreadsheet updates, secure email/chat, bank portal review, and documented handoff. No cold calling, phone support, sales calls, or frequent meetings are required.</x:v>
      </x:c>
      <x:c r="E28" s="221"/>
      <x:c r="F28" s="221"/>
      <x:c r="G28" s="221"/>
      <x:c r="H28" s="221"/>
      <x:c r="I28" s="221"/>
      <x:c r="J28" s="221"/>
      <x:c r="K28" s="222"/>
    </x:row>
    <x:row r="29">
      <x:c r="D29" s="223"/>
      <x:c r="E29" s="224"/>
      <x:c r="F29" s="224"/>
      <x:c r="G29" s="224"/>
      <x:c r="H29" s="224"/>
      <x:c r="I29" s="224"/>
      <x:c r="J29" s="224"/>
      <x:c r="K29" s="225"/>
    </x:row>
    <x:row r="30">
      <x:c r="D30" s="223"/>
      <x:c r="E30" s="224"/>
      <x:c r="F30" s="224"/>
      <x:c r="G30" s="224"/>
      <x:c r="H30" s="224"/>
      <x:c r="I30" s="224"/>
      <x:c r="J30" s="224"/>
      <x:c r="K30" s="225"/>
    </x:row>
    <x:row r="31">
      <x:c r="D31" s="226"/>
      <x:c r="E31" s="227"/>
      <x:c r="F31" s="227"/>
      <x:c r="G31" s="227"/>
      <x:c r="H31" s="227"/>
      <x:c r="I31" s="227"/>
      <x:c r="J31" s="227"/>
      <x:c r="K31" s="228"/>
    </x:row>
  </x:sheetData>
  <x:mergeCells>
    <x:mergeCell ref="A1:K1"/>
    <x:mergeCell ref="A2:K2"/>
    <x:mergeCell ref="A4:B6"/>
    <x:mergeCell ref="C4:D6"/>
    <x:mergeCell ref="E4:F6"/>
    <x:mergeCell ref="G4:H6"/>
    <x:mergeCell ref="D28:K31"/>
    <x:mergeCell ref="I4:K6"/>
  </x:mergeCells>
  <x:pageMargins left="0.7" right="0.7" top="0.75" bottom="0.75" header="0.3" footer="0.3"/>
  <x:drawing xmlns:r="http://schemas.openxmlformats.org/officeDocument/2006/relationships" r:id="R861a9466bbcc449e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5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0" customHeight="1">
      <x:c r="A1" s="2" t="str">
        <x:v>PROJ-008 | FINANCE EXCEPTION QUEUE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4" t="str">
        <x:v>One row per transaction requiring review • owner • priority • due date • verification trail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4" ht="34" customHeight="1">
      <x:c r="A4" s="10" t="str">
        <x:v>Case ID</x:v>
      </x:c>
      <x:c r="B4" s="10" t="str">
        <x:v>Raw Row</x:v>
      </x:c>
      <x:c r="C4" s="10" t="str">
        <x:v>Transaction ID</x:v>
      </x:c>
      <x:c r="D4" s="10" t="str">
        <x:v>Bank Reference</x:v>
      </x:c>
      <x:c r="E4" s="10" t="str">
        <x:v>Vendor / Payee</x:v>
      </x:c>
      <x:c r="F4" s="10" t="str">
        <x:v>Ledger Amount</x:v>
      </x:c>
      <x:c r="G4" s="10" t="str">
        <x:v>Final Status</x:v>
      </x:c>
      <x:c r="H4" s="10" t="str">
        <x:v>Exception Summary</x:v>
      </x:c>
      <x:c r="I4" s="10" t="str">
        <x:v>Priority</x:v>
      </x:c>
      <x:c r="J4" s="10" t="str">
        <x:v>Owner</x:v>
      </x:c>
      <x:c r="K4" s="10" t="str">
        <x:v>Case Status</x:v>
      </x:c>
      <x:c r="L4" s="10" t="str">
        <x:v>Due Date</x:v>
      </x:c>
      <x:c r="M4" s="10" t="str">
        <x:v>Written Next Action</x:v>
      </x:c>
      <x:c r="N4" s="10" t="str">
        <x:v>Resolution Note</x:v>
      </x:c>
      <x:c r="O4" s="10" t="str">
        <x:v>Resolution Date</x:v>
      </x:c>
      <x:c r="P4" s="10" t="str">
        <x:v>Verified By</x:v>
      </x:c>
    </x:row>
    <x:row r="5" ht="30" customHeight="1">
      <x:c r="A5" s="11" t="str">
        <x:f>"FIN-CASE-"&amp;TEXT(ROW()-4,"000")</x:f>
        <x:v>FIN-CASE-001</x:v>
      </x:c>
      <x:c r="B5" s="11" t="n">
        <x:f>'Bank Reconciliation'!A9</x:f>
        <x:v>9</x:v>
      </x:c>
      <x:c r="C5" s="11" t="str">
        <x:f>'Bank Reconciliation'!B9</x:f>
        <x:v>FIN-0005</x:v>
      </x:c>
      <x:c r="D5" s="11" t="str">
        <x:f>'Bank Reconciliation'!D9</x:f>
        <x:v>BNK-03005</x:v>
      </x:c>
      <x:c r="E5" s="11" t="str">
        <x:f>'Bank Reconciliation'!E9</x:f>
        <x:v>Sinar Telecom</x:v>
      </x:c>
      <x:c r="F5" s="27" t="n">
        <x:f>'Bank Reconciliation'!F9</x:f>
        <x:v>835000</x:v>
      </x:c>
      <x:c r="G5" s="11" t="str">
        <x:f>'Bank Reconciliation'!O9</x:f>
        <x:v>Review</x:v>
      </x:c>
      <x:c r="H5" s="31" t="str">
        <x:f>IF(ISNUMBER(SEARCH("duplicate",M5)),"Duplicate Transaction ID",IF(ISNUMBER(SEARCH("document",M5)),"Missing Document",IF(ISNUMBER(SEARCH("category",M5)),"Invalid Category",IF(ISNUMBER(SEARCH("currency",M5)),"Invalid Currency",IF(ISNUMBER(SEARCH("bank-reference",M5)),"Missing Bank Match",IF(ISNUMBER(SEARCH("timing",M5)),"Date Mismatch",IF(ISNUMBER(SEARCH("amount",M5)),"Amount Mismatch / Invalid Amount","Review Required")))))))</x:f>
        <x:v>Missing Bank Match</x:v>
      </x:c>
      <x:c r="I5" s="11" t="str">
        <x:f>IF(G5="High Priority Review","High","Medium")</x:f>
        <x:v>Medium</x:v>
      </x:c>
      <x:c r="J5" s="11" t="str">
        <x:v>Finance Admin</x:v>
      </x:c>
      <x:c r="K5" s="11" t="str">
        <x:v>Open</x:v>
      </x:c>
      <x:c r="L5" s="25" t="n">
        <x:f>DATE(2026,8,17)+IF(I5="High",1,3)</x:f>
        <x:v>46254</x:v>
      </x:c>
      <x:c r="M5" s="31" t="str">
        <x:f>'Bank Reconciliation'!P9</x:f>
        <x:v>Request bank-reference evidence</x:v>
      </x:c>
      <x:c r="N5" s="31"/>
      <x:c r="O5" s="25"/>
      <x:c r="P5" s="11"/>
    </x:row>
    <x:row r="6" ht="30" customHeight="1">
      <x:c r="A6" s="24" t="str">
        <x:f>"FIN-CASE-"&amp;TEXT(ROW()-4,"000")</x:f>
        <x:v>FIN-CASE-002</x:v>
      </x:c>
      <x:c r="B6" s="24" t="n">
        <x:f>'Bank Reconciliation'!A11</x:f>
        <x:v>11</x:v>
      </x:c>
      <x:c r="C6" s="24" t="str">
        <x:f>'Bank Reconciliation'!B11</x:f>
        <x:v>FIN-0007</x:v>
      </x:c>
      <x:c r="D6" s="24" t="str">
        <x:f>'Bank Reconciliation'!D11</x:f>
        <x:v>BNK-03007</x:v>
      </x:c>
      <x:c r="E6" s="24" t="str">
        <x:f>'Bank Reconciliation'!E11</x:f>
        <x:v>Archipelago Travel</x:v>
      </x:c>
      <x:c r="F6" s="28" t="n">
        <x:f>'Bank Reconciliation'!F11</x:f>
        <x:v>1109000</x:v>
      </x:c>
      <x:c r="G6" s="24" t="str">
        <x:f>'Bank Reconciliation'!O11</x:f>
        <x:v>Review</x:v>
      </x:c>
      <x:c r="H6" s="32" t="str">
        <x:f>IF(ISNUMBER(SEARCH("duplicate",M6)),"Duplicate Transaction ID",IF(ISNUMBER(SEARCH("document",M6)),"Missing Document",IF(ISNUMBER(SEARCH("category",M6)),"Invalid Category",IF(ISNUMBER(SEARCH("currency",M6)),"Invalid Currency",IF(ISNUMBER(SEARCH("bank-reference",M6)),"Missing Bank Match",IF(ISNUMBER(SEARCH("timing",M6)),"Date Mismatch",IF(ISNUMBER(SEARCH("amount",M6)),"Amount Mismatch / Invalid Amount","Review Required")))))))</x:f>
        <x:v>Missing Document</x:v>
      </x:c>
      <x:c r="I6" s="24" t="str">
        <x:f>IF(G6="High Priority Review","High","Medium")</x:f>
        <x:v>Medium</x:v>
      </x:c>
      <x:c r="J6" s="24" t="str">
        <x:v>Finance Admin</x:v>
      </x:c>
      <x:c r="K6" s="24" t="str">
        <x:v>Open</x:v>
      </x:c>
      <x:c r="L6" s="26" t="n">
        <x:f>DATE(2026,8,17)+IF(I6="High",1,3)</x:f>
        <x:v>46254</x:v>
      </x:c>
      <x:c r="M6" s="32" t="str">
        <x:f>'Bank Reconciliation'!P11</x:f>
        <x:v>Request supporting document in writing</x:v>
      </x:c>
      <x:c r="N6" s="32"/>
      <x:c r="O6" s="26"/>
      <x:c r="P6" s="24"/>
    </x:row>
    <x:row r="7" ht="30" customHeight="1">
      <x:c r="A7" s="11" t="str">
        <x:f>"FIN-CASE-"&amp;TEXT(ROW()-4,"000")</x:f>
        <x:v>FIN-CASE-003</x:v>
      </x:c>
      <x:c r="B7" s="11" t="n">
        <x:f>'Bank Reconciliation'!A12</x:f>
        <x:v>12</x:v>
      </x:c>
      <x:c r="C7" s="11" t="str">
        <x:f>'Bank Reconciliation'!B12</x:f>
        <x:v>FIN-0008</x:v>
      </x:c>
      <x:c r="D7" s="11" t="str">
        <x:f>'Bank Reconciliation'!D12</x:f>
        <x:v>BNK-03008</x:v>
      </x:c>
      <x:c r="E7" s="11" t="str">
        <x:f>'Bank Reconciliation'!E12</x:f>
        <x:v>Prima Utilities</x:v>
      </x:c>
      <x:c r="F7" s="27" t="n">
        <x:f>'Bank Reconciliation'!F12</x:f>
        <x:v>1246000</x:v>
      </x:c>
      <x:c r="G7" s="11" t="str">
        <x:f>'Bank Reconciliation'!O12</x:f>
        <x:v>Review</x:v>
      </x:c>
      <x:c r="H7" s="31" t="str">
        <x:f>IF(ISNUMBER(SEARCH("duplicate",M7)),"Duplicate Transaction ID",IF(ISNUMBER(SEARCH("document",M7)),"Missing Document",IF(ISNUMBER(SEARCH("category",M7)),"Invalid Category",IF(ISNUMBER(SEARCH("currency",M7)),"Invalid Currency",IF(ISNUMBER(SEARCH("bank-reference",M7)),"Missing Bank Match",IF(ISNUMBER(SEARCH("timing",M7)),"Date Mismatch",IF(ISNUMBER(SEARCH("amount",M7)),"Amount Mismatch / Invalid Amount","Review Required")))))))</x:f>
        <x:v>Date Mismatch</x:v>
      </x:c>
      <x:c r="I7" s="11" t="str">
        <x:f>IF(G7="High Priority Review","High","Medium")</x:f>
        <x:v>Medium</x:v>
      </x:c>
      <x:c r="J7" s="11" t="str">
        <x:v>Finance Admin</x:v>
      </x:c>
      <x:c r="K7" s="11" t="str">
        <x:v>Open</x:v>
      </x:c>
      <x:c r="L7" s="25" t="n">
        <x:f>DATE(2026,8,17)+IF(I7="High",1,3)</x:f>
        <x:v>46254</x:v>
      </x:c>
      <x:c r="M7" s="31" t="str">
        <x:f>'Bank Reconciliation'!P12</x:f>
        <x:v>Confirm timing difference in writing</x:v>
      </x:c>
      <x:c r="N7" s="31"/>
      <x:c r="O7" s="25"/>
      <x:c r="P7" s="11"/>
    </x:row>
    <x:row r="8" ht="30" customHeight="1">
      <x:c r="A8" s="24" t="str">
        <x:f>"FIN-CASE-"&amp;TEXT(ROW()-4,"000")</x:f>
        <x:v>FIN-CASE-004</x:v>
      </x:c>
      <x:c r="B8" s="24" t="n">
        <x:f>'Bank Reconciliation'!A14</x:f>
        <x:v>14</x:v>
      </x:c>
      <x:c r="C8" s="24" t="str">
        <x:f>'Bank Reconciliation'!B14</x:f>
        <x:v>FIN-0010</x:v>
      </x:c>
      <x:c r="D8" s="24" t="str">
        <x:f>'Bank Reconciliation'!D14</x:f>
        <x:v>BNK-03010</x:v>
      </x:c>
      <x:c r="E8" s="24" t="str">
        <x:f>'Bank Reconciliation'!E14</x:f>
        <x:v>Maju Training Center</x:v>
      </x:c>
      <x:c r="F8" s="28" t="n">
        <x:f>'Bank Reconciliation'!F14</x:f>
        <x:v>1520000</x:v>
      </x:c>
      <x:c r="G8" s="24" t="str">
        <x:f>'Bank Reconciliation'!O14</x:f>
        <x:v>Review</x:v>
      </x:c>
      <x:c r="H8" s="32" t="str">
        <x:f>IF(ISNUMBER(SEARCH("duplicate",M8)),"Duplicate Transaction ID",IF(ISNUMBER(SEARCH("document",M8)),"Missing Document",IF(ISNUMBER(SEARCH("category",M8)),"Invalid Category",IF(ISNUMBER(SEARCH("currency",M8)),"Invalid Currency",IF(ISNUMBER(SEARCH("bank-reference",M8)),"Missing Bank Match",IF(ISNUMBER(SEARCH("timing",M8)),"Date Mismatch",IF(ISNUMBER(SEARCH("amount",M8)),"Amount Mismatch / Invalid Amount","Review Required")))))))</x:f>
        <x:v>Invalid Category</x:v>
      </x:c>
      <x:c r="I8" s="24" t="str">
        <x:f>IF(G8="High Priority Review","High","Medium")</x:f>
        <x:v>Medium</x:v>
      </x:c>
      <x:c r="J8" s="24" t="str">
        <x:v>Finance Admin</x:v>
      </x:c>
      <x:c r="K8" s="24" t="str">
        <x:v>Open</x:v>
      </x:c>
      <x:c r="L8" s="26" t="n">
        <x:f>DATE(2026,8,17)+IF(I8="High",1,3)</x:f>
        <x:v>46254</x:v>
      </x:c>
      <x:c r="M8" s="32" t="str">
        <x:f>'Bank Reconciliation'!P14</x:f>
        <x:v>Confirm approved finance category</x:v>
      </x:c>
      <x:c r="N8" s="32"/>
      <x:c r="O8" s="26"/>
      <x:c r="P8" s="24"/>
    </x:row>
    <x:row r="9" ht="30" customHeight="1">
      <x:c r="A9" s="11" t="str">
        <x:f>"FIN-CASE-"&amp;TEXT(ROW()-4,"000")</x:f>
        <x:v>FIN-CASE-005</x:v>
      </x:c>
      <x:c r="B9" s="11" t="n">
        <x:f>'Bank Reconciliation'!A16</x:f>
        <x:v>16</x:v>
      </x:c>
      <x:c r="C9" s="11" t="str">
        <x:f>'Bank Reconciliation'!B16</x:f>
        <x:v>FIN-0012</x:v>
      </x:c>
      <x:c r="D9" s="11" t="str">
        <x:f>'Bank Reconciliation'!D16</x:f>
        <x:v>BNK-03012</x:v>
      </x:c>
      <x:c r="E9" s="11" t="str">
        <x:f>'Bank Reconciliation'!E16</x:f>
        <x:v>CloudDesk Software</x:v>
      </x:c>
      <x:c r="F9" s="27" t="n">
        <x:f>'Bank Reconciliation'!F16</x:f>
        <x:v>1794000</x:v>
      </x:c>
      <x:c r="G9" s="11" t="str">
        <x:f>'Bank Reconciliation'!O16</x:f>
        <x:v>High Priority Review</x:v>
      </x:c>
      <x:c r="H9" s="31" t="str">
        <x:f>IF(ISNUMBER(SEARCH("duplicate",M9)),"Duplicate Transaction ID",IF(ISNUMBER(SEARCH("document",M9)),"Missing Document",IF(ISNUMBER(SEARCH("category",M9)),"Invalid Category",IF(ISNUMBER(SEARCH("currency",M9)),"Invalid Currency",IF(ISNUMBER(SEARCH("bank-reference",M9)),"Missing Bank Match",IF(ISNUMBER(SEARCH("timing",M9)),"Date Mismatch",IF(ISNUMBER(SEARCH("amount",M9)),"Amount Mismatch / Invalid Amount","Review Required")))))))</x:f>
        <x:v>Duplicate Transaction ID</x:v>
      </x:c>
      <x:c r="I9" s="11" t="str">
        <x:f>IF(G9="High Priority Review","High","Medium")</x:f>
        <x:v>High</x:v>
      </x:c>
      <x:c r="J9" s="11" t="str">
        <x:v>Finance Admin</x:v>
      </x:c>
      <x:c r="K9" s="11" t="str">
        <x:v>Open</x:v>
      </x:c>
      <x:c r="L9" s="25" t="n">
        <x:f>DATE(2026,8,17)+IF(I9="High",1,3)</x:f>
        <x:v>46252</x:v>
      </x:c>
      <x:c r="M9" s="31" t="str">
        <x:f>'Bank Reconciliation'!P16</x:f>
        <x:v>Compare duplicate transaction records</x:v>
      </x:c>
      <x:c r="N9" s="31"/>
      <x:c r="O9" s="25"/>
      <x:c r="P9" s="11"/>
    </x:row>
    <x:row r="10" ht="30" customHeight="1">
      <x:c r="A10" s="24" t="str">
        <x:f>"FIN-CASE-"&amp;TEXT(ROW()-4,"000")</x:f>
        <x:v>FIN-CASE-006</x:v>
      </x:c>
      <x:c r="B10" s="24" t="n">
        <x:f>'Bank Reconciliation'!A17</x:f>
        <x:v>17</x:v>
      </x:c>
      <x:c r="C10" s="24" t="str">
        <x:f>'Bank Reconciliation'!B17</x:f>
        <x:v>FIN-0012</x:v>
      </x:c>
      <x:c r="D10" s="24" t="str">
        <x:f>'Bank Reconciliation'!D17</x:f>
        <x:v>BNK-03013</x:v>
      </x:c>
      <x:c r="E10" s="24" t="str">
        <x:f>'Bank Reconciliation'!E17</x:f>
        <x:v>Metro Courier</x:v>
      </x:c>
      <x:c r="F10" s="28" t="n">
        <x:f>'Bank Reconciliation'!F17</x:f>
        <x:v>1931000</x:v>
      </x:c>
      <x:c r="G10" s="24" t="str">
        <x:f>'Bank Reconciliation'!O17</x:f>
        <x:v>High Priority Review</x:v>
      </x:c>
      <x:c r="H10" s="32" t="str">
        <x:f>IF(ISNUMBER(SEARCH("duplicate",M10)),"Duplicate Transaction ID",IF(ISNUMBER(SEARCH("document",M10)),"Missing Document",IF(ISNUMBER(SEARCH("category",M10)),"Invalid Category",IF(ISNUMBER(SEARCH("currency",M10)),"Invalid Currency",IF(ISNUMBER(SEARCH("bank-reference",M10)),"Missing Bank Match",IF(ISNUMBER(SEARCH("timing",M10)),"Date Mismatch",IF(ISNUMBER(SEARCH("amount",M10)),"Amount Mismatch / Invalid Amount","Review Required")))))))</x:f>
        <x:v>Duplicate Transaction ID</x:v>
      </x:c>
      <x:c r="I10" s="24" t="str">
        <x:f>IF(G10="High Priority Review","High","Medium")</x:f>
        <x:v>High</x:v>
      </x:c>
      <x:c r="J10" s="24" t="str">
        <x:v>Finance Admin</x:v>
      </x:c>
      <x:c r="K10" s="24" t="str">
        <x:v>Open</x:v>
      </x:c>
      <x:c r="L10" s="26" t="n">
        <x:f>DATE(2026,8,17)+IF(I10="High",1,3)</x:f>
        <x:v>46252</x:v>
      </x:c>
      <x:c r="M10" s="32" t="str">
        <x:f>'Bank Reconciliation'!P17</x:f>
        <x:v>Compare duplicate transaction records</x:v>
      </x:c>
      <x:c r="N10" s="32"/>
      <x:c r="O10" s="26"/>
      <x:c r="P10" s="24"/>
    </x:row>
    <x:row r="11" ht="30" customHeight="1">
      <x:c r="A11" s="11" t="str">
        <x:f>"FIN-CASE-"&amp;TEXT(ROW()-4,"000")</x:f>
        <x:v>FIN-CASE-007</x:v>
      </x:c>
      <x:c r="B11" s="11" t="n">
        <x:f>'Bank Reconciliation'!A21</x:f>
        <x:v>21</x:v>
      </x:c>
      <x:c r="C11" s="11" t="str">
        <x:f>'Bank Reconciliation'!B21</x:f>
        <x:v>FIN-0017</x:v>
      </x:c>
      <x:c r="D11" s="11" t="str">
        <x:f>'Bank Reconciliation'!D21</x:f>
        <x:v>BNK-03017</x:v>
      </x:c>
      <x:c r="E11" s="11" t="str">
        <x:f>'Bank Reconciliation'!E21</x:f>
        <x:v>Archipelago Travel</x:v>
      </x:c>
      <x:c r="F11" s="27" t="n">
        <x:f>'Bank Reconciliation'!F21</x:f>
        <x:v>2479000</x:v>
      </x:c>
      <x:c r="G11" s="11" t="str">
        <x:f>'Bank Reconciliation'!O21</x:f>
        <x:v>High Priority Review</x:v>
      </x:c>
      <x:c r="H11" s="31" t="str">
        <x:f>IF(ISNUMBER(SEARCH("duplicate",M11)),"Duplicate Transaction ID",IF(ISNUMBER(SEARCH("document",M11)),"Missing Document",IF(ISNUMBER(SEARCH("category",M11)),"Invalid Category",IF(ISNUMBER(SEARCH("currency",M11)),"Invalid Currency",IF(ISNUMBER(SEARCH("bank-reference",M11)),"Missing Bank Match",IF(ISNUMBER(SEARCH("timing",M11)),"Date Mismatch",IF(ISNUMBER(SEARCH("amount",M11)),"Amount Mismatch / Invalid Amount","Review Required")))))))</x:f>
        <x:v>Amount Mismatch / Invalid Amount</x:v>
      </x:c>
      <x:c r="I11" s="11" t="str">
        <x:f>IF(G11="High Priority Review","High","Medium")</x:f>
        <x:v>High</x:v>
      </x:c>
      <x:c r="J11" s="11" t="str">
        <x:v>Finance Admin</x:v>
      </x:c>
      <x:c r="K11" s="11" t="str">
        <x:v>Open</x:v>
      </x:c>
      <x:c r="L11" s="25" t="n">
        <x:f>DATE(2026,8,17)+IF(I11="High",1,3)</x:f>
        <x:v>46252</x:v>
      </x:c>
      <x:c r="M11" s="31" t="str">
        <x:f>'Bank Reconciliation'!P21</x:f>
        <x:v>Verify amount and post correction only with approval</x:v>
      </x:c>
      <x:c r="N11" s="31"/>
      <x:c r="O11" s="25"/>
      <x:c r="P11" s="11"/>
    </x:row>
    <x:row r="12" ht="30" customHeight="1">
      <x:c r="A12" s="24" t="str">
        <x:f>"FIN-CASE-"&amp;TEXT(ROW()-4,"000")</x:f>
        <x:v>FIN-CASE-008</x:v>
      </x:c>
      <x:c r="B12" s="24" t="n">
        <x:f>'Bank Reconciliation'!A22</x:f>
        <x:v>22</x:v>
      </x:c>
      <x:c r="C12" s="24" t="str">
        <x:f>'Bank Reconciliation'!B22</x:f>
        <x:v>FIN-0018</x:v>
      </x:c>
      <x:c r="D12" s="24" t="str">
        <x:f>'Bank Reconciliation'!D22</x:f>
        <x:v>BNK-03018</x:v>
      </x:c>
      <x:c r="E12" s="24" t="str">
        <x:f>'Bank Reconciliation'!E22</x:f>
        <x:v>Prima Utilities</x:v>
      </x:c>
      <x:c r="F12" s="28" t="n">
        <x:f>'Bank Reconciliation'!F22</x:f>
        <x:v>2616000</x:v>
      </x:c>
      <x:c r="G12" s="24" t="str">
        <x:f>'Bank Reconciliation'!O22</x:f>
        <x:v>Review</x:v>
      </x:c>
      <x:c r="H12" s="32" t="str">
        <x:f>IF(ISNUMBER(SEARCH("duplicate",M12)),"Duplicate Transaction ID",IF(ISNUMBER(SEARCH("document",M12)),"Missing Document",IF(ISNUMBER(SEARCH("category",M12)),"Invalid Category",IF(ISNUMBER(SEARCH("currency",M12)),"Invalid Currency",IF(ISNUMBER(SEARCH("bank-reference",M12)),"Missing Bank Match",IF(ISNUMBER(SEARCH("timing",M12)),"Date Mismatch",IF(ISNUMBER(SEARCH("amount",M12)),"Amount Mismatch / Invalid Amount","Review Required")))))))</x:f>
        <x:v>Missing Document</x:v>
      </x:c>
      <x:c r="I12" s="24" t="str">
        <x:f>IF(G12="High Priority Review","High","Medium")</x:f>
        <x:v>Medium</x:v>
      </x:c>
      <x:c r="J12" s="24" t="str">
        <x:v>Finance Admin</x:v>
      </x:c>
      <x:c r="K12" s="24" t="str">
        <x:v>Open</x:v>
      </x:c>
      <x:c r="L12" s="26" t="n">
        <x:f>DATE(2026,8,17)+IF(I12="High",1,3)</x:f>
        <x:v>46254</x:v>
      </x:c>
      <x:c r="M12" s="32" t="str">
        <x:f>'Bank Reconciliation'!P22</x:f>
        <x:v>Request supporting document in writing</x:v>
      </x:c>
      <x:c r="N12" s="32"/>
      <x:c r="O12" s="26"/>
      <x:c r="P12" s="24"/>
    </x:row>
    <x:row r="13" ht="30" customHeight="1">
      <x:c r="A13" s="11" t="str">
        <x:f>"FIN-CASE-"&amp;TEXT(ROW()-4,"000")</x:f>
        <x:v>FIN-CASE-009</x:v>
      </x:c>
      <x:c r="B13" s="11" t="n">
        <x:f>'Bank Reconciliation'!A25</x:f>
        <x:v>25</x:v>
      </x:c>
      <x:c r="C13" s="11" t="str">
        <x:f>'Bank Reconciliation'!B25</x:f>
        <x:v>FIN-0021</x:v>
      </x:c>
      <x:c r="D13" s="11" t="str">
        <x:f>'Bank Reconciliation'!D25</x:f>
        <x:v>BNK-03021</x:v>
      </x:c>
      <x:c r="E13" s="11" t="str">
        <x:f>'Bank Reconciliation'!E25</x:f>
        <x:v>Nusa Office Supply</x:v>
      </x:c>
      <x:c r="F13" s="27" t="n">
        <x:f>'Bank Reconciliation'!F25</x:f>
        <x:v>0</x:v>
      </x:c>
      <x:c r="G13" s="11" t="str">
        <x:f>'Bank Reconciliation'!O25</x:f>
        <x:v>High Priority Review</x:v>
      </x:c>
      <x:c r="H13" s="31" t="str">
        <x:f>IF(ISNUMBER(SEARCH("duplicate",M13)),"Duplicate Transaction ID",IF(ISNUMBER(SEARCH("document",M13)),"Missing Document",IF(ISNUMBER(SEARCH("category",M13)),"Invalid Category",IF(ISNUMBER(SEARCH("currency",M13)),"Invalid Currency",IF(ISNUMBER(SEARCH("bank-reference",M13)),"Missing Bank Match",IF(ISNUMBER(SEARCH("timing",M13)),"Date Mismatch",IF(ISNUMBER(SEARCH("amount",M13)),"Amount Mismatch / Invalid Amount","Review Required")))))))</x:f>
        <x:v>Amount Mismatch / Invalid Amount</x:v>
      </x:c>
      <x:c r="I13" s="11" t="str">
        <x:f>IF(G13="High Priority Review","High","Medium")</x:f>
        <x:v>High</x:v>
      </x:c>
      <x:c r="J13" s="11" t="str">
        <x:v>Finance Admin</x:v>
      </x:c>
      <x:c r="K13" s="11" t="str">
        <x:v>Open</x:v>
      </x:c>
      <x:c r="L13" s="25" t="n">
        <x:f>DATE(2026,8,17)+IF(I13="High",1,3)</x:f>
        <x:v>46252</x:v>
      </x:c>
      <x:c r="M13" s="31" t="str">
        <x:f>'Bank Reconciliation'!P25</x:f>
        <x:v>Verify amount against approved source</x:v>
      </x:c>
      <x:c r="N13" s="31"/>
      <x:c r="O13" s="25"/>
      <x:c r="P13" s="11"/>
    </x:row>
    <x:row r="14" ht="30" customHeight="1">
      <x:c r="A14" s="24" t="str">
        <x:f>"FIN-CASE-"&amp;TEXT(ROW()-4,"000")</x:f>
        <x:v>FIN-CASE-010</x:v>
      </x:c>
      <x:c r="B14" s="24" t="n">
        <x:f>'Bank Reconciliation'!A26</x:f>
        <x:v>26</x:v>
      </x:c>
      <x:c r="C14" s="24" t="str">
        <x:f>'Bank Reconciliation'!B26</x:f>
        <x:v>FIN-0022</x:v>
      </x:c>
      <x:c r="D14" s="24" t="str">
        <x:f>'Bank Reconciliation'!D26</x:f>
        <x:v>BNK-03022</x:v>
      </x:c>
      <x:c r="E14" s="24" t="str">
        <x:f>'Bank Reconciliation'!E26</x:f>
        <x:v>CloudDesk Software</x:v>
      </x:c>
      <x:c r="F14" s="28" t="n">
        <x:f>'Bank Reconciliation'!F26</x:f>
        <x:v>3164000</x:v>
      </x:c>
      <x:c r="G14" s="24" t="str">
        <x:f>'Bank Reconciliation'!O26</x:f>
        <x:v>Review</x:v>
      </x:c>
      <x:c r="H14" s="32" t="str">
        <x:f>IF(ISNUMBER(SEARCH("duplicate",M14)),"Duplicate Transaction ID",IF(ISNUMBER(SEARCH("document",M14)),"Missing Document",IF(ISNUMBER(SEARCH("category",M14)),"Invalid Category",IF(ISNUMBER(SEARCH("currency",M14)),"Invalid Currency",IF(ISNUMBER(SEARCH("bank-reference",M14)),"Missing Bank Match",IF(ISNUMBER(SEARCH("timing",M14)),"Date Mismatch",IF(ISNUMBER(SEARCH("amount",M14)),"Amount Mismatch / Invalid Amount","Review Required")))))))</x:f>
        <x:v>Missing Bank Match</x:v>
      </x:c>
      <x:c r="I14" s="24" t="str">
        <x:f>IF(G14="High Priority Review","High","Medium")</x:f>
        <x:v>Medium</x:v>
      </x:c>
      <x:c r="J14" s="24" t="str">
        <x:v>Finance Admin</x:v>
      </x:c>
      <x:c r="K14" s="24" t="str">
        <x:v>Open</x:v>
      </x:c>
      <x:c r="L14" s="26" t="n">
        <x:f>DATE(2026,8,17)+IF(I14="High",1,3)</x:f>
        <x:v>46254</x:v>
      </x:c>
      <x:c r="M14" s="32" t="str">
        <x:f>'Bank Reconciliation'!P26</x:f>
        <x:v>Request bank-reference evidence</x:v>
      </x:c>
      <x:c r="N14" s="32"/>
      <x:c r="O14" s="26"/>
      <x:c r="P14" s="24"/>
    </x:row>
    <x:row r="15" ht="30" customHeight="1">
      <x:c r="A15" s="11" t="str">
        <x:f>"FIN-CASE-"&amp;TEXT(ROW()-4,"000")</x:f>
        <x:v>FIN-CASE-011</x:v>
      </x:c>
      <x:c r="B15" s="11" t="n">
        <x:f>'Bank Reconciliation'!A33</x:f>
        <x:v>33</x:v>
      </x:c>
      <x:c r="C15" s="11" t="str">
        <x:f>'Bank Reconciliation'!B33</x:f>
        <x:v>FIN-0029</x:v>
      </x:c>
      <x:c r="D15" s="11" t="str">
        <x:f>'Bank Reconciliation'!D33</x:f>
        <x:v>BNK-03029</x:v>
      </x:c>
      <x:c r="E15" s="11" t="str">
        <x:f>'Bank Reconciliation'!E33</x:f>
        <x:v>DataSecure Hosting</x:v>
      </x:c>
      <x:c r="F15" s="27" t="n">
        <x:f>'Bank Reconciliation'!F33</x:f>
        <x:v>273000</x:v>
      </x:c>
      <x:c r="G15" s="11" t="str">
        <x:f>'Bank Reconciliation'!O33</x:f>
        <x:v>Review</x:v>
      </x:c>
      <x:c r="H15" s="31" t="str">
        <x:f>IF(ISNUMBER(SEARCH("duplicate",M15)),"Duplicate Transaction ID",IF(ISNUMBER(SEARCH("document",M15)),"Missing Document",IF(ISNUMBER(SEARCH("category",M15)),"Invalid Category",IF(ISNUMBER(SEARCH("currency",M15)),"Invalid Currency",IF(ISNUMBER(SEARCH("bank-reference",M15)),"Missing Bank Match",IF(ISNUMBER(SEARCH("timing",M15)),"Date Mismatch",IF(ISNUMBER(SEARCH("amount",M15)),"Amount Mismatch / Invalid Amount","Review Required")))))))</x:f>
        <x:v>Missing Document</x:v>
      </x:c>
      <x:c r="I15" s="11" t="str">
        <x:f>IF(G15="High Priority Review","High","Medium")</x:f>
        <x:v>Medium</x:v>
      </x:c>
      <x:c r="J15" s="11" t="str">
        <x:v>Finance Admin</x:v>
      </x:c>
      <x:c r="K15" s="11" t="str">
        <x:v>Open</x:v>
      </x:c>
      <x:c r="L15" s="25" t="n">
        <x:f>DATE(2026,8,17)+IF(I15="High",1,3)</x:f>
        <x:v>46254</x:v>
      </x:c>
      <x:c r="M15" s="31" t="str">
        <x:f>'Bank Reconciliation'!P33</x:f>
        <x:v>Request supporting document in writing</x:v>
      </x:c>
      <x:c r="N15" s="31"/>
      <x:c r="O15" s="25"/>
      <x:c r="P15" s="11"/>
    </x:row>
    <x:row r="16" ht="30" customHeight="1">
      <x:c r="A16" s="24" t="str">
        <x:f>"FIN-CASE-"&amp;TEXT(ROW()-4,"000")</x:f>
        <x:v>FIN-CASE-012</x:v>
      </x:c>
      <x:c r="B16" s="24" t="n">
        <x:f>'Bank Reconciliation'!A35</x:f>
        <x:v>35</x:v>
      </x:c>
      <x:c r="C16" s="24" t="str">
        <x:f>'Bank Reconciliation'!B35</x:f>
        <x:v>FIN-0031</x:v>
      </x:c>
      <x:c r="D16" s="24" t="str">
        <x:f>'Bank Reconciliation'!D35</x:f>
        <x:v>BNK-03031</x:v>
      </x:c>
      <x:c r="E16" s="24" t="str">
        <x:f>'Bank Reconciliation'!E35</x:f>
        <x:v>Nusa Office Supply</x:v>
      </x:c>
      <x:c r="F16" s="28" t="n">
        <x:f>'Bank Reconciliation'!F35</x:f>
        <x:v>547000</x:v>
      </x:c>
      <x:c r="G16" s="24" t="str">
        <x:f>'Bank Reconciliation'!O35</x:f>
        <x:v>Review</x:v>
      </x:c>
      <x:c r="H16" s="32" t="str">
        <x:f>IF(ISNUMBER(SEARCH("duplicate",M16)),"Duplicate Transaction ID",IF(ISNUMBER(SEARCH("document",M16)),"Missing Document",IF(ISNUMBER(SEARCH("category",M16)),"Invalid Category",IF(ISNUMBER(SEARCH("currency",M16)),"Invalid Currency",IF(ISNUMBER(SEARCH("bank-reference",M16)),"Missing Bank Match",IF(ISNUMBER(SEARCH("timing",M16)),"Date Mismatch",IF(ISNUMBER(SEARCH("amount",M16)),"Amount Mismatch / Invalid Amount","Review Required")))))))</x:f>
        <x:v>Date Mismatch</x:v>
      </x:c>
      <x:c r="I16" s="24" t="str">
        <x:f>IF(G16="High Priority Review","High","Medium")</x:f>
        <x:v>Medium</x:v>
      </x:c>
      <x:c r="J16" s="24" t="str">
        <x:v>Finance Admin</x:v>
      </x:c>
      <x:c r="K16" s="24" t="str">
        <x:v>Open</x:v>
      </x:c>
      <x:c r="L16" s="26" t="n">
        <x:f>DATE(2026,8,17)+IF(I16="High",1,3)</x:f>
        <x:v>46254</x:v>
      </x:c>
      <x:c r="M16" s="32" t="str">
        <x:f>'Bank Reconciliation'!P35</x:f>
        <x:v>Confirm timing difference in writing</x:v>
      </x:c>
      <x:c r="N16" s="32"/>
      <x:c r="O16" s="26"/>
      <x:c r="P16" s="24"/>
    </x:row>
    <x:row r="17" ht="30" customHeight="1">
      <x:c r="A17" s="11" t="str">
        <x:f>"FIN-CASE-"&amp;TEXT(ROW()-4,"000")</x:f>
        <x:v>FIN-CASE-013</x:v>
      </x:c>
      <x:c r="B17" s="11" t="n">
        <x:f>'Bank Reconciliation'!A38</x:f>
        <x:v>38</x:v>
      </x:c>
      <x:c r="C17" s="11" t="str">
        <x:f>'Bank Reconciliation'!B38</x:f>
        <x:v>FIN-0034</x:v>
      </x:c>
      <x:c r="D17" s="11" t="str">
        <x:f>'Bank Reconciliation'!D38</x:f>
        <x:v>BNK-03034</x:v>
      </x:c>
      <x:c r="E17" s="11" t="str">
        <x:f>'Bank Reconciliation'!E38</x:f>
        <x:v>Bright Clean Services</x:v>
      </x:c>
      <x:c r="F17" s="27" t="n">
        <x:f>'Bank Reconciliation'!F38</x:f>
        <x:v>958000</x:v>
      </x:c>
      <x:c r="G17" s="11" t="str">
        <x:f>'Bank Reconciliation'!O38</x:f>
        <x:v>Review</x:v>
      </x:c>
      <x:c r="H17" s="31" t="str">
        <x:f>IF(ISNUMBER(SEARCH("duplicate",M17)),"Duplicate Transaction ID",IF(ISNUMBER(SEARCH("document",M17)),"Missing Document",IF(ISNUMBER(SEARCH("category",M17)),"Invalid Category",IF(ISNUMBER(SEARCH("currency",M17)),"Invalid Currency",IF(ISNUMBER(SEARCH("bank-reference",M17)),"Missing Bank Match",IF(ISNUMBER(SEARCH("timing",M17)),"Date Mismatch",IF(ISNUMBER(SEARCH("amount",M17)),"Amount Mismatch / Invalid Amount","Review Required")))))))</x:f>
        <x:v>Invalid Currency</x:v>
      </x:c>
      <x:c r="I17" s="11" t="str">
        <x:f>IF(G17="High Priority Review","High","Medium")</x:f>
        <x:v>Medium</x:v>
      </x:c>
      <x:c r="J17" s="11" t="str">
        <x:v>Finance Admin</x:v>
      </x:c>
      <x:c r="K17" s="11" t="str">
        <x:v>Open</x:v>
      </x:c>
      <x:c r="L17" s="25" t="n">
        <x:f>DATE(2026,8,17)+IF(I17="High",1,3)</x:f>
        <x:v>46254</x:v>
      </x:c>
      <x:c r="M17" s="31" t="str">
        <x:f>'Bank Reconciliation'!P38</x:f>
        <x:v>Confirm approved currency</x:v>
      </x:c>
      <x:c r="N17" s="31"/>
      <x:c r="O17" s="25"/>
      <x:c r="P17" s="11"/>
    </x:row>
    <x:row r="18" ht="30" customHeight="1">
      <x:c r="A18" s="24" t="str">
        <x:f>"FIN-CASE-"&amp;TEXT(ROW()-4,"000")</x:f>
        <x:v>FIN-CASE-014</x:v>
      </x:c>
      <x:c r="B18" s="24" t="n">
        <x:f>'Bank Reconciliation'!A40</x:f>
        <x:v>40</x:v>
      </x:c>
      <x:c r="C18" s="24" t="str">
        <x:f>'Bank Reconciliation'!B40</x:f>
        <x:v>FIN-0036</x:v>
      </x:c>
      <x:c r="D18" s="24" t="str">
        <x:f>'Bank Reconciliation'!D40</x:f>
        <x:v>BNK-03036</x:v>
      </x:c>
      <x:c r="E18" s="24" t="str">
        <x:f>'Bank Reconciliation'!E40</x:f>
        <x:v>Karya Printing</x:v>
      </x:c>
      <x:c r="F18" s="28" t="n">
        <x:f>'Bank Reconciliation'!F40</x:f>
        <x:v>1232000</x:v>
      </x:c>
      <x:c r="G18" s="24" t="str">
        <x:f>'Bank Reconciliation'!O40</x:f>
        <x:v>High Priority Review</x:v>
      </x:c>
      <x:c r="H18" s="32" t="str">
        <x:f>IF(ISNUMBER(SEARCH("duplicate",M18)),"Duplicate Transaction ID",IF(ISNUMBER(SEARCH("document",M18)),"Missing Document",IF(ISNUMBER(SEARCH("category",M18)),"Invalid Category",IF(ISNUMBER(SEARCH("currency",M18)),"Invalid Currency",IF(ISNUMBER(SEARCH("bank-reference",M18)),"Missing Bank Match",IF(ISNUMBER(SEARCH("timing",M18)),"Date Mismatch",IF(ISNUMBER(SEARCH("amount",M18)),"Amount Mismatch / Invalid Amount","Review Required")))))))</x:f>
        <x:v>Amount Mismatch / Invalid Amount</x:v>
      </x:c>
      <x:c r="I18" s="24" t="str">
        <x:f>IF(G18="High Priority Review","High","Medium")</x:f>
        <x:v>High</x:v>
      </x:c>
      <x:c r="J18" s="24" t="str">
        <x:v>Finance Admin</x:v>
      </x:c>
      <x:c r="K18" s="24" t="str">
        <x:v>Open</x:v>
      </x:c>
      <x:c r="L18" s="26" t="n">
        <x:f>DATE(2026,8,17)+IF(I18="High",1,3)</x:f>
        <x:v>46252</x:v>
      </x:c>
      <x:c r="M18" s="32" t="str">
        <x:f>'Bank Reconciliation'!P40</x:f>
        <x:v>Verify amount and post correction only with approval</x:v>
      </x:c>
      <x:c r="N18" s="32"/>
      <x:c r="O18" s="26"/>
      <x:c r="P18" s="24"/>
    </x:row>
    <x:row r="19" ht="30" customHeight="1">
      <x:c r="A19" s="11" t="str">
        <x:f>"FIN-CASE-"&amp;TEXT(ROW()-4,"000")</x:f>
        <x:v>FIN-CASE-015</x:v>
      </x:c>
      <x:c r="B19" s="11" t="n">
        <x:f>'Bank Reconciliation'!A42</x:f>
        <x:v>42</x:v>
      </x:c>
      <x:c r="C19" s="11" t="str">
        <x:f>'Bank Reconciliation'!B42</x:f>
        <x:v>FIN-0038</x:v>
      </x:c>
      <x:c r="D19" s="11" t="str">
        <x:f>'Bank Reconciliation'!D42</x:f>
        <x:v>BNK-03038</x:v>
      </x:c>
      <x:c r="E19" s="11" t="str">
        <x:f>'Bank Reconciliation'!E42</x:f>
        <x:v>Prima Utilities</x:v>
      </x:c>
      <x:c r="F19" s="27" t="n">
        <x:f>'Bank Reconciliation'!F42</x:f>
        <x:v>1506000</x:v>
      </x:c>
      <x:c r="G19" s="11" t="str">
        <x:f>'Bank Reconciliation'!O42</x:f>
        <x:v>High Priority Review</x:v>
      </x:c>
      <x:c r="H19" s="31" t="str">
        <x:f>IF(ISNUMBER(SEARCH("duplicate",M19)),"Duplicate Transaction ID",IF(ISNUMBER(SEARCH("document",M19)),"Missing Document",IF(ISNUMBER(SEARCH("category",M19)),"Invalid Category",IF(ISNUMBER(SEARCH("currency",M19)),"Invalid Currency",IF(ISNUMBER(SEARCH("bank-reference",M19)),"Missing Bank Match",IF(ISNUMBER(SEARCH("timing",M19)),"Date Mismatch",IF(ISNUMBER(SEARCH("amount",M19)),"Amount Mismatch / Invalid Amount","Review Required")))))))</x:f>
        <x:v>Duplicate Transaction ID</x:v>
      </x:c>
      <x:c r="I19" s="11" t="str">
        <x:f>IF(G19="High Priority Review","High","Medium")</x:f>
        <x:v>High</x:v>
      </x:c>
      <x:c r="J19" s="11" t="str">
        <x:v>Finance Admin</x:v>
      </x:c>
      <x:c r="K19" s="11" t="str">
        <x:v>Open</x:v>
      </x:c>
      <x:c r="L19" s="25" t="n">
        <x:f>DATE(2026,8,17)+IF(I19="High",1,3)</x:f>
        <x:v>46252</x:v>
      </x:c>
      <x:c r="M19" s="31" t="str">
        <x:f>'Bank Reconciliation'!P42</x:f>
        <x:v>Compare duplicate transaction records</x:v>
      </x:c>
      <x:c r="N19" s="31"/>
      <x:c r="O19" s="25"/>
      <x:c r="P19" s="11"/>
    </x:row>
    <x:row r="20" ht="30" customHeight="1">
      <x:c r="A20" s="24" t="str">
        <x:f>"FIN-CASE-"&amp;TEXT(ROW()-4,"000")</x:f>
        <x:v>FIN-CASE-016</x:v>
      </x:c>
      <x:c r="B20" s="24" t="n">
        <x:f>'Bank Reconciliation'!A43</x:f>
        <x:v>43</x:v>
      </x:c>
      <x:c r="C20" s="24" t="str">
        <x:f>'Bank Reconciliation'!B43</x:f>
        <x:v>FIN-0038</x:v>
      </x:c>
      <x:c r="D20" s="24" t="str">
        <x:f>'Bank Reconciliation'!D43</x:f>
        <x:v>BNK-03039</x:v>
      </x:c>
      <x:c r="E20" s="24" t="str">
        <x:f>'Bank Reconciliation'!E43</x:f>
        <x:v>DataSecure Hosting</x:v>
      </x:c>
      <x:c r="F20" s="28" t="n">
        <x:f>'Bank Reconciliation'!F43</x:f>
        <x:v>1643000</x:v>
      </x:c>
      <x:c r="G20" s="24" t="str">
        <x:f>'Bank Reconciliation'!O43</x:f>
        <x:v>High Priority Review</x:v>
      </x:c>
      <x:c r="H20" s="32" t="str">
        <x:f>IF(ISNUMBER(SEARCH("duplicate",M20)),"Duplicate Transaction ID",IF(ISNUMBER(SEARCH("document",M20)),"Missing Document",IF(ISNUMBER(SEARCH("category",M20)),"Invalid Category",IF(ISNUMBER(SEARCH("currency",M20)),"Invalid Currency",IF(ISNUMBER(SEARCH("bank-reference",M20)),"Missing Bank Match",IF(ISNUMBER(SEARCH("timing",M20)),"Date Mismatch",IF(ISNUMBER(SEARCH("amount",M20)),"Amount Mismatch / Invalid Amount","Review Required")))))))</x:f>
        <x:v>Duplicate Transaction ID</x:v>
      </x:c>
      <x:c r="I20" s="24" t="str">
        <x:f>IF(G20="High Priority Review","High","Medium")</x:f>
        <x:v>High</x:v>
      </x:c>
      <x:c r="J20" s="24" t="str">
        <x:v>Finance Admin</x:v>
      </x:c>
      <x:c r="K20" s="24" t="str">
        <x:v>Open</x:v>
      </x:c>
      <x:c r="L20" s="26" t="n">
        <x:f>DATE(2026,8,17)+IF(I20="High",1,3)</x:f>
        <x:v>46252</x:v>
      </x:c>
      <x:c r="M20" s="32" t="str">
        <x:f>'Bank Reconciliation'!P43</x:f>
        <x:v>Compare duplicate transaction records</x:v>
      </x:c>
      <x:c r="N20" s="32"/>
      <x:c r="O20" s="26"/>
      <x:c r="P20" s="24"/>
    </x:row>
    <x:row r="21" ht="30" customHeight="1">
      <x:c r="A21" s="11" t="str">
        <x:f>"FIN-CASE-"&amp;TEXT(ROW()-4,"000")</x:f>
        <x:v>FIN-CASE-017</x:v>
      </x:c>
      <x:c r="B21" s="11" t="n">
        <x:f>'Bank Reconciliation'!A44</x:f>
        <x:v>44</x:v>
      </x:c>
      <x:c r="C21" s="11" t="str">
        <x:f>'Bank Reconciliation'!B44</x:f>
        <x:v>FIN-0040</x:v>
      </x:c>
      <x:c r="D21" s="11" t="str">
        <x:f>'Bank Reconciliation'!D44</x:f>
        <x:v>BNK-03040</x:v>
      </x:c>
      <x:c r="E21" s="11" t="str">
        <x:f>'Bank Reconciliation'!E44</x:f>
        <x:v>Maju Training Center</x:v>
      </x:c>
      <x:c r="F21" s="27" t="n">
        <x:f>'Bank Reconciliation'!F44</x:f>
        <x:v>1780000</x:v>
      </x:c>
      <x:c r="G21" s="11" t="str">
        <x:f>'Bank Reconciliation'!O44</x:f>
        <x:v>Review</x:v>
      </x:c>
      <x:c r="H21" s="31" t="str">
        <x:f>IF(ISNUMBER(SEARCH("duplicate",M21)),"Duplicate Transaction ID",IF(ISNUMBER(SEARCH("document",M21)),"Missing Document",IF(ISNUMBER(SEARCH("category",M21)),"Invalid Category",IF(ISNUMBER(SEARCH("currency",M21)),"Invalid Currency",IF(ISNUMBER(SEARCH("bank-reference",M21)),"Missing Bank Match",IF(ISNUMBER(SEARCH("timing",M21)),"Date Mismatch",IF(ISNUMBER(SEARCH("amount",M21)),"Amount Mismatch / Invalid Amount","Review Required")))))))</x:f>
        <x:v>Missing Document</x:v>
      </x:c>
      <x:c r="I21" s="11" t="str">
        <x:f>IF(G21="High Priority Review","High","Medium")</x:f>
        <x:v>Medium</x:v>
      </x:c>
      <x:c r="J21" s="11" t="str">
        <x:v>Finance Admin</x:v>
      </x:c>
      <x:c r="K21" s="11" t="str">
        <x:v>Open</x:v>
      </x:c>
      <x:c r="L21" s="25" t="n">
        <x:f>DATE(2026,8,17)+IF(I21="High",1,3)</x:f>
        <x:v>46254</x:v>
      </x:c>
      <x:c r="M21" s="31" t="str">
        <x:f>'Bank Reconciliation'!P44</x:f>
        <x:v>Request supporting document in writing</x:v>
      </x:c>
      <x:c r="N21" s="31"/>
      <x:c r="O21" s="25"/>
      <x:c r="P21" s="11"/>
    </x:row>
    <x:row r="22" ht="30" customHeight="1">
      <x:c r="A22" s="24" t="str">
        <x:f>"FIN-CASE-"&amp;TEXT(ROW()-4,"000")</x:f>
        <x:v>FIN-CASE-018</x:v>
      </x:c>
      <x:c r="B22" s="24" t="n">
        <x:f>'Bank Reconciliation'!A45</x:f>
        <x:v>45</x:v>
      </x:c>
      <x:c r="C22" s="24" t="str">
        <x:f>'Bank Reconciliation'!B45</x:f>
        <x:v>FIN-0041</x:v>
      </x:c>
      <x:c r="D22" s="24" t="str">
        <x:f>'Bank Reconciliation'!D45</x:f>
        <x:v>BNK-03041</x:v>
      </x:c>
      <x:c r="E22" s="24" t="str">
        <x:f>'Bank Reconciliation'!E45</x:f>
        <x:v>Nusa Office Supply</x:v>
      </x:c>
      <x:c r="F22" s="28" t="n">
        <x:f>'Bank Reconciliation'!F45</x:f>
        <x:v>1917000</x:v>
      </x:c>
      <x:c r="G22" s="24" t="str">
        <x:f>'Bank Reconciliation'!O45</x:f>
        <x:v>Review</x:v>
      </x:c>
      <x:c r="H22" s="32" t="str">
        <x:f>IF(ISNUMBER(SEARCH("duplicate",M22)),"Duplicate Transaction ID",IF(ISNUMBER(SEARCH("document",M22)),"Missing Document",IF(ISNUMBER(SEARCH("category",M22)),"Invalid Category",IF(ISNUMBER(SEARCH("currency",M22)),"Invalid Currency",IF(ISNUMBER(SEARCH("bank-reference",M22)),"Missing Bank Match",IF(ISNUMBER(SEARCH("timing",M22)),"Date Mismatch",IF(ISNUMBER(SEARCH("amount",M22)),"Amount Mismatch / Invalid Amount","Review Required")))))))</x:f>
        <x:v>Missing Bank Match</x:v>
      </x:c>
      <x:c r="I22" s="24" t="str">
        <x:f>IF(G22="High Priority Review","High","Medium")</x:f>
        <x:v>Medium</x:v>
      </x:c>
      <x:c r="J22" s="24" t="str">
        <x:v>Finance Admin</x:v>
      </x:c>
      <x:c r="K22" s="24" t="str">
        <x:v>Open</x:v>
      </x:c>
      <x:c r="L22" s="26" t="n">
        <x:f>DATE(2026,8,17)+IF(I22="High",1,3)</x:f>
        <x:v>46254</x:v>
      </x:c>
      <x:c r="M22" s="32" t="str">
        <x:f>'Bank Reconciliation'!P45</x:f>
        <x:v>Request bank-reference evidence</x:v>
      </x:c>
      <x:c r="N22" s="32"/>
      <x:c r="O22" s="26"/>
      <x:c r="P22" s="24"/>
    </x:row>
    <x:row r="23" ht="30" customHeight="1">
      <x:c r="A23" s="11" t="str">
        <x:f>"FIN-CASE-"&amp;TEXT(ROW()-4,"000")</x:f>
        <x:v>FIN-CASE-019</x:v>
      </x:c>
      <x:c r="B23" s="11" t="n">
        <x:f>'Bank Reconciliation'!A47</x:f>
        <x:v>47</x:v>
      </x:c>
      <x:c r="C23" s="11" t="str">
        <x:f>'Bank Reconciliation'!B47</x:f>
        <x:v>FIN-0043</x:v>
      </x:c>
      <x:c r="D23" s="11" t="str">
        <x:f>'Bank Reconciliation'!D47</x:f>
        <x:v>BNK-03043</x:v>
      </x:c>
      <x:c r="E23" s="11" t="str">
        <x:f>'Bank Reconciliation'!E47</x:f>
        <x:v>Metro Courier</x:v>
      </x:c>
      <x:c r="F23" s="27" t="n">
        <x:f>'Bank Reconciliation'!F47</x:f>
        <x:v>2191000</x:v>
      </x:c>
      <x:c r="G23" s="11" t="str">
        <x:f>'Bank Reconciliation'!O47</x:f>
        <x:v>Review</x:v>
      </x:c>
      <x:c r="H23" s="31" t="str">
        <x:f>IF(ISNUMBER(SEARCH("duplicate",M23)),"Duplicate Transaction ID",IF(ISNUMBER(SEARCH("document",M23)),"Missing Document",IF(ISNUMBER(SEARCH("category",M23)),"Invalid Category",IF(ISNUMBER(SEARCH("currency",M23)),"Invalid Currency",IF(ISNUMBER(SEARCH("bank-reference",M23)),"Missing Bank Match",IF(ISNUMBER(SEARCH("timing",M23)),"Date Mismatch",IF(ISNUMBER(SEARCH("amount",M23)),"Amount Mismatch / Invalid Amount","Review Required")))))))</x:f>
        <x:v>Invalid Category</x:v>
      </x:c>
      <x:c r="I23" s="11" t="str">
        <x:f>IF(G23="High Priority Review","High","Medium")</x:f>
        <x:v>Medium</x:v>
      </x:c>
      <x:c r="J23" s="11" t="str">
        <x:v>Finance Admin</x:v>
      </x:c>
      <x:c r="K23" s="11" t="str">
        <x:v>Open</x:v>
      </x:c>
      <x:c r="L23" s="25" t="n">
        <x:f>DATE(2026,8,17)+IF(I23="High",1,3)</x:f>
        <x:v>46254</x:v>
      </x:c>
      <x:c r="M23" s="31" t="str">
        <x:f>'Bank Reconciliation'!P47</x:f>
        <x:v>Confirm approved finance category</x:v>
      </x:c>
      <x:c r="N23" s="31"/>
      <x:c r="O23" s="25"/>
      <x:c r="P23" s="11"/>
    </x:row>
    <x:row r="24" ht="30" customHeight="1">
      <x:c r="A24" s="24" t="str">
        <x:f>"FIN-CASE-"&amp;TEXT(ROW()-4,"000")</x:f>
        <x:v>FIN-CASE-020</x:v>
      </x:c>
      <x:c r="B24" s="24" t="n">
        <x:f>'Bank Reconciliation'!A50</x:f>
        <x:v>50</x:v>
      </x:c>
      <x:c r="C24" s="24" t="str">
        <x:f>'Bank Reconciliation'!B50</x:f>
        <x:v>FIN-0046</x:v>
      </x:c>
      <x:c r="D24" s="24" t="str">
        <x:f>'Bank Reconciliation'!D50</x:f>
        <x:v>BNK-03046</x:v>
      </x:c>
      <x:c r="E24" s="24" t="str">
        <x:f>'Bank Reconciliation'!E50</x:f>
        <x:v>Karya Printing</x:v>
      </x:c>
      <x:c r="F24" s="28" t="n">
        <x:f>'Bank Reconciliation'!F50</x:f>
        <x:v>-250000</x:v>
      </x:c>
      <x:c r="G24" s="24" t="str">
        <x:f>'Bank Reconciliation'!O50</x:f>
        <x:v>High Priority Review</x:v>
      </x:c>
      <x:c r="H24" s="32" t="str">
        <x:f>IF(ISNUMBER(SEARCH("duplicate",M24)),"Duplicate Transaction ID",IF(ISNUMBER(SEARCH("document",M24)),"Missing Document",IF(ISNUMBER(SEARCH("category",M24)),"Invalid Category",IF(ISNUMBER(SEARCH("currency",M24)),"Invalid Currency",IF(ISNUMBER(SEARCH("bank-reference",M24)),"Missing Bank Match",IF(ISNUMBER(SEARCH("timing",M24)),"Date Mismatch",IF(ISNUMBER(SEARCH("amount",M24)),"Amount Mismatch / Invalid Amount","Review Required")))))))</x:f>
        <x:v>Amount Mismatch / Invalid Amount</x:v>
      </x:c>
      <x:c r="I24" s="24" t="str">
        <x:f>IF(G24="High Priority Review","High","Medium")</x:f>
        <x:v>High</x:v>
      </x:c>
      <x:c r="J24" s="24" t="str">
        <x:v>Finance Admin</x:v>
      </x:c>
      <x:c r="K24" s="24" t="str">
        <x:v>Open</x:v>
      </x:c>
      <x:c r="L24" s="26" t="n">
        <x:f>DATE(2026,8,17)+IF(I24="High",1,3)</x:f>
        <x:v>46252</x:v>
      </x:c>
      <x:c r="M24" s="32" t="str">
        <x:f>'Bank Reconciliation'!P50</x:f>
        <x:v>Verify amount against approved source</x:v>
      </x:c>
      <x:c r="N24" s="32"/>
      <x:c r="O24" s="26"/>
      <x:c r="P24" s="24"/>
    </x:row>
    <x:row r="25" ht="30" customHeight="1">
      <x:c r="A25" s="11" t="str">
        <x:f>"FIN-CASE-"&amp;TEXT(ROW()-4,"000")</x:f>
        <x:v>FIN-CASE-021</x:v>
      </x:c>
      <x:c r="B25" s="11" t="n">
        <x:f>'Bank Reconciliation'!A53</x:f>
        <x:v>53</x:v>
      </x:c>
      <x:c r="C25" s="11" t="str">
        <x:f>'Bank Reconciliation'!B53</x:f>
        <x:v>FIN-0049</x:v>
      </x:c>
      <x:c r="D25" s="11" t="str">
        <x:f>'Bank Reconciliation'!D53</x:f>
        <x:v>BNK-03049</x:v>
      </x:c>
      <x:c r="E25" s="11" t="str">
        <x:f>'Bank Reconciliation'!E53</x:f>
        <x:v>DataSecure Hosting</x:v>
      </x:c>
      <x:c r="F25" s="27" t="n">
        <x:f>'Bank Reconciliation'!F53</x:f>
        <x:v>3013000</x:v>
      </x:c>
      <x:c r="G25" s="11" t="str">
        <x:f>'Bank Reconciliation'!O53</x:f>
        <x:v>Review</x:v>
      </x:c>
      <x:c r="H25" s="31" t="str">
        <x:f>IF(ISNUMBER(SEARCH("duplicate",M25)),"Duplicate Transaction ID",IF(ISNUMBER(SEARCH("document",M25)),"Missing Document",IF(ISNUMBER(SEARCH("category",M25)),"Invalid Category",IF(ISNUMBER(SEARCH("currency",M25)),"Invalid Currency",IF(ISNUMBER(SEARCH("bank-reference",M25)),"Missing Bank Match",IF(ISNUMBER(SEARCH("timing",M25)),"Date Mismatch",IF(ISNUMBER(SEARCH("amount",M25)),"Amount Mismatch / Invalid Amount","Review Required")))))))</x:f>
        <x:v>Date Mismatch</x:v>
      </x:c>
      <x:c r="I25" s="11" t="str">
        <x:f>IF(G25="High Priority Review","High","Medium")</x:f>
        <x:v>Medium</x:v>
      </x:c>
      <x:c r="J25" s="11" t="str">
        <x:v>Finance Admin</x:v>
      </x:c>
      <x:c r="K25" s="11" t="str">
        <x:v>Open</x:v>
      </x:c>
      <x:c r="L25" s="25" t="n">
        <x:f>DATE(2026,8,17)+IF(I25="High",1,3)</x:f>
        <x:v>46254</x:v>
      </x:c>
      <x:c r="M25" s="31" t="str">
        <x:f>'Bank Reconciliation'!P53</x:f>
        <x:v>Confirm timing difference in writing</x:v>
      </x:c>
      <x:c r="N25" s="31"/>
      <x:c r="O25" s="25"/>
      <x:c r="P25" s="11"/>
    </x:row>
    <x:row r="26" ht="30" customHeight="1">
      <x:c r="A26" s="24" t="str">
        <x:f>"FIN-CASE-"&amp;TEXT(ROW()-4,"000")</x:f>
        <x:v>FIN-CASE-022</x:v>
      </x:c>
      <x:c r="B26" s="24" t="n">
        <x:f>'Bank Reconciliation'!A55</x:f>
        <x:v>55</x:v>
      </x:c>
      <x:c r="C26" s="24" t="str">
        <x:f>'Bank Reconciliation'!B55</x:f>
        <x:v>FIN-0051</x:v>
      </x:c>
      <x:c r="D26" s="24" t="str">
        <x:f>'Bank Reconciliation'!D55</x:f>
        <x:v>BNK-03051</x:v>
      </x:c>
      <x:c r="E26" s="24" t="str">
        <x:f>'Bank Reconciliation'!E55</x:f>
        <x:v>Nusa Office Supply</x:v>
      </x:c>
      <x:c r="F26" s="28" t="n">
        <x:f>'Bank Reconciliation'!F55</x:f>
        <x:v>3287000</x:v>
      </x:c>
      <x:c r="G26" s="24" t="str">
        <x:f>'Bank Reconciliation'!O55</x:f>
        <x:v>Review</x:v>
      </x:c>
      <x:c r="H26" s="32" t="str">
        <x:f>IF(ISNUMBER(SEARCH("duplicate",M26)),"Duplicate Transaction ID",IF(ISNUMBER(SEARCH("document",M26)),"Missing Document",IF(ISNUMBER(SEARCH("category",M26)),"Invalid Category",IF(ISNUMBER(SEARCH("currency",M26)),"Invalid Currency",IF(ISNUMBER(SEARCH("bank-reference",M26)),"Missing Bank Match",IF(ISNUMBER(SEARCH("timing",M26)),"Date Mismatch",IF(ISNUMBER(SEARCH("amount",M26)),"Amount Mismatch / Invalid Amount","Review Required")))))))</x:f>
        <x:v>Missing Document</x:v>
      </x:c>
      <x:c r="I26" s="24" t="str">
        <x:f>IF(G26="High Priority Review","High","Medium")</x:f>
        <x:v>Medium</x:v>
      </x:c>
      <x:c r="J26" s="24" t="str">
        <x:v>Finance Admin</x:v>
      </x:c>
      <x:c r="K26" s="24" t="str">
        <x:v>Open</x:v>
      </x:c>
      <x:c r="L26" s="26" t="n">
        <x:f>DATE(2026,8,17)+IF(I26="High",1,3)</x:f>
        <x:v>46254</x:v>
      </x:c>
      <x:c r="M26" s="32" t="str">
        <x:f>'Bank Reconciliation'!P55</x:f>
        <x:v>Request supporting document in writing</x:v>
      </x:c>
      <x:c r="N26" s="32"/>
      <x:c r="O26" s="26"/>
      <x:c r="P26" s="24"/>
    </x:row>
    <x:row r="27" ht="30" customHeight="1">
      <x:c r="A27" s="11" t="str">
        <x:f>"FIN-CASE-"&amp;TEXT(ROW()-4,"000")</x:f>
        <x:v>FIN-CASE-023</x:v>
      </x:c>
      <x:c r="B27" s="11" t="n">
        <x:f>'Bank Reconciliation'!A57</x:f>
        <x:v>57</x:v>
      </x:c>
      <x:c r="C27" s="11" t="str">
        <x:f>'Bank Reconciliation'!B57</x:f>
        <x:v>FIN-0053</x:v>
      </x:c>
      <x:c r="D27" s="11" t="str">
        <x:f>'Bank Reconciliation'!D57</x:f>
        <x:v>BNK-03053</x:v>
      </x:c>
      <x:c r="E27" s="11" t="str">
        <x:f>'Bank Reconciliation'!E57</x:f>
        <x:v>Metro Courier</x:v>
      </x:c>
      <x:c r="F27" s="27" t="n">
        <x:f>'Bank Reconciliation'!F57</x:f>
        <x:v>3561000</x:v>
      </x:c>
      <x:c r="G27" s="11" t="str">
        <x:f>'Bank Reconciliation'!O57</x:f>
        <x:v>High Priority Review</x:v>
      </x:c>
      <x:c r="H27" s="31" t="str">
        <x:f>IF(ISNUMBER(SEARCH("duplicate",M27)),"Duplicate Transaction ID",IF(ISNUMBER(SEARCH("document",M27)),"Missing Document",IF(ISNUMBER(SEARCH("category",M27)),"Invalid Category",IF(ISNUMBER(SEARCH("currency",M27)),"Invalid Currency",IF(ISNUMBER(SEARCH("bank-reference",M27)),"Missing Bank Match",IF(ISNUMBER(SEARCH("timing",M27)),"Date Mismatch",IF(ISNUMBER(SEARCH("amount",M27)),"Amount Mismatch / Invalid Amount","Review Required")))))))</x:f>
        <x:v>Amount Mismatch / Invalid Amount</x:v>
      </x:c>
      <x:c r="I27" s="11" t="str">
        <x:f>IF(G27="High Priority Review","High","Medium")</x:f>
        <x:v>High</x:v>
      </x:c>
      <x:c r="J27" s="11" t="str">
        <x:v>Finance Admin</x:v>
      </x:c>
      <x:c r="K27" s="11" t="str">
        <x:v>Open</x:v>
      </x:c>
      <x:c r="L27" s="25" t="n">
        <x:f>DATE(2026,8,17)+IF(I27="High",1,3)</x:f>
        <x:v>46252</x:v>
      </x:c>
      <x:c r="M27" s="31" t="str">
        <x:f>'Bank Reconciliation'!P57</x:f>
        <x:v>Verify amount and post correction only with approval</x:v>
      </x:c>
      <x:c r="N27" s="31"/>
      <x:c r="O27" s="25"/>
      <x:c r="P27" s="11"/>
    </x:row>
    <x:row r="28" ht="30" customHeight="1">
      <x:c r="A28" s="24" t="str">
        <x:f>"FIN-CASE-"&amp;TEXT(ROW()-4,"000")</x:f>
        <x:v>FIN-CASE-024</x:v>
      </x:c>
      <x:c r="B28" s="24" t="n">
        <x:f>'Bank Reconciliation'!A60</x:f>
        <x:v>60</x:v>
      </x:c>
      <x:c r="C28" s="24" t="str">
        <x:f>'Bank Reconciliation'!B60</x:f>
        <x:v>FIN-0056</x:v>
      </x:c>
      <x:c r="D28" s="24" t="str">
        <x:f>'Bank Reconciliation'!D60</x:f>
        <x:v>BNK-03056</x:v>
      </x:c>
      <x:c r="E28" s="24" t="str">
        <x:f>'Bank Reconciliation'!E60</x:f>
        <x:v>Karya Printing</x:v>
      </x:c>
      <x:c r="F28" s="28" t="n">
        <x:f>'Bank Reconciliation'!F60</x:f>
        <x:v>3972000</x:v>
      </x:c>
      <x:c r="G28" s="24" t="str">
        <x:f>'Bank Reconciliation'!O60</x:f>
        <x:v>Review</x:v>
      </x:c>
      <x:c r="H28" s="32" t="str">
        <x:f>IF(ISNUMBER(SEARCH("duplicate",M28)),"Duplicate Transaction ID",IF(ISNUMBER(SEARCH("document",M28)),"Missing Document",IF(ISNUMBER(SEARCH("category",M28)),"Invalid Category",IF(ISNUMBER(SEARCH("currency",M28)),"Invalid Currency",IF(ISNUMBER(SEARCH("bank-reference",M28)),"Missing Bank Match",IF(ISNUMBER(SEARCH("timing",M28)),"Date Mismatch",IF(ISNUMBER(SEARCH("amount",M28)),"Amount Mismatch / Invalid Amount","Review Required")))))))</x:f>
        <x:v>Missing Bank Match</x:v>
      </x:c>
      <x:c r="I28" s="24" t="str">
        <x:f>IF(G28="High Priority Review","High","Medium")</x:f>
        <x:v>Medium</x:v>
      </x:c>
      <x:c r="J28" s="24" t="str">
        <x:v>Finance Admin</x:v>
      </x:c>
      <x:c r="K28" s="24" t="str">
        <x:v>Open</x:v>
      </x:c>
      <x:c r="L28" s="26" t="n">
        <x:f>DATE(2026,8,17)+IF(I28="High",1,3)</x:f>
        <x:v>46254</x:v>
      </x:c>
      <x:c r="M28" s="32" t="str">
        <x:f>'Bank Reconciliation'!P60</x:f>
        <x:v>Request bank-reference evidence</x:v>
      </x:c>
      <x:c r="N28" s="32"/>
      <x:c r="O28" s="26"/>
      <x:c r="P28" s="24"/>
    </x:row>
    <x:row r="29" ht="30" customHeight="1">
      <x:c r="A29" s="233" t="str">
        <x:v>FIN-CASE-025</x:v>
      </x:c>
      <x:c r="B29" s="233"/>
      <x:c r="C29" s="233" t="str">
        <x:v>BANK-ONLY</x:v>
      </x:c>
      <x:c r="D29" s="233" t="str">
        <x:f>'Bank Statement'!C61</x:f>
        <x:v>BNK-09991</x:v>
      </x:c>
      <x:c r="E29" s="233" t="str">
        <x:f>'Bank Statement'!D61</x:f>
        <x:v>Unidentified Merchant</x:v>
      </x:c>
      <x:c r="F29" s="236" t="n">
        <x:f>'Bank Statement'!E61</x:f>
        <x:v>425000</x:v>
      </x:c>
      <x:c r="G29" s="233" t="str">
        <x:v>Review</x:v>
      </x:c>
      <x:c r="H29" s="233" t="str">
        <x:v>Bank-only statement item</x:v>
      </x:c>
      <x:c r="I29" s="233" t="str">
        <x:v>High</x:v>
      </x:c>
      <x:c r="J29" s="233" t="str">
        <x:v>Finance Reviewer</x:v>
      </x:c>
      <x:c r="K29" s="233" t="str">
        <x:v>Open</x:v>
      </x:c>
      <x:c r="L29" s="238" t="n">
        <x:f>DATE(2026,8,18)</x:f>
        <x:v>46252</x:v>
      </x:c>
      <x:c r="M29" s="233" t="str">
        <x:v>Investigate statement item and identify approved ledger owner</x:v>
      </x:c>
      <x:c r="N29" s="233"/>
      <x:c r="O29" s="233"/>
      <x:c r="P29" s="233"/>
    </x:row>
    <x:row r="30" ht="30" customHeight="1">
      <x:c r="A30" s="235" t="str">
        <x:v>FIN-CASE-026</x:v>
      </x:c>
      <x:c r="B30" s="235"/>
      <x:c r="C30" s="235" t="str">
        <x:v>BANK-ONLY</x:v>
      </x:c>
      <x:c r="D30" s="235" t="str">
        <x:f>'Bank Statement'!C62</x:f>
        <x:v>BNK-09992</x:v>
      </x:c>
      <x:c r="E30" s="235" t="str">
        <x:f>'Bank Statement'!D62</x:f>
        <x:v>Unidentified Merchant</x:v>
      </x:c>
      <x:c r="F30" s="237" t="n">
        <x:f>'Bank Statement'!E62</x:f>
        <x:v>680000</x:v>
      </x:c>
      <x:c r="G30" s="235" t="str">
        <x:v>Review</x:v>
      </x:c>
      <x:c r="H30" s="235" t="str">
        <x:v>Bank-only statement item</x:v>
      </x:c>
      <x:c r="I30" s="235" t="str">
        <x:v>High</x:v>
      </x:c>
      <x:c r="J30" s="235" t="str">
        <x:v>Finance Reviewer</x:v>
      </x:c>
      <x:c r="K30" s="235" t="str">
        <x:v>Open</x:v>
      </x:c>
      <x:c r="L30" s="239" t="n">
        <x:f>DATE(2026,8,18)</x:f>
        <x:v>46252</x:v>
      </x:c>
      <x:c r="M30" s="235" t="str">
        <x:v>Investigate statement item and identify approved ledger owner</x:v>
      </x:c>
      <x:c r="N30" s="235"/>
      <x:c r="O30" s="235"/>
      <x:c r="P30" s="235"/>
    </x:row>
  </x:sheetData>
  <x:mergeCells>
    <x:mergeCell ref="A1:P1"/>
    <x:mergeCell ref="A2:P2"/>
  </x:mergeCells>
  <x:dataValidations count="6">
    <x:dataValidation type="list" sqref="I5:I28">
      <x:formula1>"High,Medium,Low"</x:formula1>
    </x:dataValidation>
    <x:dataValidation type="list" sqref="J5:J28">
      <x:formula1>"Finance Admin,Finance Reviewer"</x:formula1>
    </x:dataValidation>
    <x:dataValidation type="list" sqref="K5:K28">
      <x:formula1>"Open,In Progress,Waiting for Source,Resolved"</x:formula1>
    </x:dataValidation>
    <x:dataValidation type="list" sqref="I29:I30">
      <x:formula1>"High,Medium,Low"</x:formula1>
    </x:dataValidation>
    <x:dataValidation type="list" sqref="J29:J30">
      <x:formula1>"Finance Admin,Finance Reviewer"</x:formula1>
    </x:dataValidation>
    <x:dataValidation type="list" sqref="K29:K30">
      <x:formula1>"Open,In Progress,Waiting for Source,Resolved"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5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2" t="str">
        <x:v>PROJ-008 | WRITTEN FINANCE FOLLOW-UP TEMPLATES</x:v>
      </x:c>
      <x:c r="B1" s="2"/>
      <x:c r="C1" s="2"/>
      <x:c r="D1" s="2"/>
      <x:c r="E1" s="2"/>
      <x:c r="F1" s="2"/>
    </x:row>
    <x:row r="2" ht="24" customHeight="1">
      <x:c r="A2" s="4" t="str">
        <x:v>Email/chat templates for missing evidence, mismatch confirmation, and approval handoff</x:v>
      </x:c>
      <x:c r="B2" s="4"/>
      <x:c r="C2" s="4"/>
      <x:c r="D2" s="4"/>
      <x:c r="E2" s="4"/>
      <x:c r="F2" s="4"/>
    </x:row>
    <x:row r="4" ht="34" customHeight="1">
      <x:c r="A4" s="10" t="str">
        <x:v>Scenario</x:v>
      </x:c>
      <x:c r="B4" s="10" t="str">
        <x:v>Subject / Task Title</x:v>
      </x:c>
      <x:c r="C4" s="10" t="str">
        <x:v>Written Message</x:v>
      </x:c>
      <x:c r="D4" s="10" t="str">
        <x:v>Required Evidence</x:v>
      </x:c>
      <x:c r="E4" s="10" t="str">
        <x:v>Owner</x:v>
      </x:c>
      <x:c r="F4" s="10" t="str">
        <x:v>Completion Standard</x:v>
      </x:c>
    </x:row>
    <x:row r="5" ht="48" customHeight="1">
      <x:c r="A5" s="229" t="str">
        <x:v>Missing document</x:v>
      </x:c>
      <x:c r="B5" s="229" t="str">
        <x:v>Supporting document required</x:v>
      </x:c>
      <x:c r="C5" s="229" t="str">
        <x:v>Please provide the supporting document through the approved secure channel and reference the transaction ID.</x:v>
      </x:c>
      <x:c r="D5" s="229" t="str">
        <x:v>Approved document link</x:v>
      </x:c>
      <x:c r="E5" s="229" t="str">
        <x:v>Finance Admin</x:v>
      </x:c>
      <x:c r="F5" s="229" t="str">
        <x:v>Document linked</x:v>
      </x:c>
    </x:row>
    <x:row r="6" ht="48" customHeight="1">
      <x:c r="A6" s="230" t="str">
        <x:v>Missing bank match</x:v>
      </x:c>
      <x:c r="B6" s="230" t="str">
        <x:v>Bank reference confirmation required</x:v>
      </x:c>
      <x:c r="C6" s="230" t="str">
        <x:v>Please confirm the bank reference or provide payment evidence. No posting change will be made without written confirmation.</x:v>
      </x:c>
      <x:c r="D6" s="230" t="str">
        <x:v>Bank confirmation</x:v>
      </x:c>
      <x:c r="E6" s="230" t="str">
        <x:v>Finance Admin</x:v>
      </x:c>
      <x:c r="F6" s="230" t="str">
        <x:v>Reference reconciled</x:v>
      </x:c>
    </x:row>
    <x:row r="7" ht="48" customHeight="1">
      <x:c r="A7" s="230" t="str">
        <x:v>Amount mismatch</x:v>
      </x:c>
      <x:c r="B7" s="230" t="str">
        <x:v>Amount discrepancy requires review</x:v>
      </x:c>
      <x:c r="C7" s="230" t="str">
        <x:v>The ledger and bank amounts differ. Please confirm the approved amount and correction instruction in writing.</x:v>
      </x:c>
      <x:c r="D7" s="230" t="str">
        <x:v>Approval plus source</x:v>
      </x:c>
      <x:c r="E7" s="230" t="str">
        <x:v>Finance Reviewer</x:v>
      </x:c>
      <x:c r="F7" s="230" t="str">
        <x:v>Difference resolved</x:v>
      </x:c>
    </x:row>
    <x:row r="8" ht="48" customHeight="1">
      <x:c r="A8" s="230" t="str">
        <x:v>Date mismatch</x:v>
      </x:c>
      <x:c r="B8" s="230" t="str">
        <x:v>Timing difference confirmation</x:v>
      </x:c>
      <x:c r="C8" s="230" t="str">
        <x:v>Please confirm whether this is a valid processing delay or an incorrect transaction date.</x:v>
      </x:c>
      <x:c r="D8" s="230" t="str">
        <x:v>Written timing note</x:v>
      </x:c>
      <x:c r="E8" s="230" t="str">
        <x:v>Finance Admin</x:v>
      </x:c>
      <x:c r="F8" s="230" t="str">
        <x:v>Date variance documented</x:v>
      </x:c>
    </x:row>
    <x:row r="9" ht="48" customHeight="1">
      <x:c r="A9" s="231" t="str">
        <x:v>Final handoff</x:v>
      </x:c>
      <x:c r="B9" s="231" t="str">
        <x:v>Finance exception closure</x:v>
      </x:c>
      <x:c r="C9" s="231" t="str">
        <x:v>The case is ready for independent verification. Resolution note and evidence reference are attached.</x:v>
      </x:c>
      <x:c r="D9" s="231" t="str">
        <x:v>Resolution evidence</x:v>
      </x:c>
      <x:c r="E9" s="231" t="str">
        <x:v>Finance Reviewer</x:v>
      </x:c>
      <x:c r="F9" s="231" t="str">
        <x:v>Verified by recorded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48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0" customHeight="1">
      <x:c r="A1" s="2" t="str">
        <x:v>PROJ-008 | FINANCE DATA ENTRY &amp; RECONCILIATION SOP</x:v>
      </x:c>
      <x:c r="B1" s="2"/>
      <x:c r="C1" s="2"/>
      <x:c r="D1" s="2"/>
      <x:c r="E1" s="2"/>
      <x:c r="F1" s="2"/>
    </x:row>
    <x:row r="2" ht="24" customHeight="1">
      <x:c r="A2" s="4" t="str">
        <x:v>Accurate, privacy-aware, written-first transaction administration</x:v>
      </x:c>
      <x:c r="B2" s="4"/>
      <x:c r="C2" s="4"/>
      <x:c r="D2" s="4"/>
      <x:c r="E2" s="4"/>
      <x:c r="F2" s="4"/>
    </x:row>
    <x:row r="4" ht="34" customHeight="1">
      <x:c r="A4" s="10" t="str">
        <x:v>Step</x:v>
      </x:c>
      <x:c r="B4" s="10" t="str">
        <x:v>Control</x:v>
      </x:c>
      <x:c r="C4" s="10" t="str">
        <x:v>Procedure</x:v>
      </x:c>
      <x:c r="D4" s="10" t="str">
        <x:v>Evidence</x:v>
      </x:c>
      <x:c r="E4" s="10" t="str">
        <x:v>Owner</x:v>
      </x:c>
      <x:c r="F4" s="10" t="str">
        <x:v>Completion Standard</x:v>
      </x:c>
    </x:row>
    <x:row r="5" ht="38" customHeight="1">
      <x:c r="A5" s="229" t="n">
        <x:v>1</x:v>
      </x:c>
      <x:c r="B5" s="229" t="str">
        <x:v>Preserve intake</x:v>
      </x:c>
      <x:c r="C5" s="229" t="str">
        <x:v>Keep raw transaction and bank exports unchanged</x:v>
      </x:c>
      <x:c r="D5" s="229" t="str">
        <x:v>Raw sheets</x:v>
      </x:c>
      <x:c r="E5" s="229" t="str">
        <x:v>Finance Admin</x:v>
      </x:c>
      <x:c r="F5" s="229" t="str">
        <x:v>Source retained</x:v>
      </x:c>
    </x:row>
    <x:row r="6" ht="38" customHeight="1">
      <x:c r="A6" s="230" t="n">
        <x:v>2</x:v>
      </x:c>
      <x:c r="B6" s="230" t="str">
        <x:v>Validate identifiers</x:v>
      </x:c>
      <x:c r="C6" s="230" t="str">
        <x:v>Check transaction ID and bank reference uniqueness</x:v>
      </x:c>
      <x:c r="D6" s="230" t="str">
        <x:v>Validation</x:v>
      </x:c>
      <x:c r="E6" s="230" t="str">
        <x:v>Finance Admin</x:v>
      </x:c>
      <x:c r="F6" s="230" t="str">
        <x:v>No silent merge</x:v>
      </x:c>
    </x:row>
    <x:row r="7" ht="38" customHeight="1">
      <x:c r="A7" s="230" t="n">
        <x:v>3</x:v>
      </x:c>
      <x:c r="B7" s="230" t="str">
        <x:v>Standardize category</x:v>
      </x:c>
      <x:c r="C7" s="230" t="str">
        <x:v>Use approved category reference</x:v>
      </x:c>
      <x:c r="D7" s="230" t="str">
        <x:v>References</x:v>
      </x:c>
      <x:c r="E7" s="230" t="str">
        <x:v>Finance Admin</x:v>
      </x:c>
      <x:c r="F7" s="230" t="str">
        <x:v>Controlled category</x:v>
      </x:c>
    </x:row>
    <x:row r="8" ht="38" customHeight="1">
      <x:c r="A8" s="230" t="n">
        <x:v>4</x:v>
      </x:c>
      <x:c r="B8" s="230" t="str">
        <x:v>Validate amount/currency</x:v>
      </x:c>
      <x:c r="C8" s="230" t="str">
        <x:v>Confirm positive numeric amount and approved currency</x:v>
      </x:c>
      <x:c r="D8" s="230" t="str">
        <x:v>Validation</x:v>
      </x:c>
      <x:c r="E8" s="230" t="str">
        <x:v>Finance Admin</x:v>
      </x:c>
      <x:c r="F8" s="230" t="str">
        <x:v>Valid financial fields</x:v>
      </x:c>
    </x:row>
    <x:row r="9" ht="38" customHeight="1">
      <x:c r="A9" s="230" t="n">
        <x:v>5</x:v>
      </x:c>
      <x:c r="B9" s="230" t="str">
        <x:v>Check documents</x:v>
      </x:c>
      <x:c r="C9" s="230" t="str">
        <x:v>Link supporting evidence without exposing sensitive data</x:v>
      </x:c>
      <x:c r="D9" s="230" t="str">
        <x:v>Document Ref</x:v>
      </x:c>
      <x:c r="E9" s="230" t="str">
        <x:v>Finance Admin</x:v>
      </x:c>
      <x:c r="F9" s="230" t="str">
        <x:v>Evidence traceable</x:v>
      </x:c>
    </x:row>
    <x:row r="10" ht="38" customHeight="1">
      <x:c r="A10" s="230" t="n">
        <x:v>6</x:v>
      </x:c>
      <x:c r="B10" s="230" t="str">
        <x:v>Match bank reference</x:v>
      </x:c>
      <x:c r="C10" s="230" t="str">
        <x:v>Perform two-way reference check</x:v>
      </x:c>
      <x:c r="D10" s="230" t="str">
        <x:v>Reconciliation</x:v>
      </x:c>
      <x:c r="E10" s="230" t="str">
        <x:v>Finance Admin</x:v>
      </x:c>
      <x:c r="F10" s="230" t="str">
        <x:v>Missing matches queued</x:v>
      </x:c>
    </x:row>
    <x:row r="11" ht="38" customHeight="1">
      <x:c r="A11" s="230" t="n">
        <x:v>7</x:v>
      </x:c>
      <x:c r="B11" s="230" t="str">
        <x:v>Compare amount/date</x:v>
      </x:c>
      <x:c r="C11" s="230" t="str">
        <x:v>Document differences before correction</x:v>
      </x:c>
      <x:c r="D11" s="230" t="str">
        <x:v>Reconciliation</x:v>
      </x:c>
      <x:c r="E11" s="230" t="str">
        <x:v>Finance Reviewer</x:v>
      </x:c>
      <x:c r="F11" s="230" t="str">
        <x:v>Variance explained</x:v>
      </x:c>
    </x:row>
    <x:row r="12" ht="38" customHeight="1">
      <x:c r="A12" s="230" t="n">
        <x:v>8</x:v>
      </x:c>
      <x:c r="B12" s="230" t="str">
        <x:v>Assign written action</x:v>
      </x:c>
      <x:c r="C12" s="230" t="str">
        <x:v>Set priority, owner, status, and due date</x:v>
      </x:c>
      <x:c r="D12" s="230" t="str">
        <x:v>Exception Queue</x:v>
      </x:c>
      <x:c r="E12" s="230" t="str">
        <x:v>Finance Admin</x:v>
      </x:c>
      <x:c r="F12" s="230" t="str">
        <x:v>Actionable case</x:v>
      </x:c>
    </x:row>
    <x:row r="13" ht="38" customHeight="1">
      <x:c r="A13" s="230" t="n">
        <x:v>9</x:v>
      </x:c>
      <x:c r="B13" s="230" t="str">
        <x:v>Verify closure</x:v>
      </x:c>
      <x:c r="C13" s="230" t="str">
        <x:v>Require resolution note, evidence, date, and verifier</x:v>
      </x:c>
      <x:c r="D13" s="230" t="str">
        <x:v>Exception Queue</x:v>
      </x:c>
      <x:c r="E13" s="230" t="str">
        <x:v>Finance Reviewer</x:v>
      </x:c>
      <x:c r="F13" s="230" t="str">
        <x:v>Independent verification</x:v>
      </x:c>
    </x:row>
    <x:row r="14" ht="38" customHeight="1">
      <x:c r="A14" s="231" t="n">
        <x:v>10</x:v>
      </x:c>
      <x:c r="B14" s="231" t="str">
        <x:v>Final QA</x:v>
      </x:c>
      <x:c r="C14" s="231" t="str">
        <x:v>Reconcile source, QA, dashboard, and queue</x:v>
      </x:c>
      <x:c r="D14" s="231" t="str">
        <x:v>Checks</x:v>
      </x:c>
      <x:c r="E14" s="231" t="str">
        <x:v>Finance Reviewer</x:v>
      </x:c>
      <x:c r="F14" s="231" t="str">
        <x:v>All checks 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6" hidden="0" customWidth="1"/>
  </x:cols>
  <x:sheetData>
    <x:row r="1" ht="30" customHeight="1">
      <x:c r="A1" s="2" t="str">
        <x:v>PROJ-008 | PROJECT NOTES</x:v>
      </x:c>
      <x:c r="B1" s="2"/>
      <x:c r="C1" s="2"/>
      <x:c r="D1" s="2"/>
      <x:c r="E1" s="2"/>
      <x:c r="F1" s="2"/>
    </x:row>
    <x:row r="2" ht="24" customHeight="1">
      <x:c r="A2" s="4" t="str">
        <x:v>Scope, assumptions, privacy boundary, and portfolio interpretation</x:v>
      </x:c>
      <x:c r="B2" s="4"/>
      <x:c r="C2" s="4"/>
      <x:c r="D2" s="4"/>
      <x:c r="E2" s="4"/>
      <x:c r="F2" s="4"/>
    </x:row>
    <x:row r="4" ht="34" customHeight="1">
      <x:c r="A4" s="10" t="str">
        <x:v>Topic</x:v>
      </x:c>
      <x:c r="B4" s="10" t="str">
        <x:v>Note</x:v>
      </x:c>
    </x:row>
    <x:row r="5" ht="44" customHeight="1">
      <x:c r="A5" s="229" t="str">
        <x:v>Portfolio type</x:v>
      </x:c>
      <x:c r="B5" s="229" t="str">
        <x:v>Independent portfolio project using fictional company and simulated transaction/bank data.</x:v>
      </x:c>
    </x:row>
    <x:row r="6" ht="44" customHeight="1">
      <x:c r="A6" s="230" t="str">
        <x:v>Purpose</x:v>
      </x:c>
      <x:c r="B6" s="230" t="str">
        <x:v>Demonstrate finance data entry, validation, bank reconciliation, evidence control, exception tracking, and written handoff.</x:v>
      </x:c>
    </x:row>
    <x:row r="7" ht="44" customHeight="1">
      <x:c r="A7" s="230" t="str">
        <x:v>Currency</x:v>
      </x:c>
      <x:c r="B7" s="230" t="str">
        <x:v>IDR values are simulated and are not financial results from a real organization.</x:v>
      </x:c>
    </x:row>
    <x:row r="8" ht="44" customHeight="1">
      <x:c r="A8" s="230" t="str">
        <x:v>Privacy</x:v>
      </x:c>
      <x:c r="B8" s="230" t="str">
        <x:v>No real bank account, card number, tax ID, personal address, or confidential document is included.</x:v>
      </x:c>
    </x:row>
    <x:row r="9" ht="44" customHeight="1">
      <x:c r="A9" s="230" t="str">
        <x:v>Communication</x:v>
      </x:c>
      <x:c r="B9" s="230" t="str">
        <x:v>Email, secure chat, shared folder, bank portal, spreadsheet, and written task tracker.</x:v>
      </x:c>
    </x:row>
    <x:row r="10" ht="44" customHeight="1">
      <x:c r="A10" s="230" t="str">
        <x:v>Excluded work</x:v>
      </x:c>
      <x:c r="B10" s="230" t="str">
        <x:v>No payment authorization, accounting posting, tax filing, payroll decision, cold calling, or phone support.</x:v>
      </x:c>
    </x:row>
    <x:row r="11" ht="44" customHeight="1">
      <x:c r="A11" s="230" t="str">
        <x:v>Status boundary</x:v>
      </x:c>
      <x:c r="B11" s="230" t="str">
        <x:v>Open cases retain blank resolution and verification fields until evidence exists; completion is never fabricated.</x:v>
      </x:c>
    </x:row>
    <x:row r="12" ht="44" customHeight="1">
      <x:c r="A12" s="231" t="str">
        <x:v>Business-impact boundary</x:v>
      </x:c>
      <x:c r="B12" s="231" t="str">
        <x:v>No claim of savings, fraud prevention, revenue improvement, or measured company impact is made.</x:v>
      </x:c>
    </x:row>
  </x:sheetData>
  <x:mergeCells>
    <x:mergeCell ref="A1:F1"/>
    <x:mergeCell ref="A2:F2"/>
  </x:mergeCells>
  <x:pageMargins left="0.7" right="0.7" top="0.75" bottom="0.75" header="0.3" footer="0.3"/>
</x:worksheet>
</file>