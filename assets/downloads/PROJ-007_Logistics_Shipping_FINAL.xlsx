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5edac6afc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Shipments" sheetId="1" r:id="R3ff22d071e204299"/>
    <x:sheet xmlns:r="http://schemas.openxmlformats.org/officeDocument/2006/relationships" name="SLA Reference" sheetId="2" r:id="Ra8392e23498e4f4d"/>
    <x:sheet xmlns:r="http://schemas.openxmlformats.org/officeDocument/2006/relationships" name="Shipment Validation" sheetId="3" r:id="R2bf875450ce848d3"/>
    <x:sheet xmlns:r="http://schemas.openxmlformats.org/officeDocument/2006/relationships" name="QA Summary" sheetId="4" r:id="R6078fc3ad1804b32"/>
    <x:sheet xmlns:r="http://schemas.openxmlformats.org/officeDocument/2006/relationships" name="Dashboard" sheetId="5" r:id="R0bf84e2ebf774ec9"/>
    <x:sheet xmlns:r="http://schemas.openxmlformats.org/officeDocument/2006/relationships" name="Exception Queue" sheetId="6" r:id="Rfcefdb314b86467a"/>
    <x:sheet xmlns:r="http://schemas.openxmlformats.org/officeDocument/2006/relationships" name="Written Communication" sheetId="7" r:id="Rb5861c4be6b346e6"/>
    <x:sheet xmlns:r="http://schemas.openxmlformats.org/officeDocument/2006/relationships" name="Logistics SOP" sheetId="8" r:id="R214b52e3d0a642b8"/>
    <x:sheet xmlns:r="http://schemas.openxmlformats.org/officeDocument/2006/relationships" name="Project Notes" sheetId="9" r:id="R40c6b86f9821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i/>
      <x:sz val="11"/>
      <x:color rgb="FF111111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1C5E35"/>
      <x:name val="Carlito"/>
    </x:font>
    <x:font>
      <x:b/>
      <x:sz val="11"/>
      <x:color rgb="FF8A4B08"/>
      <x:name val="Carlito"/>
    </x:font>
    <x:font>
      <x:b/>
      <x:sz val="11"/>
      <x:color rgb="FF9C271C"/>
      <x:name val="Carlito"/>
    </x:font>
    <x:font>
      <x:b/>
      <x:sz val="11"/>
      <x:color rgb="FF5F497A"/>
      <x:name val="Carlito"/>
    </x:font>
    <x:font>
      <x:b/>
      <x:sz val="11"/>
      <x:color rgb="FFC7FF00"/>
      <x:name val="Carlito"/>
    </x:font>
    <x:font>
      <x:sz val="1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FFE4B8"/>
      </x:patternFill>
    </x:fill>
    <x:fill>
      <x:patternFill patternType="solid">
        <x:fgColor rgb="FFF7C7C7"/>
      </x:patternFill>
    </x:fill>
    <x:fill>
      <x:patternFill patternType="solid">
        <x:fgColor rgb="FFE4DFEC"/>
      </x:patternFill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F2F4F3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0">
    <x:border/>
    <x:border>
      <x:left style="thin">
        <x:color rgb="FF4A4A4A"/>
      </x:left>
      <x:right style="thin">
        <x:color rgb="FF4A4A4A"/>
      </x:right>
      <x:top style="thin">
        <x:color rgb="FF4A4A4A"/>
      </x:top>
      <x:bottom style="thin">
        <x:color rgb="FF4A4A4A"/>
      </x:bottom>
    </x:border>
    <x:border>
      <x:left style="medium">
        <x:color rgb="FFFFFFFF"/>
      </x:left>
      <x:top style="medium">
        <x:color rgb="FFFFFFFF"/>
      </x:top>
    </x:border>
    <x:border>
      <x:right style="medium">
        <x:color rgb="FFFFFFFF"/>
      </x:right>
      <x:top style="medium">
        <x:color rgb="FFFFFFFF"/>
      </x:top>
    </x:border>
    <x:border>
      <x:left style="medium">
        <x:color rgb="FFFFFFFF"/>
      </x:left>
    </x:border>
    <x:border>
      <x:right style="medium">
        <x:color rgb="FFFFFFFF"/>
      </x:right>
    </x:border>
    <x:border>
      <x:left style="medium">
        <x:color rgb="FFFFFFFF"/>
      </x:left>
      <x:bottom style="medium">
        <x:color rgb="FFFFFFFF"/>
      </x:bottom>
    </x:border>
    <x:border>
      <x:right style="medium">
        <x:color rgb="FFFFFFFF"/>
      </x:right>
      <x:bottom style="medium">
        <x:color rgb="FFFFFFFF"/>
      </x:bottom>
    </x:border>
    <x:border>
      <x:left style="medium">
        <x:color rgb="FF1C5E35"/>
      </x:left>
      <x:top style="medium">
        <x:color rgb="FF1C5E35"/>
      </x:top>
    </x:border>
    <x:border>
      <x:right style="medium">
        <x:color rgb="FF1C5E35"/>
      </x:right>
      <x:top style="medium">
        <x:color rgb="FF1C5E35"/>
      </x:top>
    </x:border>
    <x:border>
      <x:left style="medium">
        <x:color rgb="FF1C5E35"/>
      </x:left>
    </x:border>
    <x:border>
      <x:right style="medium">
        <x:color rgb="FF1C5E35"/>
      </x:right>
    </x:border>
    <x:border>
      <x:left style="medium">
        <x:color rgb="FF1C5E35"/>
      </x:left>
      <x:bottom style="medium">
        <x:color rgb="FF1C5E35"/>
      </x:bottom>
    </x:border>
    <x:border>
      <x:right style="medium">
        <x:color rgb="FF1C5E35"/>
      </x:right>
      <x:bottom style="medium">
        <x:color rgb="FF1C5E35"/>
      </x:bottom>
    </x:border>
    <x:border>
      <x:left style="medium">
        <x:color rgb="FF8A4B08"/>
      </x:left>
      <x:top style="medium">
        <x:color rgb="FF8A4B08"/>
      </x:top>
    </x:border>
    <x:border>
      <x:right style="medium">
        <x:color rgb="FF8A4B08"/>
      </x:right>
      <x:top style="medium">
        <x:color rgb="FF8A4B08"/>
      </x:top>
    </x:border>
    <x:border>
      <x:left style="medium">
        <x:color rgb="FF8A4B08"/>
      </x:left>
    </x:border>
    <x:border>
      <x:right style="medium">
        <x:color rgb="FF8A4B08"/>
      </x:right>
    </x:border>
    <x:border>
      <x:left style="medium">
        <x:color rgb="FF8A4B08"/>
      </x:left>
      <x:bottom style="medium">
        <x:color rgb="FF8A4B08"/>
      </x:bottom>
    </x:border>
    <x:border>
      <x:right style="medium">
        <x:color rgb="FF8A4B08"/>
      </x:right>
      <x:bottom style="medium">
        <x:color rgb="FF8A4B08"/>
      </x:bottom>
    </x:border>
    <x:border>
      <x:left style="medium">
        <x:color rgb="FF9C271C"/>
      </x:left>
      <x:top style="medium">
        <x:color rgb="FF9C271C"/>
      </x:top>
    </x:border>
    <x:border>
      <x:right style="medium">
        <x:color rgb="FF9C271C"/>
      </x:right>
      <x:top style="medium">
        <x:color rgb="FF9C271C"/>
      </x:top>
    </x:border>
    <x:border>
      <x:left style="medium">
        <x:color rgb="FF9C271C"/>
      </x:left>
    </x:border>
    <x:border>
      <x:right style="medium">
        <x:color rgb="FF9C271C"/>
      </x:right>
    </x:border>
    <x:border>
      <x:left style="medium">
        <x:color rgb="FF9C271C"/>
      </x:left>
      <x:bottom style="medium">
        <x:color rgb="FF9C271C"/>
      </x:bottom>
    </x:border>
    <x:border>
      <x:right style="medium">
        <x:color rgb="FF9C271C"/>
      </x:right>
      <x:bottom style="medium">
        <x:color rgb="FF9C271C"/>
      </x:bottom>
    </x:border>
    <x:border>
      <x:left style="medium">
        <x:color rgb="FF5F497A"/>
      </x:left>
      <x:top style="medium">
        <x:color rgb="FF5F497A"/>
      </x:top>
    </x:border>
    <x:border>
      <x:top style="medium">
        <x:color rgb="FF5F497A"/>
      </x:top>
    </x:border>
    <x:border>
      <x:right style="medium">
        <x:color rgb="FF5F497A"/>
      </x:right>
      <x:top style="medium">
        <x:color rgb="FF5F497A"/>
      </x:top>
    </x:border>
    <x:border>
      <x:left style="medium">
        <x:color rgb="FF5F497A"/>
      </x:left>
    </x:border>
    <x:border>
      <x:right style="medium">
        <x:color rgb="FF5F497A"/>
      </x:right>
    </x:border>
    <x:border>
      <x:left style="medium">
        <x:color rgb="FF5F497A"/>
      </x:left>
      <x:bottom style="medium">
        <x:color rgb="FF5F497A"/>
      </x:bottom>
    </x:border>
    <x:border>
      <x:bottom style="medium">
        <x:color rgb="FF5F497A"/>
      </x:bottom>
    </x:border>
    <x:border>
      <x:right style="medium">
        <x:color rgb="FF5F497A"/>
      </x:right>
      <x:bottom style="medium">
        <x:color rgb="FF5F497A"/>
      </x:bottom>
    </x:border>
    <x:border diagonalUp="0" diagonalDown="0">
      <x:left style="none"/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1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13" xfId="0" applyNumberFormat="1" applyFont="1" applyFill="1" applyBorder="1"/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13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horizontal="center" wrapText="1"/>
    </x:xf>
    <x:xf numFmtId="0" fontId="5" fillId="8" borderId="9" xfId="0" applyNumberFormat="1" applyFont="1" applyFill="1" applyBorder="1" applyAlignment="1">
      <x:alignment horizontal="center" wrapText="1"/>
    </x:xf>
    <x:xf numFmtId="0" fontId="5" fillId="8" borderId="10" xfId="0" applyNumberFormat="1" applyFont="1" applyFill="1" applyBorder="1" applyAlignment="1">
      <x:alignment horizontal="center" wrapText="1"/>
    </x:xf>
    <x:xf numFmtId="0" fontId="5" fillId="8" borderId="11" xfId="0" applyNumberFormat="1" applyFont="1" applyFill="1" applyBorder="1" applyAlignment="1">
      <x:alignment horizontal="center" wrapText="1"/>
    </x:xf>
    <x:xf numFmtId="0" fontId="5" fillId="8" borderId="12" xfId="0" applyNumberFormat="1" applyFont="1" applyFill="1" applyBorder="1" applyAlignment="1">
      <x:alignment horizontal="center" wrapText="1"/>
    </x:xf>
    <x:xf numFmtId="0" fontId="5" fillId="8" borderId="13" xfId="0" applyNumberFormat="1" applyFont="1" applyFill="1" applyBorder="1" applyAlignment="1">
      <x:alignment horizontal="center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5" fillId="8" borderId="11" xfId="0" applyNumberFormat="1" applyFont="1" applyFill="1" applyBorder="1" applyAlignment="1">
      <x:alignment horizontal="center" vertical="center" wrapText="1"/>
    </x:xf>
    <x:xf numFmtId="0" fontId="5" fillId="8" borderId="12" xfId="0" applyNumberFormat="1" applyFont="1" applyFill="1" applyBorder="1" applyAlignment="1">
      <x:alignment horizontal="center" vertical="center" wrapText="1"/>
    </x:xf>
    <x:xf numFmtId="0" fontId="5" fillId="8" borderId="13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14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17" xfId="0" applyNumberFormat="1" applyFont="1" applyFill="1" applyBorder="1"/>
    <x:xf numFmtId="0" fontId="6" fillId="9" borderId="18" xfId="0" applyNumberFormat="1" applyFont="1" applyFill="1" applyBorder="1"/>
    <x:xf numFmtId="0" fontId="6" fillId="9" borderId="19" xfId="0" applyNumberFormat="1" applyFont="1" applyFill="1" applyBorder="1"/>
    <x:xf numFmtId="0" fontId="6" fillId="9" borderId="14" xfId="0" applyNumberFormat="1" applyFont="1" applyFill="1" applyBorder="1" applyAlignment="1">
      <x:alignment wrapText="1"/>
    </x:xf>
    <x:xf numFmtId="0" fontId="6" fillId="9" borderId="15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17" xfId="0" applyNumberFormat="1" applyFont="1" applyFill="1" applyBorder="1" applyAlignment="1">
      <x:alignment wrapText="1"/>
    </x:xf>
    <x:xf numFmtId="0" fontId="6" fillId="9" borderId="18" xfId="0" applyNumberFormat="1" applyFont="1" applyFill="1" applyBorder="1" applyAlignment="1">
      <x:alignment wrapText="1"/>
    </x:xf>
    <x:xf numFmtId="0" fontId="6" fillId="9" borderId="19" xfId="0" applyNumberFormat="1" applyFont="1" applyFill="1" applyBorder="1" applyAlignment="1">
      <x:alignment wrapText="1"/>
    </x:xf>
    <x:xf numFmtId="0" fontId="6" fillId="9" borderId="14" xfId="0" applyNumberFormat="1" applyFont="1" applyFill="1" applyBorder="1" applyAlignment="1">
      <x:alignment horizontal="center" wrapText="1"/>
    </x:xf>
    <x:xf numFmtId="0" fontId="6" fillId="9" borderId="15" xfId="0" applyNumberFormat="1" applyFont="1" applyFill="1" applyBorder="1" applyAlignment="1">
      <x:alignment horizontal="center" wrapText="1"/>
    </x:xf>
    <x:xf numFmtId="0" fontId="6" fillId="9" borderId="16" xfId="0" applyNumberFormat="1" applyFont="1" applyFill="1" applyBorder="1" applyAlignment="1">
      <x:alignment horizontal="center" wrapText="1"/>
    </x:xf>
    <x:xf numFmtId="0" fontId="6" fillId="9" borderId="17" xfId="0" applyNumberFormat="1" applyFont="1" applyFill="1" applyBorder="1" applyAlignment="1">
      <x:alignment horizontal="center" wrapText="1"/>
    </x:xf>
    <x:xf numFmtId="0" fontId="6" fillId="9" borderId="18" xfId="0" applyNumberFormat="1" applyFont="1" applyFill="1" applyBorder="1" applyAlignment="1">
      <x:alignment horizontal="center" wrapText="1"/>
    </x:xf>
    <x:xf numFmtId="0" fontId="6" fillId="9" borderId="19" xfId="0" applyNumberFormat="1" applyFont="1" applyFill="1" applyBorder="1" applyAlignment="1">
      <x:alignment horizontal="center" wrapText="1"/>
    </x:xf>
    <x:xf numFmtId="0" fontId="6" fillId="9" borderId="14" xfId="0" applyNumberFormat="1" applyFont="1" applyFill="1" applyBorder="1" applyAlignment="1">
      <x:alignment horizontal="center" vertical="center" wrapText="1"/>
    </x:xf>
    <x:xf numFmtId="0" fontId="6" fillId="9" borderId="15" xfId="0" applyNumberFormat="1" applyFont="1" applyFill="1" applyBorder="1" applyAlignment="1">
      <x:alignment horizontal="center" vertical="center" wrapText="1"/>
    </x:xf>
    <x:xf numFmtId="0" fontId="6" fillId="9" borderId="16" xfId="0" applyNumberFormat="1" applyFont="1" applyFill="1" applyBorder="1" applyAlignment="1">
      <x:alignment horizontal="center" vertical="center" wrapText="1"/>
    </x:xf>
    <x:xf numFmtId="0" fontId="6" fillId="9" borderId="17" xfId="0" applyNumberFormat="1" applyFont="1" applyFill="1" applyBorder="1" applyAlignment="1">
      <x:alignment horizontal="center" vertical="center" wrapText="1"/>
    </x:xf>
    <x:xf numFmtId="0" fontId="6" fillId="9" borderId="18" xfId="0" applyNumberFormat="1" applyFont="1" applyFill="1" applyBorder="1" applyAlignment="1">
      <x:alignment horizontal="center" vertical="center" wrapText="1"/>
    </x:xf>
    <x:xf numFmtId="0" fontId="6" fillId="9" borderId="19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/>
    <x:xf numFmtId="0" fontId="7" fillId="10" borderId="20" xfId="0" applyNumberFormat="1" applyFont="1" applyFill="1" applyBorder="1"/>
    <x:xf numFmtId="0" fontId="7" fillId="10" borderId="21" xfId="0" applyNumberFormat="1" applyFont="1" applyFill="1" applyBorder="1"/>
    <x:xf numFmtId="0" fontId="7" fillId="10" borderId="22" xfId="0" applyNumberFormat="1" applyFont="1" applyFill="1" applyBorder="1"/>
    <x:xf numFmtId="0" fontId="7" fillId="10" borderId="23" xfId="0" applyNumberFormat="1" applyFont="1" applyFill="1" applyBorder="1"/>
    <x:xf numFmtId="0" fontId="7" fillId="10" borderId="24" xfId="0" applyNumberFormat="1" applyFont="1" applyFill="1" applyBorder="1"/>
    <x:xf numFmtId="0" fontId="7" fillId="10" borderId="25" xfId="0" applyNumberFormat="1" applyFont="1" applyFill="1" applyBorder="1"/>
    <x:xf numFmtId="0" fontId="7" fillId="10" borderId="20" xfId="0" applyNumberFormat="1" applyFont="1" applyFill="1" applyBorder="1" applyAlignment="1">
      <x:alignment wrapText="1"/>
    </x:xf>
    <x:xf numFmtId="0" fontId="7" fillId="10" borderId="21" xfId="0" applyNumberFormat="1" applyFont="1" applyFill="1" applyBorder="1" applyAlignment="1">
      <x:alignment wrapText="1"/>
    </x:xf>
    <x:xf numFmtId="0" fontId="7" fillId="10" borderId="22" xfId="0" applyNumberFormat="1" applyFont="1" applyFill="1" applyBorder="1" applyAlignment="1">
      <x:alignment wrapText="1"/>
    </x:xf>
    <x:xf numFmtId="0" fontId="7" fillId="10" borderId="23" xfId="0" applyNumberFormat="1" applyFont="1" applyFill="1" applyBorder="1" applyAlignment="1">
      <x:alignment wrapText="1"/>
    </x:xf>
    <x:xf numFmtId="0" fontId="7" fillId="10" borderId="24" xfId="0" applyNumberFormat="1" applyFont="1" applyFill="1" applyBorder="1" applyAlignment="1">
      <x:alignment wrapText="1"/>
    </x:xf>
    <x:xf numFmtId="0" fontId="7" fillId="10" borderId="25" xfId="0" applyNumberFormat="1" applyFont="1" applyFill="1" applyBorder="1" applyAlignment="1">
      <x:alignment wrapText="1"/>
    </x:xf>
    <x:xf numFmtId="0" fontId="7" fillId="10" borderId="20" xfId="0" applyNumberFormat="1" applyFont="1" applyFill="1" applyBorder="1" applyAlignment="1">
      <x:alignment horizontal="center" wrapText="1"/>
    </x:xf>
    <x:xf numFmtId="0" fontId="7" fillId="10" borderId="21" xfId="0" applyNumberFormat="1" applyFont="1" applyFill="1" applyBorder="1" applyAlignment="1">
      <x:alignment horizontal="center" wrapText="1"/>
    </x:xf>
    <x:xf numFmtId="0" fontId="7" fillId="10" borderId="22" xfId="0" applyNumberFormat="1" applyFont="1" applyFill="1" applyBorder="1" applyAlignment="1">
      <x:alignment horizontal="center" wrapText="1"/>
    </x:xf>
    <x:xf numFmtId="0" fontId="7" fillId="10" borderId="23" xfId="0" applyNumberFormat="1" applyFont="1" applyFill="1" applyBorder="1" applyAlignment="1">
      <x:alignment horizontal="center" wrapText="1"/>
    </x:xf>
    <x:xf numFmtId="0" fontId="7" fillId="10" borderId="24" xfId="0" applyNumberFormat="1" applyFont="1" applyFill="1" applyBorder="1" applyAlignment="1">
      <x:alignment horizontal="center" wrapText="1"/>
    </x:xf>
    <x:xf numFmtId="0" fontId="7" fillId="10" borderId="25" xfId="0" applyNumberFormat="1" applyFont="1" applyFill="1" applyBorder="1" applyAlignment="1">
      <x:alignment horizontal="center" wrapText="1"/>
    </x:xf>
    <x:xf numFmtId="0" fontId="7" fillId="10" borderId="20" xfId="0" applyNumberFormat="1" applyFont="1" applyFill="1" applyBorder="1" applyAlignment="1">
      <x:alignment horizontal="center" vertical="center" wrapText="1"/>
    </x:xf>
    <x:xf numFmtId="0" fontId="7" fillId="10" borderId="21" xfId="0" applyNumberFormat="1" applyFont="1" applyFill="1" applyBorder="1" applyAlignment="1">
      <x:alignment horizontal="center" vertical="center" wrapText="1"/>
    </x:xf>
    <x:xf numFmtId="0" fontId="7" fillId="10" borderId="22" xfId="0" applyNumberFormat="1" applyFont="1" applyFill="1" applyBorder="1" applyAlignment="1">
      <x:alignment horizontal="center" vertical="center" wrapText="1"/>
    </x:xf>
    <x:xf numFmtId="0" fontId="7" fillId="10" borderId="23" xfId="0" applyNumberFormat="1" applyFont="1" applyFill="1" applyBorder="1" applyAlignment="1">
      <x:alignment horizontal="center" vertical="center" wrapText="1"/>
    </x:xf>
    <x:xf numFmtId="0" fontId="7" fillId="10" borderId="24" xfId="0" applyNumberFormat="1" applyFont="1" applyFill="1" applyBorder="1" applyAlignment="1">
      <x:alignment horizontal="center" vertical="center" wrapText="1"/>
    </x:xf>
    <x:xf numFmtId="0" fontId="7" fillId="10" borderId="2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26" xfId="0" applyNumberFormat="1" applyFont="1" applyFill="1" applyBorder="1"/>
    <x:xf numFmtId="0" fontId="8" fillId="11" borderId="27" xfId="0" applyNumberFormat="1" applyFont="1" applyFill="1" applyBorder="1"/>
    <x:xf numFmtId="0" fontId="8" fillId="11" borderId="28" xfId="0" applyNumberFormat="1" applyFont="1" applyFill="1" applyBorder="1"/>
    <x:xf numFmtId="0" fontId="8" fillId="11" borderId="29" xfId="0" applyNumberFormat="1" applyFont="1" applyFill="1" applyBorder="1"/>
    <x:xf numFmtId="0" fontId="8" fillId="11" borderId="30" xfId="0" applyNumberFormat="1" applyFont="1" applyFill="1" applyBorder="1"/>
    <x:xf numFmtId="0" fontId="8" fillId="11" borderId="31" xfId="0" applyNumberFormat="1" applyFont="1" applyFill="1" applyBorder="1"/>
    <x:xf numFmtId="0" fontId="8" fillId="11" borderId="32" xfId="0" applyNumberFormat="1" applyFont="1" applyFill="1" applyBorder="1"/>
    <x:xf numFmtId="0" fontId="8" fillId="11" borderId="33" xfId="0" applyNumberFormat="1" applyFont="1" applyFill="1" applyBorder="1"/>
    <x:xf numFmtId="0" fontId="8" fillId="11" borderId="26" xfId="0" applyNumberFormat="1" applyFont="1" applyFill="1" applyBorder="1" applyAlignment="1">
      <x:alignment wrapText="1"/>
    </x:xf>
    <x:xf numFmtId="0" fontId="8" fillId="11" borderId="27" xfId="0" applyNumberFormat="1" applyFont="1" applyFill="1" applyBorder="1" applyAlignment="1">
      <x:alignment wrapText="1"/>
    </x:xf>
    <x:xf numFmtId="0" fontId="8" fillId="11" borderId="28" xfId="0" applyNumberFormat="1" applyFont="1" applyFill="1" applyBorder="1" applyAlignment="1">
      <x:alignment wrapText="1"/>
    </x:xf>
    <x:xf numFmtId="0" fontId="8" fillId="11" borderId="29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30" xfId="0" applyNumberFormat="1" applyFont="1" applyFill="1" applyBorder="1" applyAlignment="1">
      <x:alignment wrapText="1"/>
    </x:xf>
    <x:xf numFmtId="0" fontId="8" fillId="11" borderId="31" xfId="0" applyNumberFormat="1" applyFont="1" applyFill="1" applyBorder="1" applyAlignment="1">
      <x:alignment wrapText="1"/>
    </x:xf>
    <x:xf numFmtId="0" fontId="8" fillId="11" borderId="32" xfId="0" applyNumberFormat="1" applyFont="1" applyFill="1" applyBorder="1" applyAlignment="1">
      <x:alignment wrapText="1"/>
    </x:xf>
    <x:xf numFmtId="0" fontId="8" fillId="11" borderId="33" xfId="0" applyNumberFormat="1" applyFont="1" applyFill="1" applyBorder="1" applyAlignment="1">
      <x:alignment wrapText="1"/>
    </x:xf>
    <x:xf numFmtId="0" fontId="8" fillId="11" borderId="26" xfId="0" applyNumberFormat="1" applyFont="1" applyFill="1" applyBorder="1" applyAlignment="1">
      <x:alignment horizontal="center" wrapText="1"/>
    </x:xf>
    <x:xf numFmtId="0" fontId="8" fillId="11" borderId="27" xfId="0" applyNumberFormat="1" applyFont="1" applyFill="1" applyBorder="1" applyAlignment="1">
      <x:alignment horizontal="center" wrapText="1"/>
    </x:xf>
    <x:xf numFmtId="0" fontId="8" fillId="11" borderId="28" xfId="0" applyNumberFormat="1" applyFont="1" applyFill="1" applyBorder="1" applyAlignment="1">
      <x:alignment horizontal="center" wrapText="1"/>
    </x:xf>
    <x:xf numFmtId="0" fontId="8" fillId="11" borderId="29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wrapText="1"/>
    </x:xf>
    <x:xf numFmtId="0" fontId="8" fillId="11" borderId="30" xfId="0" applyNumberFormat="1" applyFont="1" applyFill="1" applyBorder="1" applyAlignment="1">
      <x:alignment horizontal="center" wrapText="1"/>
    </x:xf>
    <x:xf numFmtId="0" fontId="8" fillId="11" borderId="31" xfId="0" applyNumberFormat="1" applyFont="1" applyFill="1" applyBorder="1" applyAlignment="1">
      <x:alignment horizontal="center" wrapText="1"/>
    </x:xf>
    <x:xf numFmtId="0" fontId="8" fillId="11" borderId="32" xfId="0" applyNumberFormat="1" applyFont="1" applyFill="1" applyBorder="1" applyAlignment="1">
      <x:alignment horizontal="center" wrapText="1"/>
    </x:xf>
    <x:xf numFmtId="0" fontId="8" fillId="11" borderId="33" xfId="0" applyNumberFormat="1" applyFont="1" applyFill="1" applyBorder="1" applyAlignment="1">
      <x:alignment horizontal="center" wrapText="1"/>
    </x:xf>
    <x:xf numFmtId="0" fontId="8" fillId="11" borderId="26" xfId="0" applyNumberFormat="1" applyFont="1" applyFill="1" applyBorder="1" applyAlignment="1">
      <x:alignment horizontal="center" vertical="center" wrapText="1"/>
    </x:xf>
    <x:xf numFmtId="0" fontId="8" fillId="11" borderId="27" xfId="0" applyNumberFormat="1" applyFont="1" applyFill="1" applyBorder="1" applyAlignment="1">
      <x:alignment horizontal="center" vertical="center" wrapText="1"/>
    </x:xf>
    <x:xf numFmtId="0" fontId="8" fillId="11" borderId="28" xfId="0" applyNumberFormat="1" applyFont="1" applyFill="1" applyBorder="1" applyAlignment="1">
      <x:alignment horizontal="center" vertical="center" wrapText="1"/>
    </x:xf>
    <x:xf numFmtId="0" fontId="8" fillId="11" borderId="29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1" borderId="30" xfId="0" applyNumberFormat="1" applyFont="1" applyFill="1" applyBorder="1" applyAlignment="1">
      <x:alignment horizontal="center" vertical="center" wrapText="1"/>
    </x:xf>
    <x:xf numFmtId="0" fontId="8" fillId="11" borderId="31" xfId="0" applyNumberFormat="1" applyFont="1" applyFill="1" applyBorder="1" applyAlignment="1">
      <x:alignment horizontal="center" vertical="center" wrapText="1"/>
    </x:xf>
    <x:xf numFmtId="0" fontId="8" fillId="11" borderId="32" xfId="0" applyNumberFormat="1" applyFont="1" applyFill="1" applyBorder="1" applyAlignment="1">
      <x:alignment horizontal="center" vertical="center" wrapText="1"/>
    </x:xf>
    <x:xf numFmtId="0" fontId="8" fillId="11" borderId="33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1" fillId="12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1" xfId="0" applyNumberFormat="1" applyFont="1" applyFill="1" applyBorder="1"/>
    <x:xf numFmtId="0" fontId="1" fillId="12" borderId="1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horizontal="center"/>
    </x:xf>
    <x:xf numFmtId="201" fontId="0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34" xfId="0" applyNumberFormat="1" applyFont="1" applyFill="1" applyBorder="1"/>
    <x:xf numFmtId="0" fontId="10" fillId="16" borderId="35" xfId="0" applyNumberFormat="1" applyFont="1" applyFill="1" applyBorder="1"/>
    <x:xf numFmtId="0" fontId="10" fillId="16" borderId="36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/>
    <x:xf numFmtId="0" fontId="10" fillId="16" borderId="39" xfId="0" applyNumberFormat="1" applyFont="1" applyFill="1" applyBorder="1"/>
    <x:xf numFmtId="0" fontId="0" fillId="17" borderId="0" xfId="0" applyNumberFormat="1" applyFont="1" applyFill="1" applyBorder="1"/>
    <x:xf numFmtId="0" fontId="10" fillId="1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d23954956476f" /><Relationship Type="http://schemas.openxmlformats.org/officeDocument/2006/relationships/theme" Target="/xl/theme/theme1.xml" Id="Rb32283cac36d43d2" /><Relationship Type="http://schemas.openxmlformats.org/officeDocument/2006/relationships/sharedStrings" Target="/xl/sharedStrings.xml" Id="R13e97702034840d2" /><Relationship Type="http://schemas.openxmlformats.org/officeDocument/2006/relationships/worksheet" Target="/xl/worksheets/sheet1.xml" Id="R3ff22d071e204299" /><Relationship Type="http://schemas.openxmlformats.org/officeDocument/2006/relationships/worksheet" Target="/xl/worksheets/sheet2.xml" Id="Ra8392e23498e4f4d" /><Relationship Type="http://schemas.openxmlformats.org/officeDocument/2006/relationships/worksheet" Target="/xl/worksheets/sheet3.xml" Id="R2bf875450ce848d3" /><Relationship Type="http://schemas.openxmlformats.org/officeDocument/2006/relationships/worksheet" Target="/xl/worksheets/sheet4.xml" Id="R6078fc3ad1804b32" /><Relationship Type="http://schemas.openxmlformats.org/officeDocument/2006/relationships/worksheet" Target="/xl/worksheets/sheet5.xml" Id="R0bf84e2ebf774ec9" /><Relationship Type="http://schemas.openxmlformats.org/officeDocument/2006/relationships/worksheet" Target="/xl/worksheets/sheet6.xml" Id="Rfcefdb314b86467a" /><Relationship Type="http://schemas.openxmlformats.org/officeDocument/2006/relationships/worksheet" Target="/xl/worksheets/sheet7.xml" Id="Rb5861c4be6b346e6" /><Relationship Type="http://schemas.openxmlformats.org/officeDocument/2006/relationships/worksheet" Target="/xl/worksheets/sheet8.xml" Id="R214b52e3d0a642b8" /><Relationship Type="http://schemas.openxmlformats.org/officeDocument/2006/relationships/worksheet" Target="/xl/worksheets/sheet9.xml" Id="R40c6b86f98214c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497178f6f948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Shipment Exceptions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C7FF00"/>
            </a:solidFill>
          </c:spPr>
          <c:cat>
            <c:strRef>
              <c:f>'Dashboard'!$A$19:$A$24</c:f>
              <c:strCache>
                <c:ptCount val="0"/>
              </c:strCache>
            </c:strRef>
          </c:cat>
          <c:val>
            <c:numRef>
              <c:f>'Dashboard'!$B$19:$B$24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97178f6f948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aa49679624f4d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2" hidden="0" customWidth="1"/>
  </x:cols>
  <x:sheetData>
    <x:row r="1" ht="36" customHeight="1">
      <x:c r="A1" s="3" t="str">
        <x:v>PROJ-007 | RAW SHIPMENT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6" t="str">
        <x:v>Simulated logistics data • source values preserved • no real customer information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32" customHeight="1">
      <x:c r="A3" s="12" t="str">
        <x:v>Shipment ID</x:v>
      </x:c>
      <x:c r="B3" s="12" t="str">
        <x:v>Tracking ID</x:v>
      </x:c>
      <x:c r="C3" s="12" t="str">
        <x:v>Carrier</x:v>
      </x:c>
      <x:c r="D3" s="12" t="str">
        <x:v>Origin</x:v>
      </x:c>
      <x:c r="E3" s="12" t="str">
        <x:v>Destination</x:v>
      </x:c>
      <x:c r="F3" s="12" t="str">
        <x:v>Service Level</x:v>
      </x:c>
      <x:c r="G3" s="12" t="str">
        <x:v>Ship Date</x:v>
      </x:c>
      <x:c r="H3" s="12" t="str">
        <x:v>Promised Date</x:v>
      </x:c>
      <x:c r="I3" s="12" t="str">
        <x:v>Shipment Status</x:v>
      </x:c>
      <x:c r="J3" s="12" t="str">
        <x:v>Actual Delivery</x:v>
      </x:c>
      <x:c r="K3" s="12" t="str">
        <x:v>Last Tracking Update</x:v>
      </x:c>
      <x:c r="L3" s="12" t="str">
        <x:v>POD Status</x:v>
      </x:c>
      <x:c r="M3" s="12" t="str">
        <x:v>Package Count</x:v>
      </x:c>
      <x:c r="N3" s="12" t="str">
        <x:v>Source Note</x:v>
      </x:c>
    </x:row>
    <x:row r="4">
      <x:c r="A4" s="14" t="str">
        <x:v>SHP-0001</x:v>
      </x:c>
      <x:c r="B4" s="14" t="str">
        <x:v>TRK-02001</x:v>
      </x:c>
      <x:c r="C4" s="14" t="str">
        <x:v>SwiftShip</x:v>
      </x:c>
      <x:c r="D4" s="14" t="str">
        <x:v>Jakarta</x:v>
      </x:c>
      <x:c r="E4" s="14" t="str">
        <x:v>Medan</x:v>
      </x:c>
      <x:c r="F4" s="14" t="str">
        <x:v>Standard</x:v>
      </x:c>
      <x:c r="G4" s="17" t="n">
        <x:v>46235</x:v>
      </x:c>
      <x:c r="H4" s="17" t="n">
        <x:v>46239</x:v>
      </x:c>
      <x:c r="I4" s="17" t="str">
        <x:v>Delivered</x:v>
      </x:c>
      <x:c r="J4" s="17" t="n">
        <x:v>46239</x:v>
      </x:c>
      <x:c r="K4" s="17" t="n">
        <x:v>46249</x:v>
      </x:c>
      <x:c r="L4" s="14" t="str">
        <x:v>Received</x:v>
      </x:c>
      <x:c r="M4" s="14" t="n">
        <x:v>2</x:v>
      </x:c>
      <x:c r="N4" s="14" t="str">
        <x:v>Order batch 1</x:v>
      </x:c>
    </x:row>
    <x:row r="5">
      <x:c r="A5" s="16" t="str">
        <x:v>SHP-0002</x:v>
      </x:c>
      <x:c r="B5" s="16" t="str">
        <x:v>TRK-02002</x:v>
      </x:c>
      <x:c r="C5" s="16" t="str">
        <x:v>Nusa Express</x:v>
      </x:c>
      <x:c r="D5" s="16" t="str">
        <x:v>Bandung</x:v>
      </x:c>
      <x:c r="E5" s="16" t="str">
        <x:v>Makassar</x:v>
      </x:c>
      <x:c r="F5" s="16" t="str">
        <x:v>Express</x:v>
      </x:c>
      <x:c r="G5" s="18" t="n">
        <x:v>46236</x:v>
      </x:c>
      <x:c r="H5" s="18" t="n">
        <x:v>46238</x:v>
      </x:c>
      <x:c r="I5" s="18" t="str">
        <x:v>Delivered</x:v>
      </x:c>
      <x:c r="J5" s="18" t="n">
        <x:v>46238</x:v>
      </x:c>
      <x:c r="K5" s="18" t="n">
        <x:v>46250</x:v>
      </x:c>
      <x:c r="L5" s="16" t="str">
        <x:v>Received</x:v>
      </x:c>
      <x:c r="M5" s="16" t="n">
        <x:v>3</x:v>
      </x:c>
      <x:c r="N5" s="16" t="str">
        <x:v>Order batch 1</x:v>
      </x:c>
    </x:row>
    <x:row r="6">
      <x:c r="A6" s="14" t="str">
        <x:v>SHP-0003</x:v>
      </x:c>
      <x:c r="B6" s="14" t="str">
        <x:v>TRK-02003</x:v>
      </x:c>
      <x:c r="C6" s="14" t="str">
        <x:v>Archipelago Cargo</x:v>
      </x:c>
      <x:c r="D6" s="14" t="str">
        <x:v>Surabaya</x:v>
      </x:c>
      <x:c r="E6" s="14" t="str">
        <x:v>Semarang</x:v>
      </x:c>
      <x:c r="F6" s="14" t="str">
        <x:v>Standard</x:v>
      </x:c>
      <x:c r="G6" s="17" t="n">
        <x:v>46237</x:v>
      </x:c>
      <x:c r="H6" s="17" t="n">
        <x:v>46241</x:v>
      </x:c>
      <x:c r="I6" s="17" t="str">
        <x:v>Delivered</x:v>
      </x:c>
      <x:c r="J6" s="17" t="n">
        <x:v>46241</x:v>
      </x:c>
      <x:c r="K6" s="17" t="n">
        <x:v>46248</x:v>
      </x:c>
      <x:c r="L6" s="14" t="str">
        <x:v>Received</x:v>
      </x:c>
      <x:c r="M6" s="14" t="n">
        <x:v>4</x:v>
      </x:c>
      <x:c r="N6" s="14" t="str">
        <x:v>Order batch 1</x:v>
      </x:c>
    </x:row>
    <x:row r="7">
      <x:c r="A7" s="16" t="str">
        <x:v>SHP-0004</x:v>
      </x:c>
      <x:c r="B7" s="16" t="str">
        <x:v>TRK-02004</x:v>
      </x:c>
      <x:c r="C7" s="16" t="str">
        <x:v>SwiftShip</x:v>
      </x:c>
      <x:c r="D7" s="16" t="str">
        <x:v>Jakarta</x:v>
      </x:c>
      <x:c r="E7" s="16" t="str">
        <x:v>Denpasar</x:v>
      </x:c>
      <x:c r="F7" s="16" t="str">
        <x:v>Express</x:v>
      </x:c>
      <x:c r="G7" s="18" t="n">
        <x:v>46238</x:v>
      </x:c>
      <x:c r="H7" s="18" t="n">
        <x:v>46240</x:v>
      </x:c>
      <x:c r="I7" s="18" t="str">
        <x:v>Delivered</x:v>
      </x:c>
      <x:c r="J7" s="18" t="n">
        <x:v>46240</x:v>
      </x:c>
      <x:c r="K7" s="18" t="n">
        <x:v>46249</x:v>
      </x:c>
      <x:c r="L7" s="16" t="str">
        <x:v>Received</x:v>
      </x:c>
      <x:c r="M7" s="16" t="n">
        <x:v>5</x:v>
      </x:c>
      <x:c r="N7" s="16" t="str">
        <x:v>Order batch 1</x:v>
      </x:c>
    </x:row>
    <x:row r="8">
      <x:c r="A8" s="14" t="str">
        <x:v>SHP-0005</x:v>
      </x:c>
      <x:c r="B8" s="14" t="str">
        <x:v>TRK-02005</x:v>
      </x:c>
      <x:c r="C8" s="14" t="str">
        <x:v>Nusa Express</x:v>
      </x:c>
      <x:c r="D8" s="14" t="str">
        <x:v>Bandung</x:v>
      </x:c>
      <x:c r="E8" s="14" t="str">
        <x:v>Yogyakarta</x:v>
      </x:c>
      <x:c r="F8" s="14" t="str">
        <x:v>Standard</x:v>
      </x:c>
      <x:c r="G8" s="17" t="n">
        <x:v>46239</x:v>
      </x:c>
      <x:c r="H8" s="17" t="n">
        <x:v>46243</x:v>
      </x:c>
      <x:c r="I8" s="17" t="str">
        <x:v>In Transit</x:v>
      </x:c>
      <x:c r="J8" s="17"/>
      <x:c r="K8" s="17" t="n">
        <x:v>46250</x:v>
      </x:c>
      <x:c r="L8" s="14" t="str">
        <x:v>Pending</x:v>
      </x:c>
      <x:c r="M8" s="14" t="n">
        <x:v>6</x:v>
      </x:c>
      <x:c r="N8" s="14" t="str">
        <x:v>Order batch 1</x:v>
      </x:c>
    </x:row>
    <x:row r="9">
      <x:c r="A9" s="16" t="str">
        <x:v>SHP-0006</x:v>
      </x:c>
      <x:c r="B9" s="16" t="str">
        <x:v>TRK-02006</x:v>
      </x:c>
      <x:c r="C9" s="16" t="str">
        <x:v>Archipelago Cargo</x:v>
      </x:c>
      <x:c r="D9" s="16" t="str">
        <x:v>Surabaya</x:v>
      </x:c>
      <x:c r="E9" s="16" t="str">
        <x:v>Medan</x:v>
      </x:c>
      <x:c r="F9" s="16" t="str">
        <x:v>Express</x:v>
      </x:c>
      <x:c r="G9" s="18" t="n">
        <x:v>46240</x:v>
      </x:c>
      <x:c r="H9" s="18" t="n">
        <x:v>46242</x:v>
      </x:c>
      <x:c r="I9" s="18" t="str">
        <x:v>Delivered</x:v>
      </x:c>
      <x:c r="J9" s="18" t="n">
        <x:v>46242</x:v>
      </x:c>
      <x:c r="K9" s="18" t="n">
        <x:v>46248</x:v>
      </x:c>
      <x:c r="L9" s="16" t="str">
        <x:v>Received</x:v>
      </x:c>
      <x:c r="M9" s="16" t="n">
        <x:v>7</x:v>
      </x:c>
      <x:c r="N9" s="16" t="str">
        <x:v>Order batch 1</x:v>
      </x:c>
    </x:row>
    <x:row r="10">
      <x:c r="A10" s="14" t="str">
        <x:v>SHP-0007</x:v>
      </x:c>
      <x:c r="B10" s="14" t="str">
        <x:v>TRK-02007</x:v>
      </x:c>
      <x:c r="C10" s="14" t="str">
        <x:v>SwiftShip</x:v>
      </x:c>
      <x:c r="D10" s="14" t="str">
        <x:v>Jakarta</x:v>
      </x:c>
      <x:c r="E10" s="14" t="str">
        <x:v>Makassar</x:v>
      </x:c>
      <x:c r="F10" s="14" t="str">
        <x:v>Standard</x:v>
      </x:c>
      <x:c r="G10" s="17" t="n">
        <x:v>46241</x:v>
      </x:c>
      <x:c r="H10" s="17" t="n">
        <x:v>46245</x:v>
      </x:c>
      <x:c r="I10" s="17" t="str">
        <x:v>Delivered</x:v>
      </x:c>
      <x:c r="J10" s="17" t="n">
        <x:v>46247</x:v>
      </x:c>
      <x:c r="K10" s="17" t="n">
        <x:v>46249</x:v>
      </x:c>
      <x:c r="L10" s="14" t="str">
        <x:v>Received</x:v>
      </x:c>
      <x:c r="M10" s="14" t="n">
        <x:v>8</x:v>
      </x:c>
      <x:c r="N10" s="14" t="str">
        <x:v>Order batch 1</x:v>
      </x:c>
    </x:row>
    <x:row r="11">
      <x:c r="A11" s="16" t="str">
        <x:v>SHP-0008</x:v>
      </x:c>
      <x:c r="B11" s="16" t="str">
        <x:v>TRK-02008</x:v>
      </x:c>
      <x:c r="C11" s="16" t="str">
        <x:v>Nusa Express</x:v>
      </x:c>
      <x:c r="D11" s="16" t="str">
        <x:v>Bandung</x:v>
      </x:c>
      <x:c r="E11" s="16" t="str">
        <x:v>Semarang</x:v>
      </x:c>
      <x:c r="F11" s="16" t="str">
        <x:v>Express</x:v>
      </x:c>
      <x:c r="G11" s="18" t="n">
        <x:v>46242</x:v>
      </x:c>
      <x:c r="H11" s="18" t="n">
        <x:v>46244</x:v>
      </x:c>
      <x:c r="I11" s="18" t="str">
        <x:v>Delivered</x:v>
      </x:c>
      <x:c r="J11" s="18" t="n">
        <x:v>46244</x:v>
      </x:c>
      <x:c r="K11" s="18" t="n">
        <x:v>46250</x:v>
      </x:c>
      <x:c r="L11" s="16" t="str">
        <x:v>Received</x:v>
      </x:c>
      <x:c r="M11" s="16" t="n">
        <x:v>1</x:v>
      </x:c>
      <x:c r="N11" s="16" t="str">
        <x:v>Order batch 1</x:v>
      </x:c>
    </x:row>
    <x:row r="12">
      <x:c r="A12" s="14" t="str">
        <x:v>SHP-0009</x:v>
      </x:c>
      <x:c r="B12" s="14" t="str">
        <x:v>TRK-02009</x:v>
      </x:c>
      <x:c r="C12" s="14" t="str">
        <x:v>Archipelago Cargo</x:v>
      </x:c>
      <x:c r="D12" s="14" t="str">
        <x:v>Surabaya</x:v>
      </x:c>
      <x:c r="E12" s="14" t="str">
        <x:v>Denpasar</x:v>
      </x:c>
      <x:c r="F12" s="14" t="str">
        <x:v>Standard</x:v>
      </x:c>
      <x:c r="G12" s="17" t="n">
        <x:v>46243</x:v>
      </x:c>
      <x:c r="H12" s="17" t="n">
        <x:v>46247</x:v>
      </x:c>
      <x:c r="I12" s="17" t="str">
        <x:v>Delivered</x:v>
      </x:c>
      <x:c r="J12" s="17" t="n">
        <x:v>46247</x:v>
      </x:c>
      <x:c r="K12" s="17" t="n">
        <x:v>46248</x:v>
      </x:c>
      <x:c r="L12" s="14" t="str">
        <x:v>Received</x:v>
      </x:c>
      <x:c r="M12" s="14" t="n">
        <x:v>2</x:v>
      </x:c>
      <x:c r="N12" s="14" t="str">
        <x:v>Order batch 1</x:v>
      </x:c>
    </x:row>
    <x:row r="13">
      <x:c r="A13" s="16" t="str">
        <x:v>SHP-0010</x:v>
      </x:c>
      <x:c r="B13" s="16" t="str">
        <x:v>TRK-02010</x:v>
      </x:c>
      <x:c r="C13" s="16" t="str">
        <x:v>SwiftShip</x:v>
      </x:c>
      <x:c r="D13" s="16" t="str">
        <x:v>Jakarta</x:v>
      </x:c>
      <x:c r="E13" s="16" t="str">
        <x:v>Yogyakarta</x:v>
      </x:c>
      <x:c r="F13" s="16" t="str">
        <x:v>Express</x:v>
      </x:c>
      <x:c r="G13" s="18" t="n">
        <x:v>46244</x:v>
      </x:c>
      <x:c r="H13" s="18" t="n">
        <x:v>46246</x:v>
      </x:c>
      <x:c r="I13" s="18" t="str">
        <x:v>In Transit</x:v>
      </x:c>
      <x:c r="J13" s="18"/>
      <x:c r="K13" s="18" t="n">
        <x:v>46249</x:v>
      </x:c>
      <x:c r="L13" s="16" t="str">
        <x:v>Pending</x:v>
      </x:c>
      <x:c r="M13" s="16" t="n">
        <x:v>3</x:v>
      </x:c>
      <x:c r="N13" s="16" t="str">
        <x:v>Order batch 1</x:v>
      </x:c>
    </x:row>
    <x:row r="14">
      <x:c r="A14" s="14" t="str">
        <x:v>SHP-0011</x:v>
      </x:c>
      <x:c r="B14" s="14" t="str">
        <x:v>TRK-02011</x:v>
      </x:c>
      <x:c r="C14" s="14" t="str">
        <x:v>Nusa Express</x:v>
      </x:c>
      <x:c r="D14" s="14" t="str">
        <x:v>Bandung</x:v>
      </x:c>
      <x:c r="E14" s="14" t="str">
        <x:v>Medan</x:v>
      </x:c>
      <x:c r="F14" s="14" t="str">
        <x:v>Standard</x:v>
      </x:c>
      <x:c r="G14" s="17" t="n">
        <x:v>46245</x:v>
      </x:c>
      <x:c r="H14" s="17" t="n">
        <x:v>46249</x:v>
      </x:c>
      <x:c r="I14" s="17" t="str">
        <x:v>Delivered</x:v>
      </x:c>
      <x:c r="J14" s="17" t="n">
        <x:v>46249</x:v>
      </x:c>
      <x:c r="K14" s="17" t="n">
        <x:v>46250</x:v>
      </x:c>
      <x:c r="L14" s="14" t="str">
        <x:v>Missing</x:v>
      </x:c>
      <x:c r="M14" s="14" t="n">
        <x:v>4</x:v>
      </x:c>
      <x:c r="N14" s="14" t="str">
        <x:v>Order batch 2</x:v>
      </x:c>
    </x:row>
    <x:row r="15">
      <x:c r="A15" s="16" t="str">
        <x:v>SHP-0012</x:v>
      </x:c>
      <x:c r="B15" s="16" t="str">
        <x:v>TRK-02012</x:v>
      </x:c>
      <x:c r="C15" s="16" t="str">
        <x:v>Archipelago Cargo</x:v>
      </x:c>
      <x:c r="D15" s="16" t="str">
        <x:v>Surabaya</x:v>
      </x:c>
      <x:c r="E15" s="16" t="str">
        <x:v>Makassar</x:v>
      </x:c>
      <x:c r="F15" s="16" t="str">
        <x:v>Express</x:v>
      </x:c>
      <x:c r="G15" s="18" t="n">
        <x:v>46246</x:v>
      </x:c>
      <x:c r="H15" s="18" t="n">
        <x:v>46248</x:v>
      </x:c>
      <x:c r="I15" s="18" t="str">
        <x:v>Delivered</x:v>
      </x:c>
      <x:c r="J15" s="18" t="n">
        <x:v>46248</x:v>
      </x:c>
      <x:c r="K15" s="18" t="n">
        <x:v>46248</x:v>
      </x:c>
      <x:c r="L15" s="16" t="str">
        <x:v>Received</x:v>
      </x:c>
      <x:c r="M15" s="16" t="n">
        <x:v>5</x:v>
      </x:c>
      <x:c r="N15" s="16" t="str">
        <x:v>Order batch 2</x:v>
      </x:c>
    </x:row>
    <x:row r="16">
      <x:c r="A16" s="14" t="str">
        <x:v>SHP-0013</x:v>
      </x:c>
      <x:c r="B16" s="14" t="str">
        <x:v>TRK-02013</x:v>
      </x:c>
      <x:c r="C16" s="14" t="str">
        <x:v>SwiftShip</x:v>
      </x:c>
      <x:c r="D16" s="14" t="str">
        <x:v>Jakarta</x:v>
      </x:c>
      <x:c r="E16" s="14" t="str">
        <x:v>Semarang</x:v>
      </x:c>
      <x:c r="F16" s="14" t="str">
        <x:v>Standard</x:v>
      </x:c>
      <x:c r="G16" s="17" t="n">
        <x:v>46235</x:v>
      </x:c>
      <x:c r="H16" s="17" t="n">
        <x:v>46239</x:v>
      </x:c>
      <x:c r="I16" s="17" t="str">
        <x:v>Delivered</x:v>
      </x:c>
      <x:c r="J16" s="17" t="n">
        <x:v>46239</x:v>
      </x:c>
      <x:c r="K16" s="17" t="n">
        <x:v>46249</x:v>
      </x:c>
      <x:c r="L16" s="14" t="str">
        <x:v>Received</x:v>
      </x:c>
      <x:c r="M16" s="14" t="n">
        <x:v>6</x:v>
      </x:c>
      <x:c r="N16" s="14" t="str">
        <x:v>Order batch 2</x:v>
      </x:c>
    </x:row>
    <x:row r="17">
      <x:c r="A17" s="16" t="str">
        <x:v>SHP-0014</x:v>
      </x:c>
      <x:c r="B17" s="16" t="str">
        <x:v>TRK-02014</x:v>
      </x:c>
      <x:c r="C17" s="16" t="str">
        <x:v>Nusa Express</x:v>
      </x:c>
      <x:c r="D17" s="16" t="str">
        <x:v>Bandung</x:v>
      </x:c>
      <x:c r="E17" s="16" t="str">
        <x:v>Denpasar</x:v>
      </x:c>
      <x:c r="F17" s="16" t="str">
        <x:v>Express</x:v>
      </x:c>
      <x:c r="G17" s="18" t="n">
        <x:v>46236</x:v>
      </x:c>
      <x:c r="H17" s="18" t="n">
        <x:v>46238</x:v>
      </x:c>
      <x:c r="I17" s="18" t="str">
        <x:v>Delivered</x:v>
      </x:c>
      <x:c r="J17" s="18" t="n">
        <x:v>46240</x:v>
      </x:c>
      <x:c r="K17" s="18" t="n">
        <x:v>46250</x:v>
      </x:c>
      <x:c r="L17" s="16" t="str">
        <x:v>Received</x:v>
      </x:c>
      <x:c r="M17" s="16" t="n">
        <x:v>7</x:v>
      </x:c>
      <x:c r="N17" s="16" t="str">
        <x:v>Order batch 2</x:v>
      </x:c>
    </x:row>
    <x:row r="18">
      <x:c r="A18" s="14" t="str">
        <x:v>SHP-0015</x:v>
      </x:c>
      <x:c r="B18" s="14" t="str">
        <x:v>TRK-02015</x:v>
      </x:c>
      <x:c r="C18" s="14" t="str">
        <x:v>Archipelago Cargo</x:v>
      </x:c>
      <x:c r="D18" s="14" t="str">
        <x:v>Surabaya</x:v>
      </x:c>
      <x:c r="E18" s="14" t="str">
        <x:v>Yogyakarta</x:v>
      </x:c>
      <x:c r="F18" s="14" t="str">
        <x:v>Standard</x:v>
      </x:c>
      <x:c r="G18" s="17" t="n">
        <x:v>46237</x:v>
      </x:c>
      <x:c r="H18" s="17" t="n">
        <x:v>46241</x:v>
      </x:c>
      <x:c r="I18" s="17" t="str">
        <x:v>In Transit</x:v>
      </x:c>
      <x:c r="J18" s="17"/>
      <x:c r="K18" s="17" t="n">
        <x:v>46248</x:v>
      </x:c>
      <x:c r="L18" s="14" t="str">
        <x:v>Pending</x:v>
      </x:c>
      <x:c r="M18" s="14" t="n">
        <x:v>8</x:v>
      </x:c>
      <x:c r="N18" s="14" t="str">
        <x:v>Order batch 2</x:v>
      </x:c>
    </x:row>
    <x:row r="19">
      <x:c r="A19" s="16" t="str">
        <x:v>SHP-0016</x:v>
      </x:c>
      <x:c r="B19" s="16" t="str">
        <x:v>TRK-02015</x:v>
      </x:c>
      <x:c r="C19" s="16" t="str">
        <x:v>SwiftShip</x:v>
      </x:c>
      <x:c r="D19" s="16" t="str">
        <x:v>Jakarta</x:v>
      </x:c>
      <x:c r="E19" s="16" t="str">
        <x:v>Medan</x:v>
      </x:c>
      <x:c r="F19" s="16" t="str">
        <x:v>Express</x:v>
      </x:c>
      <x:c r="G19" s="18" t="n">
        <x:v>46238</x:v>
      </x:c>
      <x:c r="H19" s="18" t="n">
        <x:v>46240</x:v>
      </x:c>
      <x:c r="I19" s="18" t="str">
        <x:v>Delivered</x:v>
      </x:c>
      <x:c r="J19" s="18" t="n">
        <x:v>46240</x:v>
      </x:c>
      <x:c r="K19" s="18" t="n">
        <x:v>46249</x:v>
      </x:c>
      <x:c r="L19" s="16" t="str">
        <x:v>Received</x:v>
      </x:c>
      <x:c r="M19" s="16" t="n">
        <x:v>1</x:v>
      </x:c>
      <x:c r="N19" s="16" t="str">
        <x:v>Order batch 2</x:v>
      </x:c>
    </x:row>
    <x:row r="20">
      <x:c r="A20" s="14" t="str">
        <x:v>SHP-0017</x:v>
      </x:c>
      <x:c r="B20" s="14" t="str">
        <x:v>TRK-02017</x:v>
      </x:c>
      <x:c r="C20" s="14" t="str">
        <x:v>Nusa Express</x:v>
      </x:c>
      <x:c r="D20" s="14" t="str">
        <x:v>Bandung</x:v>
      </x:c>
      <x:c r="E20" s="14" t="str">
        <x:v>Makassar</x:v>
      </x:c>
      <x:c r="F20" s="14" t="str">
        <x:v>Standard</x:v>
      </x:c>
      <x:c r="G20" s="17" t="n">
        <x:v>46239</x:v>
      </x:c>
      <x:c r="H20" s="17" t="n">
        <x:v>46243</x:v>
      </x:c>
      <x:c r="I20" s="17" t="str">
        <x:v>Delivered</x:v>
      </x:c>
      <x:c r="J20" s="17" t="n">
        <x:v>46243</x:v>
      </x:c>
      <x:c r="K20" s="17" t="n">
        <x:v>46250</x:v>
      </x:c>
      <x:c r="L20" s="14" t="str">
        <x:v>Received</x:v>
      </x:c>
      <x:c r="M20" s="14" t="n">
        <x:v>2</x:v>
      </x:c>
      <x:c r="N20" s="14" t="str">
        <x:v>Order batch 2</x:v>
      </x:c>
    </x:row>
    <x:row r="21">
      <x:c r="A21" s="16" t="str">
        <x:v>SHP-0018</x:v>
      </x:c>
      <x:c r="B21" s="16" t="str">
        <x:v>TRK-02018</x:v>
      </x:c>
      <x:c r="C21" s="16" t="str">
        <x:v>Archipelago Cargo</x:v>
      </x:c>
      <x:c r="D21" s="16" t="str">
        <x:v>Surabaya</x:v>
      </x:c>
      <x:c r="E21" s="16" t="str">
        <x:v>Semarang</x:v>
      </x:c>
      <x:c r="F21" s="16" t="str">
        <x:v>Express</x:v>
      </x:c>
      <x:c r="G21" s="18" t="n">
        <x:v>46240</x:v>
      </x:c>
      <x:c r="H21" s="18" t="n">
        <x:v>46242</x:v>
      </x:c>
      <x:c r="I21" s="18" t="str">
        <x:v>Delivered</x:v>
      </x:c>
      <x:c r="J21" s="18" t="n">
        <x:v>46242</x:v>
      </x:c>
      <x:c r="K21" s="18" t="n">
        <x:v>46248</x:v>
      </x:c>
      <x:c r="L21" s="16" t="str">
        <x:v>Received</x:v>
      </x:c>
      <x:c r="M21" s="16" t="n">
        <x:v>3</x:v>
      </x:c>
      <x:c r="N21" s="16" t="str">
        <x:v>Order batch 2</x:v>
      </x:c>
    </x:row>
    <x:row r="22">
      <x:c r="A22" s="14" t="str">
        <x:v>SHP-0019</x:v>
      </x:c>
      <x:c r="B22" s="14" t="str">
        <x:v>TRK-02019</x:v>
      </x:c>
      <x:c r="C22" s="14" t="str">
        <x:v>SwiftShip</x:v>
      </x:c>
      <x:c r="D22" s="14" t="str">
        <x:v>Jakarta</x:v>
      </x:c>
      <x:c r="E22" s="14" t="str">
        <x:v>Denpasar</x:v>
      </x:c>
      <x:c r="F22" s="14" t="str">
        <x:v>Standard</x:v>
      </x:c>
      <x:c r="G22" s="17" t="n">
        <x:v>46241</x:v>
      </x:c>
      <x:c r="H22" s="17" t="n">
        <x:v>46245</x:v>
      </x:c>
      <x:c r="I22" s="17" t="str">
        <x:v>Delivered</x:v>
      </x:c>
      <x:c r="J22" s="17" t="n">
        <x:v>46245</x:v>
      </x:c>
      <x:c r="K22" s="17" t="n">
        <x:v>46249</x:v>
      </x:c>
      <x:c r="L22" s="14" t="str">
        <x:v>Received</x:v>
      </x:c>
      <x:c r="M22" s="14" t="n">
        <x:v>4</x:v>
      </x:c>
      <x:c r="N22" s="14" t="str">
        <x:v>Order batch 2</x:v>
      </x:c>
    </x:row>
    <x:row r="23">
      <x:c r="A23" s="16" t="str">
        <x:v>SHP-0020</x:v>
      </x:c>
      <x:c r="B23" s="16" t="str">
        <x:v>TRK-02020</x:v>
      </x:c>
      <x:c r="C23" s="16" t="str">
        <x:v>Nusa Express</x:v>
      </x:c>
      <x:c r="D23" s="16" t="str">
        <x:v>Bandung</x:v>
      </x:c>
      <x:c r="E23" s="16" t="str">
        <x:v>Yogyakarta</x:v>
      </x:c>
      <x:c r="F23" s="16" t="str">
        <x:v>Express</x:v>
      </x:c>
      <x:c r="G23" s="18" t="n">
        <x:v>46242</x:v>
      </x:c>
      <x:c r="H23" s="18" t="n">
        <x:v>46244</x:v>
      </x:c>
      <x:c r="I23" s="18" t="str">
        <x:v>In Transit</x:v>
      </x:c>
      <x:c r="J23" s="18"/>
      <x:c r="K23" s="18" t="n">
        <x:v>46250</x:v>
      </x:c>
      <x:c r="L23" s="16" t="str">
        <x:v>Pending</x:v>
      </x:c>
      <x:c r="M23" s="16" t="n">
        <x:v>5</x:v>
      </x:c>
      <x:c r="N23" s="16" t="str">
        <x:v>Order batch 2</x:v>
      </x:c>
    </x:row>
    <x:row r="24">
      <x:c r="A24" s="14" t="str">
        <x:v>SHP-0021</x:v>
      </x:c>
      <x:c r="B24" s="14" t="str">
        <x:v>TRK-02021</x:v>
      </x:c>
      <x:c r="C24" s="14" t="str">
        <x:v>Archipelago Cargo</x:v>
      </x:c>
      <x:c r="D24" s="14" t="str">
        <x:v>Surabaya</x:v>
      </x:c>
      <x:c r="E24" s="14" t="str">
        <x:v>Medan</x:v>
      </x:c>
      <x:c r="F24" s="14" t="str">
        <x:v>Standard</x:v>
      </x:c>
      <x:c r="G24" s="17" t="n">
        <x:v>46243</x:v>
      </x:c>
      <x:c r="H24" s="17" t="n">
        <x:v>46247</x:v>
      </x:c>
      <x:c r="I24" s="17" t="str">
        <x:v>Delivered</x:v>
      </x:c>
      <x:c r="J24" s="17" t="n">
        <x:v>46249</x:v>
      </x:c>
      <x:c r="K24" s="17" t="n">
        <x:v>46248</x:v>
      </x:c>
      <x:c r="L24" s="14" t="str">
        <x:v>Received</x:v>
      </x:c>
      <x:c r="M24" s="14" t="n">
        <x:v>6</x:v>
      </x:c>
      <x:c r="N24" s="14" t="str">
        <x:v>Order batch 3</x:v>
      </x:c>
    </x:row>
    <x:row r="25">
      <x:c r="A25" s="16" t="str">
        <x:v>SHP-0022</x:v>
      </x:c>
      <x:c r="B25" s="16" t="str">
        <x:v>TRK-02022</x:v>
      </x:c>
      <x:c r="C25" s="16" t="str">
        <x:v>Unknown Carrier</x:v>
      </x:c>
      <x:c r="D25" s="16" t="str">
        <x:v>Jakarta</x:v>
      </x:c>
      <x:c r="E25" s="16" t="str">
        <x:v>Makassar</x:v>
      </x:c>
      <x:c r="F25" s="16" t="str">
        <x:v>Express</x:v>
      </x:c>
      <x:c r="G25" s="18" t="n">
        <x:v>46244</x:v>
      </x:c>
      <x:c r="H25" s="18" t="n">
        <x:v>46246</x:v>
      </x:c>
      <x:c r="I25" s="18" t="str">
        <x:v>Delivered</x:v>
      </x:c>
      <x:c r="J25" s="18" t="n">
        <x:v>46246</x:v>
      </x:c>
      <x:c r="K25" s="18" t="n">
        <x:v>46249</x:v>
      </x:c>
      <x:c r="L25" s="16" t="str">
        <x:v>Missing</x:v>
      </x:c>
      <x:c r="M25" s="16" t="n">
        <x:v>7</x:v>
      </x:c>
      <x:c r="N25" s="16" t="str">
        <x:v>Order batch 3</x:v>
      </x:c>
    </x:row>
    <x:row r="26">
      <x:c r="A26" s="14" t="str">
        <x:v>SHP-0023</x:v>
      </x:c>
      <x:c r="B26" s="14" t="str">
        <x:v>TRK-02023</x:v>
      </x:c>
      <x:c r="C26" s="14" t="str">
        <x:v>Nusa Express</x:v>
      </x:c>
      <x:c r="D26" s="14" t="str">
        <x:v>Bandung</x:v>
      </x:c>
      <x:c r="E26" s="14" t="str">
        <x:v>Semarang</x:v>
      </x:c>
      <x:c r="F26" s="14" t="str">
        <x:v>Standard</x:v>
      </x:c>
      <x:c r="G26" s="17" t="n">
        <x:v>46245</x:v>
      </x:c>
      <x:c r="H26" s="17" t="n">
        <x:v>46249</x:v>
      </x:c>
      <x:c r="I26" s="17" t="str">
        <x:v>Delivered</x:v>
      </x:c>
      <x:c r="J26" s="17" t="n">
        <x:v>46249</x:v>
      </x:c>
      <x:c r="K26" s="17" t="n">
        <x:v>46250</x:v>
      </x:c>
      <x:c r="L26" s="14" t="str">
        <x:v>Received</x:v>
      </x:c>
      <x:c r="M26" s="14" t="n">
        <x:v>8</x:v>
      </x:c>
      <x:c r="N26" s="14" t="str">
        <x:v>Order batch 3</x:v>
      </x:c>
    </x:row>
    <x:row r="27">
      <x:c r="A27" s="16" t="str">
        <x:v>SHP-0024</x:v>
      </x:c>
      <x:c r="B27" s="16" t="str">
        <x:v>TRK-02024</x:v>
      </x:c>
      <x:c r="C27" s="16" t="str">
        <x:v>Archipelago Cargo</x:v>
      </x:c>
      <x:c r="D27" s="16" t="str">
        <x:v>Surabaya</x:v>
      </x:c>
      <x:c r="E27" s="16" t="str">
        <x:v>Denpasar</x:v>
      </x:c>
      <x:c r="F27" s="16" t="str">
        <x:v>Express</x:v>
      </x:c>
      <x:c r="G27" s="18" t="n">
        <x:v>46246</x:v>
      </x:c>
      <x:c r="H27" s="18" t="n">
        <x:v>46248</x:v>
      </x:c>
      <x:c r="I27" s="18" t="str">
        <x:v>Delivered</x:v>
      </x:c>
      <x:c r="J27" s="18" t="n">
        <x:v>46248</x:v>
      </x:c>
      <x:c r="K27" s="18" t="n">
        <x:v>46248</x:v>
      </x:c>
      <x:c r="L27" s="16" t="str">
        <x:v>Received</x:v>
      </x:c>
      <x:c r="M27" s="16" t="n">
        <x:v>1</x:v>
      </x:c>
      <x:c r="N27" s="16" t="str">
        <x:v>Order batch 3</x:v>
      </x:c>
    </x:row>
    <x:row r="28">
      <x:c r="A28" s="14" t="str">
        <x:v>SHP-0025</x:v>
      </x:c>
      <x:c r="B28" s="14" t="str">
        <x:v>TRK-02025</x:v>
      </x:c>
      <x:c r="C28" s="14" t="str">
        <x:v>SwiftShip</x:v>
      </x:c>
      <x:c r="D28" s="14" t="str">
        <x:v>Jakarta</x:v>
      </x:c>
      <x:c r="E28" s="14" t="str">
        <x:v>Yogyakarta</x:v>
      </x:c>
      <x:c r="F28" s="14" t="str">
        <x:v>Standard</x:v>
      </x:c>
      <x:c r="G28" s="17" t="n">
        <x:v>46235</x:v>
      </x:c>
      <x:c r="H28" s="17" t="n">
        <x:v>46239</x:v>
      </x:c>
      <x:c r="I28" s="17" t="str">
        <x:v>In Transit</x:v>
      </x:c>
      <x:c r="J28" s="17"/>
      <x:c r="K28" s="17" t="n">
        <x:v>46249</x:v>
      </x:c>
      <x:c r="L28" s="14" t="str">
        <x:v>Pending</x:v>
      </x:c>
      <x:c r="M28" s="14" t="n">
        <x:v>2</x:v>
      </x:c>
      <x:c r="N28" s="14" t="str">
        <x:v>Order batch 3</x:v>
      </x:c>
    </x:row>
    <x:row r="29">
      <x:c r="A29" s="16" t="str">
        <x:v>SHP-0026</x:v>
      </x:c>
      <x:c r="B29" s="16" t="str">
        <x:v>TRK-02026</x:v>
      </x:c>
      <x:c r="C29" s="16" t="str">
        <x:v>Nusa Express</x:v>
      </x:c>
      <x:c r="D29" s="16" t="str">
        <x:v>Bandung</x:v>
      </x:c>
      <x:c r="E29" s="16" t="str">
        <x:v>Medan</x:v>
      </x:c>
      <x:c r="F29" s="16" t="str">
        <x:v>Express</x:v>
      </x:c>
      <x:c r="G29" s="18" t="n">
        <x:v>46236</x:v>
      </x:c>
      <x:c r="H29" s="18" t="n">
        <x:v>46238</x:v>
      </x:c>
      <x:c r="I29" s="18" t="str">
        <x:v>Delivered</x:v>
      </x:c>
      <x:c r="J29" s="18" t="n">
        <x:v>46238</x:v>
      </x:c>
      <x:c r="K29" s="18" t="n">
        <x:v>46250</x:v>
      </x:c>
      <x:c r="L29" s="16" t="str">
        <x:v>Received</x:v>
      </x:c>
      <x:c r="M29" s="16" t="n">
        <x:v>3</x:v>
      </x:c>
      <x:c r="N29" s="16" t="str">
        <x:v>Order batch 3</x:v>
      </x:c>
    </x:row>
    <x:row r="30">
      <x:c r="A30" s="14" t="str">
        <x:v>SHP-0027</x:v>
      </x:c>
      <x:c r="B30" s="14" t="str">
        <x:v>TRK-02027</x:v>
      </x:c>
      <x:c r="C30" s="14" t="str">
        <x:v>Archipelago Cargo</x:v>
      </x:c>
      <x:c r="D30" s="14" t="str">
        <x:v>Surabaya</x:v>
      </x:c>
      <x:c r="E30" s="14" t="str">
        <x:v>Makassar</x:v>
      </x:c>
      <x:c r="F30" s="14" t="str">
        <x:v>Standard</x:v>
      </x:c>
      <x:c r="G30" s="17" t="n">
        <x:v>46237</x:v>
      </x:c>
      <x:c r="H30" s="17" t="n">
        <x:v>46241</x:v>
      </x:c>
      <x:c r="I30" s="17" t="str">
        <x:v>Delivered</x:v>
      </x:c>
      <x:c r="J30" s="17" t="n">
        <x:v>46241</x:v>
      </x:c>
      <x:c r="K30" s="17" t="n">
        <x:v>46248</x:v>
      </x:c>
      <x:c r="L30" s="14" t="str">
        <x:v>Received</x:v>
      </x:c>
      <x:c r="M30" s="14" t="n">
        <x:v>4</x:v>
      </x:c>
      <x:c r="N30" s="14" t="str">
        <x:v>Order batch 3</x:v>
      </x:c>
    </x:row>
    <x:row r="31">
      <x:c r="A31" s="16" t="str">
        <x:v>SHP-0028</x:v>
      </x:c>
      <x:c r="B31" s="16" t="str">
        <x:v>TRK-02028</x:v>
      </x:c>
      <x:c r="C31" s="16" t="str">
        <x:v>SwiftShip</x:v>
      </x:c>
      <x:c r="D31" s="16" t="str">
        <x:v>Jakarta</x:v>
      </x:c>
      <x:c r="E31" s="16" t="str">
        <x:v>Semarang</x:v>
      </x:c>
      <x:c r="F31" s="16" t="str">
        <x:v>Express</x:v>
      </x:c>
      <x:c r="G31" s="18" t="n">
        <x:v>46238</x:v>
      </x:c>
      <x:c r="H31" s="18" t="n">
        <x:v>46240</x:v>
      </x:c>
      <x:c r="I31" s="18" t="str">
        <x:v>Delivered</x:v>
      </x:c>
      <x:c r="J31" s="18" t="n">
        <x:v>46242</x:v>
      </x:c>
      <x:c r="K31" s="18" t="n">
        <x:v>46249</x:v>
      </x:c>
      <x:c r="L31" s="16" t="str">
        <x:v>Received</x:v>
      </x:c>
      <x:c r="M31" s="16" t="n">
        <x:v>5</x:v>
      </x:c>
      <x:c r="N31" s="16" t="str">
        <x:v>Order batch 3</x:v>
      </x:c>
    </x:row>
    <x:row r="32">
      <x:c r="A32" s="14" t="str">
        <x:v>SHP-0029</x:v>
      </x:c>
      <x:c r="B32" s="14" t="str">
        <x:v>TRK-02029</x:v>
      </x:c>
      <x:c r="C32" s="14" t="str">
        <x:v>Nusa Express</x:v>
      </x:c>
      <x:c r="D32" s="14" t="str">
        <x:v>Bandung</x:v>
      </x:c>
      <x:c r="E32" s="14" t="str">
        <x:v>Denpasar</x:v>
      </x:c>
      <x:c r="F32" s="14" t="str">
        <x:v>Standard</x:v>
      </x:c>
      <x:c r="G32" s="17" t="n">
        <x:v>46239</x:v>
      </x:c>
      <x:c r="H32" s="17" t="n">
        <x:v>46243</x:v>
      </x:c>
      <x:c r="I32" s="17" t="str">
        <x:v>Delivered</x:v>
      </x:c>
      <x:c r="J32" s="17" t="n">
        <x:v>46243</x:v>
      </x:c>
      <x:c r="K32" s="17" t="n">
        <x:v>46250</x:v>
      </x:c>
      <x:c r="L32" s="14" t="str">
        <x:v>Received</x:v>
      </x:c>
      <x:c r="M32" s="14" t="n">
        <x:v>6</x:v>
      </x:c>
      <x:c r="N32" s="14" t="str">
        <x:v>Order batch 3</x:v>
      </x:c>
    </x:row>
    <x:row r="33">
      <x:c r="A33" s="16" t="str">
        <x:v>SHP-0030</x:v>
      </x:c>
      <x:c r="B33" s="16" t="str">
        <x:v>TRK-02030</x:v>
      </x:c>
      <x:c r="C33" s="16" t="str">
        <x:v>Archipelago Cargo</x:v>
      </x:c>
      <x:c r="D33" s="16" t="str">
        <x:v>Surabaya</x:v>
      </x:c>
      <x:c r="E33" s="16" t="str">
        <x:v>Yogyakarta</x:v>
      </x:c>
      <x:c r="F33" s="16" t="str">
        <x:v>Express</x:v>
      </x:c>
      <x:c r="G33" s="18" t="n">
        <x:v>46240</x:v>
      </x:c>
      <x:c r="H33" s="18" t="n">
        <x:v>46242</x:v>
      </x:c>
      <x:c r="I33" s="18" t="str">
        <x:v>In Transit</x:v>
      </x:c>
      <x:c r="J33" s="18"/>
      <x:c r="K33" s="18" t="n">
        <x:v>46248</x:v>
      </x:c>
      <x:c r="L33" s="16" t="str">
        <x:v>Pending</x:v>
      </x:c>
      <x:c r="M33" s="16" t="n">
        <x:v>7</x:v>
      </x:c>
      <x:c r="N33" s="16" t="str">
        <x:v>Order batch 3</x:v>
      </x:c>
    </x:row>
    <x:row r="34">
      <x:c r="A34" s="14" t="str">
        <x:v>SHP-0031</x:v>
      </x:c>
      <x:c r="B34" s="14" t="str">
        <x:v>TRK-02031</x:v>
      </x:c>
      <x:c r="C34" s="14" t="str">
        <x:v>SwiftShip</x:v>
      </x:c>
      <x:c r="D34" s="14" t="str">
        <x:v>Jakarta</x:v>
      </x:c>
      <x:c r="E34" s="14" t="str">
        <x:v>Medan</x:v>
      </x:c>
      <x:c r="F34" s="14" t="str">
        <x:v>Standard</x:v>
      </x:c>
      <x:c r="G34" s="17" t="n">
        <x:v>46241</x:v>
      </x:c>
      <x:c r="H34" s="17" t="n">
        <x:v>46245</x:v>
      </x:c>
      <x:c r="I34" s="17" t="str">
        <x:v>Delivered</x:v>
      </x:c>
      <x:c r="J34" s="17" t="n">
        <x:v>46245</x:v>
      </x:c>
      <x:c r="K34" s="17" t="n">
        <x:v>46249</x:v>
      </x:c>
      <x:c r="L34" s="14" t="str">
        <x:v>Received</x:v>
      </x:c>
      <x:c r="M34" s="14" t="n">
        <x:v>8</x:v>
      </x:c>
      <x:c r="N34" s="14" t="str">
        <x:v>Order batch 4</x:v>
      </x:c>
    </x:row>
    <x:row r="35">
      <x:c r="A35" s="16" t="str">
        <x:v>SHP-0032</x:v>
      </x:c>
      <x:c r="B35" s="16" t="str">
        <x:v>TRK-02032</x:v>
      </x:c>
      <x:c r="C35" s="16" t="str">
        <x:v>Nusa Express</x:v>
      </x:c>
      <x:c r="D35" s="16" t="str">
        <x:v>Bandung</x:v>
      </x:c>
      <x:c r="E35" s="16" t="str">
        <x:v>Makassar</x:v>
      </x:c>
      <x:c r="F35" s="16" t="str">
        <x:v>Express</x:v>
      </x:c>
      <x:c r="G35" s="18" t="n">
        <x:v>46242</x:v>
      </x:c>
      <x:c r="H35" s="18" t="n">
        <x:v>46244</x:v>
      </x:c>
      <x:c r="I35" s="18" t="str">
        <x:v>Delivered</x:v>
      </x:c>
      <x:c r="J35" s="18" t="n">
        <x:v>46244</x:v>
      </x:c>
      <x:c r="K35" s="18" t="n">
        <x:v>46250</x:v>
      </x:c>
      <x:c r="L35" s="16" t="str">
        <x:v>Received</x:v>
      </x:c>
      <x:c r="M35" s="16" t="n">
        <x:v>1</x:v>
      </x:c>
      <x:c r="N35" s="16" t="str">
        <x:v>Order batch 4</x:v>
      </x:c>
    </x:row>
    <x:row r="36">
      <x:c r="A36" s="14" t="str">
        <x:v>SHP-0033</x:v>
      </x:c>
      <x:c r="B36" s="14" t="str">
        <x:v>TRK-02033</x:v>
      </x:c>
      <x:c r="C36" s="14" t="str">
        <x:v>Archipelago Cargo</x:v>
      </x:c>
      <x:c r="D36" s="14" t="str">
        <x:v>Surabaya</x:v>
      </x:c>
      <x:c r="E36" s="14" t="str">
        <x:v>Semarang</x:v>
      </x:c>
      <x:c r="F36" s="14" t="str">
        <x:v>Standard</x:v>
      </x:c>
      <x:c r="G36" s="17" t="n">
        <x:v>46243</x:v>
      </x:c>
      <x:c r="H36" s="17" t="n">
        <x:v>46247</x:v>
      </x:c>
      <x:c r="I36" s="17" t="str">
        <x:v>Delivered</x:v>
      </x:c>
      <x:c r="J36" s="17" t="n">
        <x:v>46247</x:v>
      </x:c>
      <x:c r="K36" s="17" t="n">
        <x:v>46248</x:v>
      </x:c>
      <x:c r="L36" s="14" t="str">
        <x:v>Missing</x:v>
      </x:c>
      <x:c r="M36" s="14" t="n">
        <x:v>2</x:v>
      </x:c>
      <x:c r="N36" s="14" t="str">
        <x:v>Order batch 4</x:v>
      </x:c>
    </x:row>
    <x:row r="37">
      <x:c r="A37" s="16" t="str">
        <x:v>SHP-0034</x:v>
      </x:c>
      <x:c r="B37" s="16" t="str">
        <x:v>TRK-02034</x:v>
      </x:c>
      <x:c r="C37" s="16" t="str">
        <x:v>SwiftShip</x:v>
      </x:c>
      <x:c r="D37" s="16" t="str">
        <x:v>Jakarta</x:v>
      </x:c>
      <x:c r="E37" s="16" t="str">
        <x:v>Denpasar</x:v>
      </x:c>
      <x:c r="F37" s="16" t="str">
        <x:v>Express</x:v>
      </x:c>
      <x:c r="G37" s="18" t="n">
        <x:v>46244</x:v>
      </x:c>
      <x:c r="H37" s="18" t="n">
        <x:v>46246</x:v>
      </x:c>
      <x:c r="I37" s="18" t="str">
        <x:v>Delivered</x:v>
      </x:c>
      <x:c r="J37" s="18" t="n">
        <x:v>46246</x:v>
      </x:c>
      <x:c r="K37" s="18" t="n">
        <x:v>46249</x:v>
      </x:c>
      <x:c r="L37" s="16" t="str">
        <x:v>Received</x:v>
      </x:c>
      <x:c r="M37" s="16" t="n">
        <x:v>3</x:v>
      </x:c>
      <x:c r="N37" s="16" t="str">
        <x:v>Order batch 4</x:v>
      </x:c>
    </x:row>
    <x:row r="38">
      <x:c r="A38" s="14" t="str">
        <x:v>SHP-0035</x:v>
      </x:c>
      <x:c r="B38" s="14" t="str">
        <x:v>TRK-02035</x:v>
      </x:c>
      <x:c r="C38" s="14" t="str">
        <x:v>Nusa Express</x:v>
      </x:c>
      <x:c r="D38" s="14" t="str">
        <x:v>Bandung</x:v>
      </x:c>
      <x:c r="E38" s="14" t="str">
        <x:v>Yogyakarta</x:v>
      </x:c>
      <x:c r="F38" s="14" t="str">
        <x:v>Standard</x:v>
      </x:c>
      <x:c r="G38" s="17" t="n">
        <x:v>46245</x:v>
      </x:c>
      <x:c r="H38" s="17" t="n">
        <x:v>46249</x:v>
      </x:c>
      <x:c r="I38" s="17" t="str">
        <x:v>In Transit</x:v>
      </x:c>
      <x:c r="J38" s="17"/>
      <x:c r="K38" s="17" t="n">
        <x:v>46250</x:v>
      </x:c>
      <x:c r="L38" s="14" t="str">
        <x:v>Pending</x:v>
      </x:c>
      <x:c r="M38" s="14" t="n">
        <x:v>4</x:v>
      </x:c>
      <x:c r="N38" s="14" t="str">
        <x:v>Order batch 4</x:v>
      </x:c>
    </x:row>
    <x:row r="39">
      <x:c r="A39" s="16" t="str">
        <x:v>SHP-0036</x:v>
      </x:c>
      <x:c r="B39" s="16" t="str">
        <x:v>TRK-02036</x:v>
      </x:c>
      <x:c r="C39" s="16" t="str">
        <x:v>Archipelago Cargo</x:v>
      </x:c>
      <x:c r="D39" s="16" t="str">
        <x:v>Surabaya</x:v>
      </x:c>
      <x:c r="E39" s="16" t="str">
        <x:v>Medan</x:v>
      </x:c>
      <x:c r="F39" s="16" t="str">
        <x:v>Express</x:v>
      </x:c>
      <x:c r="G39" s="18" t="n">
        <x:v>46246</x:v>
      </x:c>
      <x:c r="H39" s="18" t="n">
        <x:v>46248</x:v>
      </x:c>
      <x:c r="I39" s="18" t="str">
        <x:v>Delivered</x:v>
      </x:c>
      <x:c r="J39" s="18" t="n">
        <x:v>46248</x:v>
      </x:c>
      <x:c r="K39" s="18" t="n">
        <x:v>46248</x:v>
      </x:c>
      <x:c r="L39" s="16" t="str">
        <x:v>Received</x:v>
      </x:c>
      <x:c r="M39" s="16" t="n">
        <x:v>5</x:v>
      </x:c>
      <x:c r="N39" s="16" t="str">
        <x:v>Order batch 4</x:v>
      </x:c>
    </x:row>
    <x:row r="40">
      <x:c r="A40" s="14" t="str">
        <x:v>SHP-0037</x:v>
      </x:c>
      <x:c r="B40" s="14" t="str">
        <x:v>TRK-02037</x:v>
      </x:c>
      <x:c r="C40" s="14" t="str">
        <x:v>SwiftShip</x:v>
      </x:c>
      <x:c r="D40" s="14" t="str">
        <x:v>Jakarta</x:v>
      </x:c>
      <x:c r="E40" s="14" t="str">
        <x:v>Makassar</x:v>
      </x:c>
      <x:c r="F40" s="14" t="str">
        <x:v>Standard</x:v>
      </x:c>
      <x:c r="G40" s="17" t="n">
        <x:v>46235</x:v>
      </x:c>
      <x:c r="H40" s="17" t="n">
        <x:v>46239</x:v>
      </x:c>
      <x:c r="I40" s="17" t="str">
        <x:v>Delivered</x:v>
      </x:c>
      <x:c r="J40" s="17" t="n">
        <x:v>46239</x:v>
      </x:c>
      <x:c r="K40" s="17" t="n">
        <x:v>46249</x:v>
      </x:c>
      <x:c r="L40" s="14" t="str">
        <x:v>Received</x:v>
      </x:c>
      <x:c r="M40" s="14" t="n">
        <x:v>6</x:v>
      </x:c>
      <x:c r="N40" s="14" t="str">
        <x:v>Order batch 4</x:v>
      </x:c>
    </x:row>
    <x:row r="41">
      <x:c r="A41" s="16" t="str">
        <x:v>SHP-0038</x:v>
      </x:c>
      <x:c r="B41" s="16" t="str">
        <x:v>TRK-02038</x:v>
      </x:c>
      <x:c r="C41" s="16" t="str">
        <x:v>Nusa Express</x:v>
      </x:c>
      <x:c r="D41" s="16" t="str">
        <x:v>Bandung</x:v>
      </x:c>
      <x:c r="E41" s="16" t="str">
        <x:v>Semarang</x:v>
      </x:c>
      <x:c r="F41" s="16" t="str">
        <x:v>Express</x:v>
      </x:c>
      <x:c r="G41" s="18" t="n">
        <x:v>46236</x:v>
      </x:c>
      <x:c r="H41" s="18" t="n">
        <x:v>46238</x:v>
      </x:c>
      <x:c r="I41" s="18" t="str">
        <x:v>Delivered</x:v>
      </x:c>
      <x:c r="J41" s="18" t="n">
        <x:v>46238</x:v>
      </x:c>
      <x:c r="K41" s="18" t="n">
        <x:v>46250</x:v>
      </x:c>
      <x:c r="L41" s="16" t="str">
        <x:v>Received</x:v>
      </x:c>
      <x:c r="M41" s="16" t="n">
        <x:v>7</x:v>
      </x:c>
      <x:c r="N41" s="16" t="str">
        <x:v>Order batch 4</x:v>
      </x:c>
    </x:row>
    <x:row r="42">
      <x:c r="A42" s="14" t="str">
        <x:v>SHP-0039</x:v>
      </x:c>
      <x:c r="B42" s="14" t="str">
        <x:v>TRK-02039</x:v>
      </x:c>
      <x:c r="C42" s="14" t="str">
        <x:v>Archipelago Cargo</x:v>
      </x:c>
      <x:c r="D42" s="14" t="str">
        <x:v>Surabaya</x:v>
      </x:c>
      <x:c r="E42" s="14" t="str">
        <x:v>Denpasar</x:v>
      </x:c>
      <x:c r="F42" s="14" t="str">
        <x:v>Standard</x:v>
      </x:c>
      <x:c r="G42" s="17" t="n">
        <x:v>46237</x:v>
      </x:c>
      <x:c r="H42" s="17" t="n">
        <x:v>46241</x:v>
      </x:c>
      <x:c r="I42" s="17" t="str">
        <x:v>Delivered</x:v>
      </x:c>
      <x:c r="J42" s="17" t="n">
        <x:v>46241</x:v>
      </x:c>
      <x:c r="K42" s="17" t="n">
        <x:v>46248</x:v>
      </x:c>
      <x:c r="L42" s="14" t="str">
        <x:v>Received</x:v>
      </x:c>
      <x:c r="M42" s="14" t="n">
        <x:v>8</x:v>
      </x:c>
      <x:c r="N42" s="14" t="str">
        <x:v>Order batch 4</x:v>
      </x:c>
    </x:row>
    <x:row r="43">
      <x:c r="A43" s="16" t="str">
        <x:v>SHP-0040</x:v>
      </x:c>
      <x:c r="B43" s="16" t="str">
        <x:v>TRK-02040</x:v>
      </x:c>
      <x:c r="C43" s="16" t="str">
        <x:v>SwiftShip</x:v>
      </x:c>
      <x:c r="D43" s="16" t="str">
        <x:v>Jakarta</x:v>
      </x:c>
      <x:c r="E43" s="16" t="str">
        <x:v>Yogyakarta</x:v>
      </x:c>
      <x:c r="F43" s="16" t="str">
        <x:v>Express</x:v>
      </x:c>
      <x:c r="G43" s="18" t="n">
        <x:v>46238</x:v>
      </x:c>
      <x:c r="H43" s="18" t="n">
        <x:v>46240</x:v>
      </x:c>
      <x:c r="I43" s="18" t="str">
        <x:v>In Transit</x:v>
      </x:c>
      <x:c r="J43" s="18"/>
      <x:c r="K43" s="18" t="n">
        <x:v>46249</x:v>
      </x:c>
      <x:c r="L43" s="16" t="str">
        <x:v>Pending</x:v>
      </x:c>
      <x:c r="M43" s="16" t="n">
        <x:v>1</x:v>
      </x:c>
      <x:c r="N43" s="16" t="str">
        <x:v>Order batch 4</x:v>
      </x:c>
    </x:row>
    <x:row r="44">
      <x:c r="A44" s="14" t="str">
        <x:v>SHP-0041</x:v>
      </x:c>
      <x:c r="B44" s="14" t="str">
        <x:v>TRK-02041</x:v>
      </x:c>
      <x:c r="C44" s="14" t="str">
        <x:v>Nusa Express</x:v>
      </x:c>
      <x:c r="D44" s="14" t="str">
        <x:v>Bandung</x:v>
      </x:c>
      <x:c r="E44" s="14" t="str">
        <x:v>Medan</x:v>
      </x:c>
      <x:c r="F44" s="14" t="str">
        <x:v>Standard</x:v>
      </x:c>
      <x:c r="G44" s="17" t="n">
        <x:v>46239</x:v>
      </x:c>
      <x:c r="H44" s="17" t="n">
        <x:v>46243</x:v>
      </x:c>
      <x:c r="I44" s="17" t="str">
        <x:v>Delivered</x:v>
      </x:c>
      <x:c r="J44" s="17" t="n">
        <x:v>46243</x:v>
      </x:c>
      <x:c r="K44" s="17" t="n">
        <x:v>46250</x:v>
      </x:c>
      <x:c r="L44" s="14" t="str">
        <x:v>Received</x:v>
      </x:c>
      <x:c r="M44" s="14" t="n">
        <x:v>2</x:v>
      </x:c>
      <x:c r="N44" s="14" t="str">
        <x:v>Order batch 5</x:v>
      </x:c>
    </x:row>
    <x:row r="45">
      <x:c r="A45" s="16" t="str">
        <x:v>SHP-0042</x:v>
      </x:c>
      <x:c r="B45" s="16" t="str">
        <x:v>TRK-02042</x:v>
      </x:c>
      <x:c r="C45" s="16" t="str">
        <x:v>Archipelago Cargo</x:v>
      </x:c>
      <x:c r="D45" s="16" t="str">
        <x:v>Surabaya</x:v>
      </x:c>
      <x:c r="E45" s="16" t="str">
        <x:v>Makassar</x:v>
      </x:c>
      <x:c r="F45" s="16" t="str">
        <x:v>Express</x:v>
      </x:c>
      <x:c r="G45" s="18" t="n">
        <x:v>46240</x:v>
      </x:c>
      <x:c r="H45" s="18" t="n">
        <x:v>46242</x:v>
      </x:c>
      <x:c r="I45" s="18" t="str">
        <x:v>Delivered</x:v>
      </x:c>
      <x:c r="J45" s="18" t="n">
        <x:v>46244</x:v>
      </x:c>
      <x:c r="K45" s="18" t="n">
        <x:v>46248</x:v>
      </x:c>
      <x:c r="L45" s="16" t="str">
        <x:v>Received</x:v>
      </x:c>
      <x:c r="M45" s="16" t="n">
        <x:v>3</x:v>
      </x:c>
      <x:c r="N45" s="16" t="str">
        <x:v>Order batch 5</x:v>
      </x:c>
    </x:row>
    <x:row r="46">
      <x:c r="A46" s="14" t="str">
        <x:v>SHP-0043</x:v>
      </x:c>
      <x:c r="B46" s="14" t="str">
        <x:v>TRK-02043</x:v>
      </x:c>
      <x:c r="C46" s="14" t="str">
        <x:v>SwiftShip</x:v>
      </x:c>
      <x:c r="D46" s="14" t="str">
        <x:v>Jakarta</x:v>
      </x:c>
      <x:c r="E46" s="14" t="str">
        <x:v>Semarang</x:v>
      </x:c>
      <x:c r="F46" s="14" t="str">
        <x:v>Standard</x:v>
      </x:c>
      <x:c r="G46" s="17" t="n">
        <x:v>46241</x:v>
      </x:c>
      <x:c r="H46" s="17" t="n">
        <x:v>46245</x:v>
      </x:c>
      <x:c r="I46" s="17" t="str">
        <x:v>Delivered</x:v>
      </x:c>
      <x:c r="J46" s="17" t="n">
        <x:v>46245</x:v>
      </x:c>
      <x:c r="K46" s="17" t="n">
        <x:v>46249</x:v>
      </x:c>
      <x:c r="L46" s="14" t="str">
        <x:v>Received</x:v>
      </x:c>
      <x:c r="M46" s="14" t="n">
        <x:v>4</x:v>
      </x:c>
      <x:c r="N46" s="14" t="str">
        <x:v>Order batch 5</x:v>
      </x:c>
    </x:row>
    <x:row r="47">
      <x:c r="A47" s="16" t="str">
        <x:v>SHP-0044</x:v>
      </x:c>
      <x:c r="B47" s="16" t="str">
        <x:v>TRK-02044</x:v>
      </x:c>
      <x:c r="C47" s="16" t="str">
        <x:v>Nusa Express</x:v>
      </x:c>
      <x:c r="D47" s="16" t="str">
        <x:v>Bandung</x:v>
      </x:c>
      <x:c r="E47" s="16" t="str">
        <x:v>Denpasar</x:v>
      </x:c>
      <x:c r="F47" s="16" t="str">
        <x:v>Express</x:v>
      </x:c>
      <x:c r="G47" s="18" t="n">
        <x:v>46242</x:v>
      </x:c>
      <x:c r="H47" s="18" t="n">
        <x:v>46244</x:v>
      </x:c>
      <x:c r="I47" s="18" t="str">
        <x:v>Delivered</x:v>
      </x:c>
      <x:c r="J47" s="18" t="n">
        <x:v>46244</x:v>
      </x:c>
      <x:c r="K47" s="18" t="n">
        <x:v>46250</x:v>
      </x:c>
      <x:c r="L47" s="16" t="str">
        <x:v>Missing</x:v>
      </x:c>
      <x:c r="M47" s="16" t="n">
        <x:v>5</x:v>
      </x:c>
      <x:c r="N47" s="16" t="str">
        <x:v>Order batch 5</x:v>
      </x:c>
    </x:row>
    <x:row r="48">
      <x:c r="A48" s="14" t="str">
        <x:v>SHP-0045</x:v>
      </x:c>
      <x:c r="B48" s="14" t="str">
        <x:v>TRK-02045</x:v>
      </x:c>
      <x:c r="C48" s="14" t="str">
        <x:v>Archipelago Cargo</x:v>
      </x:c>
      <x:c r="D48" s="14" t="str">
        <x:v>Surabaya</x:v>
      </x:c>
      <x:c r="E48" s="14" t="str">
        <x:v>Yogyakarta</x:v>
      </x:c>
      <x:c r="F48" s="14" t="str">
        <x:v>Standard</x:v>
      </x:c>
      <x:c r="G48" s="17" t="n">
        <x:v>46243</x:v>
      </x:c>
      <x:c r="H48" s="17" t="n">
        <x:v>46247</x:v>
      </x:c>
      <x:c r="I48" s="17" t="str">
        <x:v>In Transit</x:v>
      </x:c>
      <x:c r="J48" s="17"/>
      <x:c r="K48" s="17" t="n">
        <x:v>46248</x:v>
      </x:c>
      <x:c r="L48" s="14" t="str">
        <x:v>Pending</x:v>
      </x:c>
      <x:c r="M48" s="14" t="n">
        <x:v>6</x:v>
      </x:c>
      <x:c r="N48" s="14" t="str">
        <x:v>Order batch 5</x:v>
      </x:c>
    </x:row>
    <x:row r="49">
      <x:c r="A49" s="16" t="str">
        <x:v>SHP-0046</x:v>
      </x:c>
      <x:c r="B49" s="16" t="str">
        <x:v>TRK-02046</x:v>
      </x:c>
      <x:c r="C49" s="16" t="str">
        <x:v>SwiftShip</x:v>
      </x:c>
      <x:c r="D49" s="16" t="str">
        <x:v>Jakarta</x:v>
      </x:c>
      <x:c r="E49" s="16" t="str">
        <x:v>Medan</x:v>
      </x:c>
      <x:c r="F49" s="16" t="str">
        <x:v>Express</x:v>
      </x:c>
      <x:c r="G49" s="18" t="n">
        <x:v>46244</x:v>
      </x:c>
      <x:c r="H49" s="18" t="n">
        <x:v>46246</x:v>
      </x:c>
      <x:c r="I49" s="18" t="str">
        <x:v>Delivered</x:v>
      </x:c>
      <x:c r="J49" s="18" t="n">
        <x:v>46246</x:v>
      </x:c>
      <x:c r="K49" s="18" t="n">
        <x:v>46249</x:v>
      </x:c>
      <x:c r="L49" s="16" t="str">
        <x:v>Received</x:v>
      </x:c>
      <x:c r="M49" s="16" t="n">
        <x:v>7</x:v>
      </x:c>
      <x:c r="N49" s="16" t="str">
        <x:v>Order batch 5</x:v>
      </x:c>
    </x:row>
    <x:row r="50">
      <x:c r="A50" s="14" t="str">
        <x:v>SHP-0047</x:v>
      </x:c>
      <x:c r="B50" s="14" t="str">
        <x:v>TRK-02047</x:v>
      </x:c>
      <x:c r="C50" s="14" t="str">
        <x:v>Nusa Express</x:v>
      </x:c>
      <x:c r="D50" s="14" t="str">
        <x:v>Bandung</x:v>
      </x:c>
      <x:c r="E50" s="14" t="str">
        <x:v>Makassar</x:v>
      </x:c>
      <x:c r="F50" s="14" t="str">
        <x:v>Standard</x:v>
      </x:c>
      <x:c r="G50" s="17" t="n">
        <x:v>46245</x:v>
      </x:c>
      <x:c r="H50" s="17" t="n">
        <x:v>46249</x:v>
      </x:c>
      <x:c r="I50" s="17" t="str">
        <x:v>Delivered</x:v>
      </x:c>
      <x:c r="J50" s="17" t="n">
        <x:v>46249</x:v>
      </x:c>
      <x:c r="K50" s="17" t="n">
        <x:v>46250</x:v>
      </x:c>
      <x:c r="L50" s="14" t="str">
        <x:v>Received</x:v>
      </x:c>
      <x:c r="M50" s="14" t="n">
        <x:v>8</x:v>
      </x:c>
      <x:c r="N50" s="14" t="str">
        <x:v>Order batch 5</x:v>
      </x:c>
    </x:row>
    <x:row r="51">
      <x:c r="A51" s="16" t="str">
        <x:v>SHP-0048</x:v>
      </x:c>
      <x:c r="B51" s="16" t="str">
        <x:v>TRK-02048</x:v>
      </x:c>
      <x:c r="C51" s="16" t="str">
        <x:v>Archipelago Cargo</x:v>
      </x:c>
      <x:c r="D51" s="16" t="str">
        <x:v>Surabaya</x:v>
      </x:c>
      <x:c r="E51" s="16" t="str">
        <x:v>Semarang</x:v>
      </x:c>
      <x:c r="F51" s="16" t="str">
        <x:v>Express</x:v>
      </x:c>
      <x:c r="G51" s="18" t="n">
        <x:v>46246</x:v>
      </x:c>
      <x:c r="H51" s="18" t="n">
        <x:v>46248</x:v>
      </x:c>
      <x:c r="I51" s="18" t="str">
        <x:v>Delivered</x:v>
      </x:c>
      <x:c r="J51" s="18" t="n">
        <x:v>46248</x:v>
      </x:c>
      <x:c r="K51" s="18" t="n">
        <x:v>46248</x:v>
      </x:c>
      <x:c r="L51" s="16" t="str">
        <x:v>Received</x:v>
      </x:c>
      <x:c r="M51" s="16" t="n">
        <x:v>1</x:v>
      </x:c>
      <x:c r="N51" s="16" t="str">
        <x:v>Order batch 5</x:v>
      </x:c>
    </x:row>
    <x:row r="52">
      <x:c r="A52" s="14" t="str">
        <x:v>SHP-0049</x:v>
      </x:c>
      <x:c r="B52" s="14" t="str">
        <x:v>TRK-02049</x:v>
      </x:c>
      <x:c r="C52" s="14" t="str">
        <x:v>SwiftShip</x:v>
      </x:c>
      <x:c r="D52" s="14" t="str">
        <x:v>Jakarta</x:v>
      </x:c>
      <x:c r="E52" s="14" t="str">
        <x:v>Denpasar</x:v>
      </x:c>
      <x:c r="F52" s="14" t="str">
        <x:v>Standard</x:v>
      </x:c>
      <x:c r="G52" s="17" t="n">
        <x:v>46235</x:v>
      </x:c>
      <x:c r="H52" s="17" t="n">
        <x:v>46239</x:v>
      </x:c>
      <x:c r="I52" s="17" t="str">
        <x:v>Delivered</x:v>
      </x:c>
      <x:c r="J52" s="17" t="n">
        <x:v>46241</x:v>
      </x:c>
      <x:c r="K52" s="17" t="n">
        <x:v>46249</x:v>
      </x:c>
      <x:c r="L52" s="14" t="str">
        <x:v>Received</x:v>
      </x:c>
      <x:c r="M52" s="14" t="n">
        <x:v>2</x:v>
      </x:c>
      <x:c r="N52" s="14" t="str">
        <x:v>Order batch 5</x:v>
      </x:c>
    </x:row>
    <x:row r="53">
      <x:c r="A53" s="16" t="str">
        <x:v>SHP-0050</x:v>
      </x:c>
      <x:c r="B53" s="16" t="str">
        <x:v>TRK-02050</x:v>
      </x:c>
      <x:c r="C53" s="16" t="str">
        <x:v>Nusa Express</x:v>
      </x:c>
      <x:c r="D53" s="16" t="str">
        <x:v>Bandung</x:v>
      </x:c>
      <x:c r="E53" s="16" t="str">
        <x:v>Yogyakarta</x:v>
      </x:c>
      <x:c r="F53" s="16" t="str">
        <x:v>Express</x:v>
      </x:c>
      <x:c r="G53" s="18" t="n">
        <x:v>46236</x:v>
      </x:c>
      <x:c r="H53" s="18" t="n">
        <x:v>46238</x:v>
      </x:c>
      <x:c r="I53" s="18" t="str">
        <x:v>In Transit</x:v>
      </x:c>
      <x:c r="J53" s="18"/>
      <x:c r="K53" s="18" t="n">
        <x:v>46250</x:v>
      </x:c>
      <x:c r="L53" s="16" t="str">
        <x:v>Pending</x:v>
      </x:c>
      <x:c r="M53" s="16" t="n">
        <x:v>3</x:v>
      </x:c>
      <x:c r="N53" s="16" t="str">
        <x:v>Order batch 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6" customHeight="1">
      <x:c r="A1" s="3" t="str">
        <x:v>PROJ-007 | CARRIER &amp; SLA REFERENCE</x:v>
      </x:c>
      <x:c r="B1" s="3"/>
      <x:c r="C1" s="3"/>
      <x:c r="D1" s="3"/>
      <x:c r="E1" s="3"/>
      <x:c r="F1" s="3"/>
      <x:c r="G1" s="3"/>
    </x:row>
    <x:row r="2" ht="25" customHeight="1">
      <x:c r="A2" s="6" t="str">
        <x:v>Approved carriers • service-level targets • controlled shipment statuses</x:v>
      </x:c>
      <x:c r="B2" s="6"/>
      <x:c r="C2" s="6"/>
      <x:c r="D2" s="6"/>
      <x:c r="E2" s="6"/>
      <x:c r="F2" s="6"/>
      <x:c r="G2" s="6"/>
    </x:row>
    <x:row r="4" ht="32" customHeight="1">
      <x:c r="A4" s="12" t="str">
        <x:v>Carrier</x:v>
      </x:c>
      <x:c r="B4" s="12" t="str">
        <x:v>Standard SLA Days</x:v>
      </x:c>
      <x:c r="C4" s="12" t="str">
        <x:v>Express SLA Days</x:v>
      </x:c>
      <x:c r="E4" s="12" t="str">
        <x:v>Status Type</x:v>
      </x:c>
      <x:c r="F4" s="12" t="str">
        <x:v>Approved Value</x:v>
      </x:c>
    </x:row>
    <x:row r="5">
      <x:c r="A5" s="19" t="str">
        <x:v>SwiftShip</x:v>
      </x:c>
      <x:c r="B5" s="19" t="n">
        <x:v>4</x:v>
      </x:c>
      <x:c r="C5" s="19" t="n">
        <x:v>2</x:v>
      </x:c>
      <x:c r="E5" s="19" t="str">
        <x:v>Shipment</x:v>
      </x:c>
      <x:c r="F5" s="19" t="str">
        <x:v>Delivered</x:v>
      </x:c>
    </x:row>
    <x:row r="6">
      <x:c r="A6" s="19" t="str">
        <x:v>Nusa Express</x:v>
      </x:c>
      <x:c r="B6" s="19" t="n">
        <x:v>4</x:v>
      </x:c>
      <x:c r="C6" s="19" t="n">
        <x:v>2</x:v>
      </x:c>
      <x:c r="E6" s="19" t="str">
        <x:v>Shipment</x:v>
      </x:c>
      <x:c r="F6" s="19" t="str">
        <x:v>In Transit</x:v>
      </x:c>
    </x:row>
    <x:row r="7">
      <x:c r="A7" s="19" t="str">
        <x:v>Archipelago Cargo</x:v>
      </x:c>
      <x:c r="B7" s="19" t="n">
        <x:v>5</x:v>
      </x:c>
      <x:c r="C7" s="19" t="n">
        <x:v>3</x:v>
      </x:c>
      <x:c r="E7" s="19" t="str">
        <x:v>POD</x:v>
      </x:c>
      <x:c r="F7" s="19" t="str">
        <x:v>Received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42" hidden="0" customWidth="1"/>
  </x:cols>
  <x:sheetData>
    <x:row r="1" ht="36" customHeight="1">
      <x:c r="A1" s="3" t="str">
        <x:v>PROJ-007 | FORMULA-DRIVEN SHIPMENT VALIDATION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5" customHeight="1">
      <x:c r="A2" s="6" t="str">
        <x:v>Carrier SLA • tracking integrity • delivery timing • proof-of-delivery controls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 ht="32" customHeight="1">
      <x:c r="A3" s="12" t="str">
        <x:v>Raw Row</x:v>
      </x:c>
      <x:c r="B3" s="12" t="str">
        <x:v>Shipment ID</x:v>
      </x:c>
      <x:c r="C3" s="12" t="str">
        <x:v>Tracking ID</x:v>
      </x:c>
      <x:c r="D3" s="12" t="str">
        <x:v>Duplicate Count</x:v>
      </x:c>
      <x:c r="E3" s="12" t="str">
        <x:v>Carrier</x:v>
      </x:c>
      <x:c r="F3" s="12" t="str">
        <x:v>Origin</x:v>
      </x:c>
      <x:c r="G3" s="12" t="str">
        <x:v>Destination</x:v>
      </x:c>
      <x:c r="H3" s="12" t="str">
        <x:v>Service</x:v>
      </x:c>
      <x:c r="I3" s="12" t="str">
        <x:v>Ship Date</x:v>
      </x:c>
      <x:c r="J3" s="12" t="str">
        <x:v>Promised Date</x:v>
      </x:c>
      <x:c r="K3" s="12" t="str">
        <x:v>Status</x:v>
      </x:c>
      <x:c r="L3" s="12" t="str">
        <x:v>Actual Delivery</x:v>
      </x:c>
      <x:c r="M3" s="12" t="str">
        <x:v>Last Update</x:v>
      </x:c>
      <x:c r="N3" s="12" t="str">
        <x:v>POD</x:v>
      </x:c>
      <x:c r="O3" s="12" t="str">
        <x:v>Packages</x:v>
      </x:c>
      <x:c r="P3" s="12" t="str">
        <x:v>Tracking Check</x:v>
      </x:c>
      <x:c r="Q3" s="12" t="str">
        <x:v>Carrier Check</x:v>
      </x:c>
      <x:c r="R3" s="12" t="str">
        <x:v>SLA / Date Check</x:v>
      </x:c>
      <x:c r="S3" s="12" t="str">
        <x:v>Delivery Check</x:v>
      </x:c>
      <x:c r="T3" s="12" t="str">
        <x:v>POD Check</x:v>
      </x:c>
      <x:c r="U3" s="12" t="str">
        <x:v>Stale Check</x:v>
      </x:c>
      <x:c r="V3" s="12" t="str">
        <x:v>Issue Count</x:v>
      </x:c>
      <x:c r="W3" s="12" t="str">
        <x:v>Review Status</x:v>
      </x:c>
      <x:c r="X3" s="12" t="str">
        <x:v>Recommended Written Action</x:v>
      </x:c>
    </x:row>
    <x:row r="4">
      <x:c r="A4" s="21" t="n">
        <x:v>4</x:v>
      </x:c>
      <x:c r="B4" s="21" t="str">
        <x:f>IF('Raw Shipments'!A4="","",'Raw Shipments'!A4)</x:f>
        <x:v>SHP-0001</x:v>
      </x:c>
      <x:c r="C4" s="21" t="str">
        <x:f>IF('Raw Shipments'!B4="","",'Raw Shipments'!B4)</x:f>
        <x:v>TRK-02001</x:v>
      </x:c>
      <x:c r="D4" s="21" t="n">
        <x:f>COUNTIF('Raw Shipments'!$B$4:$B$53,C4)</x:f>
        <x:v>1</x:v>
      </x:c>
      <x:c r="E4" s="21" t="str">
        <x:f>IF('Raw Shipments'!C4="","",'Raw Shipments'!C4)</x:f>
        <x:v>SwiftShip</x:v>
      </x:c>
      <x:c r="F4" s="21" t="str">
        <x:f>IF('Raw Shipments'!D4="","",'Raw Shipments'!D4)</x:f>
        <x:v>Jakarta</x:v>
      </x:c>
      <x:c r="G4" s="21" t="str">
        <x:f>IF('Raw Shipments'!E4="","",'Raw Shipments'!E4)</x:f>
        <x:v>Medan</x:v>
      </x:c>
      <x:c r="H4" s="21" t="str">
        <x:f>IF('Raw Shipments'!F4="","",'Raw Shipments'!F4)</x:f>
        <x:v>Standard</x:v>
      </x:c>
      <x:c r="I4" s="22" t="n">
        <x:f>IF('Raw Shipments'!G4="","",'Raw Shipments'!G4)</x:f>
        <x:v>46235</x:v>
      </x:c>
      <x:c r="J4" s="22" t="n">
        <x:f>IF('Raw Shipments'!H4="","",'Raw Shipments'!H4)</x:f>
        <x:v>46239</x:v>
      </x:c>
      <x:c r="K4" s="22" t="str">
        <x:f>IF('Raw Shipments'!I4="","",'Raw Shipments'!I4)</x:f>
        <x:v>Delivered</x:v>
      </x:c>
      <x:c r="L4" s="22" t="n">
        <x:f>IF('Raw Shipments'!J4="","",'Raw Shipments'!J4)</x:f>
        <x:v>46239</x:v>
      </x:c>
      <x:c r="M4" s="22" t="n">
        <x:f>IF('Raw Shipments'!K4="","",'Raw Shipments'!K4)</x:f>
        <x:v>46249</x:v>
      </x:c>
      <x:c r="N4" s="21" t="str">
        <x:f>IF('Raw Shipments'!L4="","",'Raw Shipments'!L4)</x:f>
        <x:v>Received</x:v>
      </x:c>
      <x:c r="O4" s="21" t="n">
        <x:f>IF('Raw Shipments'!M4="","",'Raw Shipments'!M4)</x:f>
        <x:v>2</x:v>
      </x:c>
      <x:c r="P4" s="21" t="str">
        <x:f>IF(D4&gt;1,"Duplicate Tracking ID","OK")</x:f>
        <x:v>OK</x:v>
      </x:c>
      <x:c r="Q4" s="21" t="str">
        <x:f>IF(E4="Unknown Carrier","Invalid Carrier","OK")</x:f>
        <x:v>OK</x:v>
      </x:c>
      <x:c r="R4" s="21" t="str">
        <x:f>IF(Q4&lt;&gt;"OK","Not Tested",IF(OR(J4&lt;&gt;I4+IF(H4="Standard",VLOOKUP(E4,'SLA Reference'!$A$5:$C$7,2,FALSE),VLOOKUP(E4,'SLA Reference'!$A$5:$C$7,3,FALSE)),AND(L4&lt;&gt;"",L4&lt;I4)),"Invalid SLA / Date","OK"))</x:f>
        <x:v>OK</x:v>
      </x:c>
      <x:c r="S4" s="21" t="str">
        <x:f>IF(AND(K4="Delivered",L4&gt;J4),"Late Delivery",IF(AND(K4="In Transit",J4&lt;DATE(2026,8,17)),"Overdue In Transit","OK"))</x:f>
        <x:v>OK</x:v>
      </x:c>
      <x:c r="T4" s="21" t="str">
        <x:f>IF(AND(K4="Delivered",N4&lt;&gt;"Received"),"Missing POD","OK")</x:f>
        <x:v>OK</x:v>
      </x:c>
      <x:c r="U4" s="21" t="str">
        <x:f>IF(AND(K4="In Transit",DATE(2026,8,17)-M4&gt;2),"Stale Update","OK")</x:f>
        <x:v>OK</x:v>
      </x:c>
      <x:c r="V4" s="21" t="n">
        <x:f>IF(P4&lt;&gt;"OK",1,0)+IF(Q4&lt;&gt;"OK",1,0)+IF(OR(R4="OK",R4="Not Tested"),0,1)+IF(S4&lt;&gt;"OK",1,0)+IF(T4&lt;&gt;"OK",1,0)+IF(U4&lt;&gt;"OK",1,0)</x:f>
        <x:v>0</x:v>
      </x:c>
      <x:c r="W4" s="21" t="str">
        <x:f>IF(V4=0,"Ready",IF(OR(P4&lt;&gt;"OK",Q4&lt;&gt;"OK"),"High Priority Review","Review"))</x:f>
        <x:v>Ready</x:v>
      </x:c>
      <x:c r="X4" s="21" t="str">
        <x:f>IF(P4&lt;&gt;"OK","Verify tracking ID using carrier portal",IF(Q4&lt;&gt;"OK","Confirm approved carrier",IF(R4&lt;&gt;"OK","Verify carrier SLA and shipment dates",IF(S4&lt;&gt;"OK","Send written delivery escalation",IF(T4&lt;&gt;"OK","Request proof of delivery",IF(U4&lt;&gt;"OK","Request written tracking update","No action required"))))))</x:f>
        <x:v>No action required</x:v>
      </x:c>
    </x:row>
    <x:row r="5">
      <x:c r="A5" s="21" t="n">
        <x:v>5</x:v>
      </x:c>
      <x:c r="B5" s="21" t="str">
        <x:f>IF('Raw Shipments'!A5="","",'Raw Shipments'!A5)</x:f>
        <x:v>SHP-0002</x:v>
      </x:c>
      <x:c r="C5" s="21" t="str">
        <x:f>IF('Raw Shipments'!B5="","",'Raw Shipments'!B5)</x:f>
        <x:v>TRK-02002</x:v>
      </x:c>
      <x:c r="D5" s="21" t="n">
        <x:f>COUNTIF('Raw Shipments'!$B$4:$B$53,C5)</x:f>
        <x:v>1</x:v>
      </x:c>
      <x:c r="E5" s="21" t="str">
        <x:f>IF('Raw Shipments'!C5="","",'Raw Shipments'!C5)</x:f>
        <x:v>Nusa Express</x:v>
      </x:c>
      <x:c r="F5" s="21" t="str">
        <x:f>IF('Raw Shipments'!D5="","",'Raw Shipments'!D5)</x:f>
        <x:v>Bandung</x:v>
      </x:c>
      <x:c r="G5" s="21" t="str">
        <x:f>IF('Raw Shipments'!E5="","",'Raw Shipments'!E5)</x:f>
        <x:v>Makassar</x:v>
      </x:c>
      <x:c r="H5" s="21" t="str">
        <x:f>IF('Raw Shipments'!F5="","",'Raw Shipments'!F5)</x:f>
        <x:v>Express</x:v>
      </x:c>
      <x:c r="I5" s="22" t="n">
        <x:f>IF('Raw Shipments'!G5="","",'Raw Shipments'!G5)</x:f>
        <x:v>46236</x:v>
      </x:c>
      <x:c r="J5" s="22" t="n">
        <x:f>IF('Raw Shipments'!H5="","",'Raw Shipments'!H5)</x:f>
        <x:v>46238</x:v>
      </x:c>
      <x:c r="K5" s="22" t="str">
        <x:f>IF('Raw Shipments'!I5="","",'Raw Shipments'!I5)</x:f>
        <x:v>Delivered</x:v>
      </x:c>
      <x:c r="L5" s="22" t="n">
        <x:f>IF('Raw Shipments'!J5="","",'Raw Shipments'!J5)</x:f>
        <x:v>46238</x:v>
      </x:c>
      <x:c r="M5" s="22" t="n">
        <x:f>IF('Raw Shipments'!K5="","",'Raw Shipments'!K5)</x:f>
        <x:v>46250</x:v>
      </x:c>
      <x:c r="N5" s="21" t="str">
        <x:f>IF('Raw Shipments'!L5="","",'Raw Shipments'!L5)</x:f>
        <x:v>Received</x:v>
      </x:c>
      <x:c r="O5" s="21" t="n">
        <x:f>IF('Raw Shipments'!M5="","",'Raw Shipments'!M5)</x:f>
        <x:v>3</x:v>
      </x:c>
      <x:c r="P5" s="21" t="str">
        <x:f>IF(D5&gt;1,"Duplicate Tracking ID","OK")</x:f>
        <x:v>OK</x:v>
      </x:c>
      <x:c r="Q5" s="21" t="str">
        <x:f>IF(E5="Unknown Carrier","Invalid Carrier","OK")</x:f>
        <x:v>OK</x:v>
      </x:c>
      <x:c r="R5" s="21" t="str">
        <x:f>IF(Q5&lt;&gt;"OK","Not Tested",IF(OR(J5&lt;&gt;I5+IF(H5="Standard",VLOOKUP(E5,'SLA Reference'!$A$5:$C$7,2,FALSE),VLOOKUP(E5,'SLA Reference'!$A$5:$C$7,3,FALSE)),AND(L5&lt;&gt;"",L5&lt;I5)),"Invalid SLA / Date","OK"))</x:f>
        <x:v>OK</x:v>
      </x:c>
      <x:c r="S5" s="21" t="str">
        <x:f>IF(AND(K5="Delivered",L5&gt;J5),"Late Delivery",IF(AND(K5="In Transit",J5&lt;DATE(2026,8,17)),"Overdue In Transit","OK"))</x:f>
        <x:v>OK</x:v>
      </x:c>
      <x:c r="T5" s="21" t="str">
        <x:f>IF(AND(K5="Delivered",N5&lt;&gt;"Received"),"Missing POD","OK")</x:f>
        <x:v>OK</x:v>
      </x:c>
      <x:c r="U5" s="21" t="str">
        <x:f>IF(AND(K5="In Transit",DATE(2026,8,17)-M5&gt;2),"Stale Update","OK")</x:f>
        <x:v>OK</x:v>
      </x:c>
      <x:c r="V5" s="21" t="n">
        <x:f>IF(P5&lt;&gt;"OK",1,0)+IF(Q5&lt;&gt;"OK",1,0)+IF(OR(R5="OK",R5="Not Tested"),0,1)+IF(S5&lt;&gt;"OK",1,0)+IF(T5&lt;&gt;"OK",1,0)+IF(U5&lt;&gt;"OK",1,0)</x:f>
        <x:v>0</x:v>
      </x:c>
      <x:c r="W5" s="21" t="str">
        <x:f>IF(V5=0,"Ready",IF(OR(P5&lt;&gt;"OK",Q5&lt;&gt;"OK"),"High Priority Review","Review"))</x:f>
        <x:v>Ready</x:v>
      </x:c>
      <x:c r="X5" s="21" t="str">
        <x:f>IF(P5&lt;&gt;"OK","Verify tracking ID using carrier portal",IF(Q5&lt;&gt;"OK","Confirm approved carrier",IF(R5&lt;&gt;"OK","Verify carrier SLA and shipment dates",IF(S5&lt;&gt;"OK","Send written delivery escalation",IF(T5&lt;&gt;"OK","Request proof of delivery",IF(U5&lt;&gt;"OK","Request written tracking update","No action required"))))))</x:f>
        <x:v>No action required</x:v>
      </x:c>
    </x:row>
    <x:row r="6">
      <x:c r="A6" s="23" t="n">
        <x:v>6</x:v>
      </x:c>
      <x:c r="B6" s="23" t="str">
        <x:f>IF('Raw Shipments'!A6="","",'Raw Shipments'!A6)</x:f>
        <x:v>SHP-0003</x:v>
      </x:c>
      <x:c r="C6" s="23" t="str">
        <x:f>IF('Raw Shipments'!B6="","",'Raw Shipments'!B6)</x:f>
        <x:v>TRK-02003</x:v>
      </x:c>
      <x:c r="D6" s="23" t="n">
        <x:f>COUNTIF('Raw Shipments'!$B$4:$B$53,C6)</x:f>
        <x:v>1</x:v>
      </x:c>
      <x:c r="E6" s="23" t="str">
        <x:f>IF('Raw Shipments'!C6="","",'Raw Shipments'!C6)</x:f>
        <x:v>Archipelago Cargo</x:v>
      </x:c>
      <x:c r="F6" s="23" t="str">
        <x:f>IF('Raw Shipments'!D6="","",'Raw Shipments'!D6)</x:f>
        <x:v>Surabaya</x:v>
      </x:c>
      <x:c r="G6" s="23" t="str">
        <x:f>IF('Raw Shipments'!E6="","",'Raw Shipments'!E6)</x:f>
        <x:v>Semarang</x:v>
      </x:c>
      <x:c r="H6" s="23" t="str">
        <x:f>IF('Raw Shipments'!F6="","",'Raw Shipments'!F6)</x:f>
        <x:v>Standard</x:v>
      </x:c>
      <x:c r="I6" s="24" t="n">
        <x:f>IF('Raw Shipments'!G6="","",'Raw Shipments'!G6)</x:f>
        <x:v>46237</x:v>
      </x:c>
      <x:c r="J6" s="24" t="n">
        <x:f>IF('Raw Shipments'!H6="","",'Raw Shipments'!H6)</x:f>
        <x:v>46241</x:v>
      </x:c>
      <x:c r="K6" s="24" t="str">
        <x:f>IF('Raw Shipments'!I6="","",'Raw Shipments'!I6)</x:f>
        <x:v>Delivered</x:v>
      </x:c>
      <x:c r="L6" s="24" t="n">
        <x:f>IF('Raw Shipments'!J6="","",'Raw Shipments'!J6)</x:f>
        <x:v>46241</x:v>
      </x:c>
      <x:c r="M6" s="24" t="n">
        <x:f>IF('Raw Shipments'!K6="","",'Raw Shipments'!K6)</x:f>
        <x:v>46248</x:v>
      </x:c>
      <x:c r="N6" s="23" t="str">
        <x:f>IF('Raw Shipments'!L6="","",'Raw Shipments'!L6)</x:f>
        <x:v>Received</x:v>
      </x:c>
      <x:c r="O6" s="23" t="n">
        <x:f>IF('Raw Shipments'!M6="","",'Raw Shipments'!M6)</x:f>
        <x:v>4</x:v>
      </x:c>
      <x:c r="P6" s="23" t="str">
        <x:f>IF(D6&gt;1,"Duplicate Tracking ID","OK")</x:f>
        <x:v>OK</x:v>
      </x:c>
      <x:c r="Q6" s="23" t="str">
        <x:f>IF(E6="Unknown Carrier","Invalid Carrier","OK")</x:f>
        <x:v>OK</x:v>
      </x:c>
      <x:c r="R6" s="23" t="str">
        <x:f>IF(Q6&lt;&gt;"OK","Not Tested",IF(OR(J6&lt;&gt;I6+IF(H6="Standard",VLOOKUP(E6,'SLA Reference'!$A$5:$C$7,2,FALSE),VLOOKUP(E6,'SLA Reference'!$A$5:$C$7,3,FALSE)),AND(L6&lt;&gt;"",L6&lt;I6)),"Invalid SLA / Date","OK"))</x:f>
        <x:v>Invalid SLA / Date</x:v>
      </x:c>
      <x:c r="S6" s="23" t="str">
        <x:f>IF(AND(K6="Delivered",L6&gt;J6),"Late Delivery",IF(AND(K6="In Transit",J6&lt;DATE(2026,8,17)),"Overdue In Transit","OK"))</x:f>
        <x:v>OK</x:v>
      </x:c>
      <x:c r="T6" s="23" t="str">
        <x:f>IF(AND(K6="Delivered",N6&lt;&gt;"Received"),"Missing POD","OK")</x:f>
        <x:v>OK</x:v>
      </x:c>
      <x:c r="U6" s="23" t="str">
        <x:f>IF(AND(K6="In Transit",DATE(2026,8,17)-M6&gt;2),"Stale Update","OK")</x:f>
        <x:v>OK</x:v>
      </x:c>
      <x:c r="V6" s="23" t="n">
        <x:f>IF(P6&lt;&gt;"OK",1,0)+IF(Q6&lt;&gt;"OK",1,0)+IF(OR(R6="OK",R6="Not Tested"),0,1)+IF(S6&lt;&gt;"OK",1,0)+IF(T6&lt;&gt;"OK",1,0)+IF(U6&lt;&gt;"OK",1,0)</x:f>
        <x:v>1</x:v>
      </x:c>
      <x:c r="W6" s="23" t="str">
        <x:f>IF(V6=0,"Ready",IF(OR(P6&lt;&gt;"OK",Q6&lt;&gt;"OK"),"High Priority Review","Review"))</x:f>
        <x:v>Review</x:v>
      </x:c>
      <x:c r="X6" s="23" t="str">
        <x:f>IF(P6&lt;&gt;"OK","Verify tracking ID using carrier portal",IF(Q6&lt;&gt;"OK","Confirm approved carrier",IF(R6&lt;&gt;"OK","Verify carrier SLA and shipment dates",IF(S6&lt;&gt;"OK","Send written delivery escalation",IF(T6&lt;&gt;"OK","Request proof of delivery",IF(U6&lt;&gt;"OK","Request written tracking update","No action required"))))))</x:f>
        <x:v>Verify carrier SLA and shipment dates</x:v>
      </x:c>
    </x:row>
    <x:row r="7">
      <x:c r="A7" s="21" t="n">
        <x:v>7</x:v>
      </x:c>
      <x:c r="B7" s="21" t="str">
        <x:f>IF('Raw Shipments'!A7="","",'Raw Shipments'!A7)</x:f>
        <x:v>SHP-0004</x:v>
      </x:c>
      <x:c r="C7" s="21" t="str">
        <x:f>IF('Raw Shipments'!B7="","",'Raw Shipments'!B7)</x:f>
        <x:v>TRK-02004</x:v>
      </x:c>
      <x:c r="D7" s="21" t="n">
        <x:f>COUNTIF('Raw Shipments'!$B$4:$B$53,C7)</x:f>
        <x:v>1</x:v>
      </x:c>
      <x:c r="E7" s="21" t="str">
        <x:f>IF('Raw Shipments'!C7="","",'Raw Shipments'!C7)</x:f>
        <x:v>SwiftShip</x:v>
      </x:c>
      <x:c r="F7" s="21" t="str">
        <x:f>IF('Raw Shipments'!D7="","",'Raw Shipments'!D7)</x:f>
        <x:v>Jakarta</x:v>
      </x:c>
      <x:c r="G7" s="21" t="str">
        <x:f>IF('Raw Shipments'!E7="","",'Raw Shipments'!E7)</x:f>
        <x:v>Denpasar</x:v>
      </x:c>
      <x:c r="H7" s="21" t="str">
        <x:f>IF('Raw Shipments'!F7="","",'Raw Shipments'!F7)</x:f>
        <x:v>Express</x:v>
      </x:c>
      <x:c r="I7" s="22" t="n">
        <x:f>IF('Raw Shipments'!G7="","",'Raw Shipments'!G7)</x:f>
        <x:v>46238</x:v>
      </x:c>
      <x:c r="J7" s="22" t="n">
        <x:f>IF('Raw Shipments'!H7="","",'Raw Shipments'!H7)</x:f>
        <x:v>46240</x:v>
      </x:c>
      <x:c r="K7" s="22" t="str">
        <x:f>IF('Raw Shipments'!I7="","",'Raw Shipments'!I7)</x:f>
        <x:v>Delivered</x:v>
      </x:c>
      <x:c r="L7" s="22" t="n">
        <x:f>IF('Raw Shipments'!J7="","",'Raw Shipments'!J7)</x:f>
        <x:v>46240</x:v>
      </x:c>
      <x:c r="M7" s="22" t="n">
        <x:f>IF('Raw Shipments'!K7="","",'Raw Shipments'!K7)</x:f>
        <x:v>46249</x:v>
      </x:c>
      <x:c r="N7" s="21" t="str">
        <x:f>IF('Raw Shipments'!L7="","",'Raw Shipments'!L7)</x:f>
        <x:v>Received</x:v>
      </x:c>
      <x:c r="O7" s="21" t="n">
        <x:f>IF('Raw Shipments'!M7="","",'Raw Shipments'!M7)</x:f>
        <x:v>5</x:v>
      </x:c>
      <x:c r="P7" s="21" t="str">
        <x:f>IF(D7&gt;1,"Duplicate Tracking ID","OK")</x:f>
        <x:v>OK</x:v>
      </x:c>
      <x:c r="Q7" s="21" t="str">
        <x:f>IF(E7="Unknown Carrier","Invalid Carrier","OK")</x:f>
        <x:v>OK</x:v>
      </x:c>
      <x:c r="R7" s="21" t="str">
        <x:f>IF(Q7&lt;&gt;"OK","Not Tested",IF(OR(J7&lt;&gt;I7+IF(H7="Standard",VLOOKUP(E7,'SLA Reference'!$A$5:$C$7,2,FALSE),VLOOKUP(E7,'SLA Reference'!$A$5:$C$7,3,FALSE)),AND(L7&lt;&gt;"",L7&lt;I7)),"Invalid SLA / Date","OK"))</x:f>
        <x:v>OK</x:v>
      </x:c>
      <x:c r="S7" s="21" t="str">
        <x:f>IF(AND(K7="Delivered",L7&gt;J7),"Late Delivery",IF(AND(K7="In Transit",J7&lt;DATE(2026,8,17)),"Overdue In Transit","OK"))</x:f>
        <x:v>OK</x:v>
      </x:c>
      <x:c r="T7" s="21" t="str">
        <x:f>IF(AND(K7="Delivered",N7&lt;&gt;"Received"),"Missing POD","OK")</x:f>
        <x:v>OK</x:v>
      </x:c>
      <x:c r="U7" s="21" t="str">
        <x:f>IF(AND(K7="In Transit",DATE(2026,8,17)-M7&gt;2),"Stale Update","OK")</x:f>
        <x:v>OK</x:v>
      </x:c>
      <x:c r="V7" s="21" t="n">
        <x:f>IF(P7&lt;&gt;"OK",1,0)+IF(Q7&lt;&gt;"OK",1,0)+IF(OR(R7="OK",R7="Not Tested"),0,1)+IF(S7&lt;&gt;"OK",1,0)+IF(T7&lt;&gt;"OK",1,0)+IF(U7&lt;&gt;"OK",1,0)</x:f>
        <x:v>0</x:v>
      </x:c>
      <x:c r="W7" s="21" t="str">
        <x:f>IF(V7=0,"Ready",IF(OR(P7&lt;&gt;"OK",Q7&lt;&gt;"OK"),"High Priority Review","Review"))</x:f>
        <x:v>Ready</x:v>
      </x:c>
      <x:c r="X7" s="21" t="str">
        <x:f>IF(P7&lt;&gt;"OK","Verify tracking ID using carrier portal",IF(Q7&lt;&gt;"OK","Confirm approved carrier",IF(R7&lt;&gt;"OK","Verify carrier SLA and shipment dates",IF(S7&lt;&gt;"OK","Send written delivery escalation",IF(T7&lt;&gt;"OK","Request proof of delivery",IF(U7&lt;&gt;"OK","Request written tracking update","No action required"))))))</x:f>
        <x:v>No action required</x:v>
      </x:c>
    </x:row>
    <x:row r="8">
      <x:c r="A8" s="23" t="n">
        <x:v>8</x:v>
      </x:c>
      <x:c r="B8" s="23" t="str">
        <x:f>IF('Raw Shipments'!A8="","",'Raw Shipments'!A8)</x:f>
        <x:v>SHP-0005</x:v>
      </x:c>
      <x:c r="C8" s="23" t="str">
        <x:f>IF('Raw Shipments'!B8="","",'Raw Shipments'!B8)</x:f>
        <x:v>TRK-02005</x:v>
      </x:c>
      <x:c r="D8" s="23" t="n">
        <x:f>COUNTIF('Raw Shipments'!$B$4:$B$53,C8)</x:f>
        <x:v>1</x:v>
      </x:c>
      <x:c r="E8" s="23" t="str">
        <x:f>IF('Raw Shipments'!C8="","",'Raw Shipments'!C8)</x:f>
        <x:v>Nusa Express</x:v>
      </x:c>
      <x:c r="F8" s="23" t="str">
        <x:f>IF('Raw Shipments'!D8="","",'Raw Shipments'!D8)</x:f>
        <x:v>Bandung</x:v>
      </x:c>
      <x:c r="G8" s="23" t="str">
        <x:f>IF('Raw Shipments'!E8="","",'Raw Shipments'!E8)</x:f>
        <x:v>Yogyakarta</x:v>
      </x:c>
      <x:c r="H8" s="23" t="str">
        <x:f>IF('Raw Shipments'!F8="","",'Raw Shipments'!F8)</x:f>
        <x:v>Standard</x:v>
      </x:c>
      <x:c r="I8" s="24" t="n">
        <x:f>IF('Raw Shipments'!G8="","",'Raw Shipments'!G8)</x:f>
        <x:v>46239</x:v>
      </x:c>
      <x:c r="J8" s="24" t="n">
        <x:f>IF('Raw Shipments'!H8="","",'Raw Shipments'!H8)</x:f>
        <x:v>46243</x:v>
      </x:c>
      <x:c r="K8" s="24" t="str">
        <x:f>IF('Raw Shipments'!I8="","",'Raw Shipments'!I8)</x:f>
        <x:v>In Transit</x:v>
      </x:c>
      <x:c r="L8" s="24" t="str">
        <x:f>IF('Raw Shipments'!J8="","",'Raw Shipments'!J8)</x:f>
      </x:c>
      <x:c r="M8" s="24" t="n">
        <x:f>IF('Raw Shipments'!K8="","",'Raw Shipments'!K8)</x:f>
        <x:v>46250</x:v>
      </x:c>
      <x:c r="N8" s="23" t="str">
        <x:f>IF('Raw Shipments'!L8="","",'Raw Shipments'!L8)</x:f>
        <x:v>Pending</x:v>
      </x:c>
      <x:c r="O8" s="23" t="n">
        <x:f>IF('Raw Shipments'!M8="","",'Raw Shipments'!M8)</x:f>
        <x:v>6</x:v>
      </x:c>
      <x:c r="P8" s="23" t="str">
        <x:f>IF(D8&gt;1,"Duplicate Tracking ID","OK")</x:f>
        <x:v>OK</x:v>
      </x:c>
      <x:c r="Q8" s="23" t="str">
        <x:f>IF(E8="Unknown Carrier","Invalid Carrier","OK")</x:f>
        <x:v>OK</x:v>
      </x:c>
      <x:c r="R8" s="23" t="str">
        <x:f>IF(Q8&lt;&gt;"OK","Not Tested",IF(OR(J8&lt;&gt;I8+IF(H8="Standard",VLOOKUP(E8,'SLA Reference'!$A$5:$C$7,2,FALSE),VLOOKUP(E8,'SLA Reference'!$A$5:$C$7,3,FALSE)),AND(L8&lt;&gt;"",L8&lt;I8)),"Invalid SLA / Date","OK"))</x:f>
        <x:v>OK</x:v>
      </x:c>
      <x:c r="S8" s="23" t="str">
        <x:f>IF(AND(K8="Delivered",L8&gt;J8),"Late Delivery",IF(AND(K8="In Transit",J8&lt;DATE(2026,8,17)),"Overdue In Transit","OK"))</x:f>
        <x:v>Overdue In Transit</x:v>
      </x:c>
      <x:c r="T8" s="23" t="str">
        <x:f>IF(AND(K8="Delivered",N8&lt;&gt;"Received"),"Missing POD","OK")</x:f>
        <x:v>OK</x:v>
      </x:c>
      <x:c r="U8" s="23" t="str">
        <x:f>IF(AND(K8="In Transit",DATE(2026,8,17)-M8&gt;2),"Stale Update","OK")</x:f>
        <x:v>OK</x:v>
      </x:c>
      <x:c r="V8" s="23" t="n">
        <x:f>IF(P8&lt;&gt;"OK",1,0)+IF(Q8&lt;&gt;"OK",1,0)+IF(OR(R8="OK",R8="Not Tested"),0,1)+IF(S8&lt;&gt;"OK",1,0)+IF(T8&lt;&gt;"OK",1,0)+IF(U8&lt;&gt;"OK",1,0)</x:f>
        <x:v>1</x:v>
      </x:c>
      <x:c r="W8" s="23" t="str">
        <x:f>IF(V8=0,"Ready",IF(OR(P8&lt;&gt;"OK",Q8&lt;&gt;"OK"),"High Priority Review","Review"))</x:f>
        <x:v>Review</x:v>
      </x:c>
      <x:c r="X8" s="23" t="str">
        <x:f>IF(P8&lt;&gt;"OK","Verify tracking ID using carrier portal",IF(Q8&lt;&gt;"OK","Confirm approved carrier",IF(R8&lt;&gt;"OK","Verify carrier SLA and shipment dates",IF(S8&lt;&gt;"OK","Send written delivery escalation",IF(T8&lt;&gt;"OK","Request proof of delivery",IF(U8&lt;&gt;"OK","Request written tracking update","No action required"))))))</x:f>
        <x:v>Send written delivery escalation</x:v>
      </x:c>
    </x:row>
    <x:row r="9">
      <x:c r="A9" s="23" t="n">
        <x:v>9</x:v>
      </x:c>
      <x:c r="B9" s="23" t="str">
        <x:f>IF('Raw Shipments'!A9="","",'Raw Shipments'!A9)</x:f>
        <x:v>SHP-0006</x:v>
      </x:c>
      <x:c r="C9" s="23" t="str">
        <x:f>IF('Raw Shipments'!B9="","",'Raw Shipments'!B9)</x:f>
        <x:v>TRK-02006</x:v>
      </x:c>
      <x:c r="D9" s="23" t="n">
        <x:f>COUNTIF('Raw Shipments'!$B$4:$B$53,C9)</x:f>
        <x:v>1</x:v>
      </x:c>
      <x:c r="E9" s="23" t="str">
        <x:f>IF('Raw Shipments'!C9="","",'Raw Shipments'!C9)</x:f>
        <x:v>Archipelago Cargo</x:v>
      </x:c>
      <x:c r="F9" s="23" t="str">
        <x:f>IF('Raw Shipments'!D9="","",'Raw Shipments'!D9)</x:f>
        <x:v>Surabaya</x:v>
      </x:c>
      <x:c r="G9" s="23" t="str">
        <x:f>IF('Raw Shipments'!E9="","",'Raw Shipments'!E9)</x:f>
        <x:v>Medan</x:v>
      </x:c>
      <x:c r="H9" s="23" t="str">
        <x:f>IF('Raw Shipments'!F9="","",'Raw Shipments'!F9)</x:f>
        <x:v>Express</x:v>
      </x:c>
      <x:c r="I9" s="24" t="n">
        <x:f>IF('Raw Shipments'!G9="","",'Raw Shipments'!G9)</x:f>
        <x:v>46240</x:v>
      </x:c>
      <x:c r="J9" s="24" t="n">
        <x:f>IF('Raw Shipments'!H9="","",'Raw Shipments'!H9)</x:f>
        <x:v>46242</x:v>
      </x:c>
      <x:c r="K9" s="24" t="str">
        <x:f>IF('Raw Shipments'!I9="","",'Raw Shipments'!I9)</x:f>
        <x:v>Delivered</x:v>
      </x:c>
      <x:c r="L9" s="24" t="n">
        <x:f>IF('Raw Shipments'!J9="","",'Raw Shipments'!J9)</x:f>
        <x:v>46242</x:v>
      </x:c>
      <x:c r="M9" s="24" t="n">
        <x:f>IF('Raw Shipments'!K9="","",'Raw Shipments'!K9)</x:f>
        <x:v>46248</x:v>
      </x:c>
      <x:c r="N9" s="23" t="str">
        <x:f>IF('Raw Shipments'!L9="","",'Raw Shipments'!L9)</x:f>
        <x:v>Received</x:v>
      </x:c>
      <x:c r="O9" s="23" t="n">
        <x:f>IF('Raw Shipments'!M9="","",'Raw Shipments'!M9)</x:f>
        <x:v>7</x:v>
      </x:c>
      <x:c r="P9" s="23" t="str">
        <x:f>IF(D9&gt;1,"Duplicate Tracking ID","OK")</x:f>
        <x:v>OK</x:v>
      </x:c>
      <x:c r="Q9" s="23" t="str">
        <x:f>IF(E9="Unknown Carrier","Invalid Carrier","OK")</x:f>
        <x:v>OK</x:v>
      </x:c>
      <x:c r="R9" s="23" t="str">
        <x:f>IF(Q9&lt;&gt;"OK","Not Tested",IF(OR(J9&lt;&gt;I9+IF(H9="Standard",VLOOKUP(E9,'SLA Reference'!$A$5:$C$7,2,FALSE),VLOOKUP(E9,'SLA Reference'!$A$5:$C$7,3,FALSE)),AND(L9&lt;&gt;"",L9&lt;I9)),"Invalid SLA / Date","OK"))</x:f>
        <x:v>Invalid SLA / Date</x:v>
      </x:c>
      <x:c r="S9" s="23" t="str">
        <x:f>IF(AND(K9="Delivered",L9&gt;J9),"Late Delivery",IF(AND(K9="In Transit",J9&lt;DATE(2026,8,17)),"Overdue In Transit","OK"))</x:f>
        <x:v>OK</x:v>
      </x:c>
      <x:c r="T9" s="23" t="str">
        <x:f>IF(AND(K9="Delivered",N9&lt;&gt;"Received"),"Missing POD","OK")</x:f>
        <x:v>OK</x:v>
      </x:c>
      <x:c r="U9" s="23" t="str">
        <x:f>IF(AND(K9="In Transit",DATE(2026,8,17)-M9&gt;2),"Stale Update","OK")</x:f>
        <x:v>OK</x:v>
      </x:c>
      <x:c r="V9" s="23" t="n">
        <x:f>IF(P9&lt;&gt;"OK",1,0)+IF(Q9&lt;&gt;"OK",1,0)+IF(OR(R9="OK",R9="Not Tested"),0,1)+IF(S9&lt;&gt;"OK",1,0)+IF(T9&lt;&gt;"OK",1,0)+IF(U9&lt;&gt;"OK",1,0)</x:f>
        <x:v>1</x:v>
      </x:c>
      <x:c r="W9" s="23" t="str">
        <x:f>IF(V9=0,"Ready",IF(OR(P9&lt;&gt;"OK",Q9&lt;&gt;"OK"),"High Priority Review","Review"))</x:f>
        <x:v>Review</x:v>
      </x:c>
      <x:c r="X9" s="23" t="str">
        <x:f>IF(P9&lt;&gt;"OK","Verify tracking ID using carrier portal",IF(Q9&lt;&gt;"OK","Confirm approved carrier",IF(R9&lt;&gt;"OK","Verify carrier SLA and shipment dates",IF(S9&lt;&gt;"OK","Send written delivery escalation",IF(T9&lt;&gt;"OK","Request proof of delivery",IF(U9&lt;&gt;"OK","Request written tracking update","No action required"))))))</x:f>
        <x:v>Verify carrier SLA and shipment dates</x:v>
      </x:c>
    </x:row>
    <x:row r="10">
      <x:c r="A10" s="23" t="n">
        <x:v>10</x:v>
      </x:c>
      <x:c r="B10" s="23" t="str">
        <x:f>IF('Raw Shipments'!A10="","",'Raw Shipments'!A10)</x:f>
        <x:v>SHP-0007</x:v>
      </x:c>
      <x:c r="C10" s="23" t="str">
        <x:f>IF('Raw Shipments'!B10="","",'Raw Shipments'!B10)</x:f>
        <x:v>TRK-02007</x:v>
      </x:c>
      <x:c r="D10" s="23" t="n">
        <x:f>COUNTIF('Raw Shipments'!$B$4:$B$53,C10)</x:f>
        <x:v>1</x:v>
      </x:c>
      <x:c r="E10" s="23" t="str">
        <x:f>IF('Raw Shipments'!C10="","",'Raw Shipments'!C10)</x:f>
        <x:v>SwiftShip</x:v>
      </x:c>
      <x:c r="F10" s="23" t="str">
        <x:f>IF('Raw Shipments'!D10="","",'Raw Shipments'!D10)</x:f>
        <x:v>Jakarta</x:v>
      </x:c>
      <x:c r="G10" s="23" t="str">
        <x:f>IF('Raw Shipments'!E10="","",'Raw Shipments'!E10)</x:f>
        <x:v>Makassar</x:v>
      </x:c>
      <x:c r="H10" s="23" t="str">
        <x:f>IF('Raw Shipments'!F10="","",'Raw Shipments'!F10)</x:f>
        <x:v>Standard</x:v>
      </x:c>
      <x:c r="I10" s="24" t="n">
        <x:f>IF('Raw Shipments'!G10="","",'Raw Shipments'!G10)</x:f>
        <x:v>46241</x:v>
      </x:c>
      <x:c r="J10" s="24" t="n">
        <x:f>IF('Raw Shipments'!H10="","",'Raw Shipments'!H10)</x:f>
        <x:v>46245</x:v>
      </x:c>
      <x:c r="K10" s="24" t="str">
        <x:f>IF('Raw Shipments'!I10="","",'Raw Shipments'!I10)</x:f>
        <x:v>Delivered</x:v>
      </x:c>
      <x:c r="L10" s="24" t="n">
        <x:f>IF('Raw Shipments'!J10="","",'Raw Shipments'!J10)</x:f>
        <x:v>46247</x:v>
      </x:c>
      <x:c r="M10" s="24" t="n">
        <x:f>IF('Raw Shipments'!K10="","",'Raw Shipments'!K10)</x:f>
        <x:v>46249</x:v>
      </x:c>
      <x:c r="N10" s="23" t="str">
        <x:f>IF('Raw Shipments'!L10="","",'Raw Shipments'!L10)</x:f>
        <x:v>Received</x:v>
      </x:c>
      <x:c r="O10" s="23" t="n">
        <x:f>IF('Raw Shipments'!M10="","",'Raw Shipments'!M10)</x:f>
        <x:v>8</x:v>
      </x:c>
      <x:c r="P10" s="23" t="str">
        <x:f>IF(D10&gt;1,"Duplicate Tracking ID","OK")</x:f>
        <x:v>OK</x:v>
      </x:c>
      <x:c r="Q10" s="23" t="str">
        <x:f>IF(E10="Unknown Carrier","Invalid Carrier","OK")</x:f>
        <x:v>OK</x:v>
      </x:c>
      <x:c r="R10" s="23" t="str">
        <x:f>IF(Q10&lt;&gt;"OK","Not Tested",IF(OR(J10&lt;&gt;I10+IF(H10="Standard",VLOOKUP(E10,'SLA Reference'!$A$5:$C$7,2,FALSE),VLOOKUP(E10,'SLA Reference'!$A$5:$C$7,3,FALSE)),AND(L10&lt;&gt;"",L10&lt;I10)),"Invalid SLA / Date","OK"))</x:f>
        <x:v>OK</x:v>
      </x:c>
      <x:c r="S10" s="23" t="str">
        <x:f>IF(AND(K10="Delivered",L10&gt;J10),"Late Delivery",IF(AND(K10="In Transit",J10&lt;DATE(2026,8,17)),"Overdue In Transit","OK"))</x:f>
        <x:v>Late Delivery</x:v>
      </x:c>
      <x:c r="T10" s="23" t="str">
        <x:f>IF(AND(K10="Delivered",N10&lt;&gt;"Received"),"Missing POD","OK")</x:f>
        <x:v>OK</x:v>
      </x:c>
      <x:c r="U10" s="23" t="str">
        <x:f>IF(AND(K10="In Transit",DATE(2026,8,17)-M10&gt;2),"Stale Update","OK")</x:f>
        <x:v>OK</x:v>
      </x:c>
      <x:c r="V10" s="23" t="n">
        <x:f>IF(P10&lt;&gt;"OK",1,0)+IF(Q10&lt;&gt;"OK",1,0)+IF(OR(R10="OK",R10="Not Tested"),0,1)+IF(S10&lt;&gt;"OK",1,0)+IF(T10&lt;&gt;"OK",1,0)+IF(U10&lt;&gt;"OK",1,0)</x:f>
        <x:v>1</x:v>
      </x:c>
      <x:c r="W10" s="23" t="str">
        <x:f>IF(V10=0,"Ready",IF(OR(P10&lt;&gt;"OK",Q10&lt;&gt;"OK"),"High Priority Review","Review"))</x:f>
        <x:v>Review</x:v>
      </x:c>
      <x:c r="X10" s="23" t="str">
        <x:f>IF(P10&lt;&gt;"OK","Verify tracking ID using carrier portal",IF(Q10&lt;&gt;"OK","Confirm approved carrier",IF(R10&lt;&gt;"OK","Verify carrier SLA and shipment dates",IF(S10&lt;&gt;"OK","Send written delivery escalation",IF(T10&lt;&gt;"OK","Request proof of delivery",IF(U10&lt;&gt;"OK","Request written tracking update","No action required"))))))</x:f>
        <x:v>Send written delivery escalation</x:v>
      </x:c>
    </x:row>
    <x:row r="11">
      <x:c r="A11" s="21" t="n">
        <x:v>11</x:v>
      </x:c>
      <x:c r="B11" s="21" t="str">
        <x:f>IF('Raw Shipments'!A11="","",'Raw Shipments'!A11)</x:f>
        <x:v>SHP-0008</x:v>
      </x:c>
      <x:c r="C11" s="21" t="str">
        <x:f>IF('Raw Shipments'!B11="","",'Raw Shipments'!B11)</x:f>
        <x:v>TRK-02008</x:v>
      </x:c>
      <x:c r="D11" s="21" t="n">
        <x:f>COUNTIF('Raw Shipments'!$B$4:$B$53,C11)</x:f>
        <x:v>1</x:v>
      </x:c>
      <x:c r="E11" s="21" t="str">
        <x:f>IF('Raw Shipments'!C11="","",'Raw Shipments'!C11)</x:f>
        <x:v>Nusa Express</x:v>
      </x:c>
      <x:c r="F11" s="21" t="str">
        <x:f>IF('Raw Shipments'!D11="","",'Raw Shipments'!D11)</x:f>
        <x:v>Bandung</x:v>
      </x:c>
      <x:c r="G11" s="21" t="str">
        <x:f>IF('Raw Shipments'!E11="","",'Raw Shipments'!E11)</x:f>
        <x:v>Semarang</x:v>
      </x:c>
      <x:c r="H11" s="21" t="str">
        <x:f>IF('Raw Shipments'!F11="","",'Raw Shipments'!F11)</x:f>
        <x:v>Express</x:v>
      </x:c>
      <x:c r="I11" s="22" t="n">
        <x:f>IF('Raw Shipments'!G11="","",'Raw Shipments'!G11)</x:f>
        <x:v>46242</x:v>
      </x:c>
      <x:c r="J11" s="22" t="n">
        <x:f>IF('Raw Shipments'!H11="","",'Raw Shipments'!H11)</x:f>
        <x:v>46244</x:v>
      </x:c>
      <x:c r="K11" s="22" t="str">
        <x:f>IF('Raw Shipments'!I11="","",'Raw Shipments'!I11)</x:f>
        <x:v>Delivered</x:v>
      </x:c>
      <x:c r="L11" s="22" t="n">
        <x:f>IF('Raw Shipments'!J11="","",'Raw Shipments'!J11)</x:f>
        <x:v>46244</x:v>
      </x:c>
      <x:c r="M11" s="22" t="n">
        <x:f>IF('Raw Shipments'!K11="","",'Raw Shipments'!K11)</x:f>
        <x:v>46250</x:v>
      </x:c>
      <x:c r="N11" s="21" t="str">
        <x:f>IF('Raw Shipments'!L11="","",'Raw Shipments'!L11)</x:f>
        <x:v>Received</x:v>
      </x:c>
      <x:c r="O11" s="21" t="n">
        <x:f>IF('Raw Shipments'!M11="","",'Raw Shipments'!M11)</x:f>
        <x:v>1</x:v>
      </x:c>
      <x:c r="P11" s="21" t="str">
        <x:f>IF(D11&gt;1,"Duplicate Tracking ID","OK")</x:f>
        <x:v>OK</x:v>
      </x:c>
      <x:c r="Q11" s="21" t="str">
        <x:f>IF(E11="Unknown Carrier","Invalid Carrier","OK")</x:f>
        <x:v>OK</x:v>
      </x:c>
      <x:c r="R11" s="21" t="str">
        <x:f>IF(Q11&lt;&gt;"OK","Not Tested",IF(OR(J11&lt;&gt;I11+IF(H11="Standard",VLOOKUP(E11,'SLA Reference'!$A$5:$C$7,2,FALSE),VLOOKUP(E11,'SLA Reference'!$A$5:$C$7,3,FALSE)),AND(L11&lt;&gt;"",L11&lt;I11)),"Invalid SLA / Date","OK"))</x:f>
        <x:v>OK</x:v>
      </x:c>
      <x:c r="S11" s="21" t="str">
        <x:f>IF(AND(K11="Delivered",L11&gt;J11),"Late Delivery",IF(AND(K11="In Transit",J11&lt;DATE(2026,8,17)),"Overdue In Transit","OK"))</x:f>
        <x:v>OK</x:v>
      </x:c>
      <x:c r="T11" s="21" t="str">
        <x:f>IF(AND(K11="Delivered",N11&lt;&gt;"Received"),"Missing POD","OK")</x:f>
        <x:v>OK</x:v>
      </x:c>
      <x:c r="U11" s="21" t="str">
        <x:f>IF(AND(K11="In Transit",DATE(2026,8,17)-M11&gt;2),"Stale Update","OK")</x:f>
        <x:v>OK</x:v>
      </x:c>
      <x:c r="V11" s="21" t="n">
        <x:f>IF(P11&lt;&gt;"OK",1,0)+IF(Q11&lt;&gt;"OK",1,0)+IF(OR(R11="OK",R11="Not Tested"),0,1)+IF(S11&lt;&gt;"OK",1,0)+IF(T11&lt;&gt;"OK",1,0)+IF(U11&lt;&gt;"OK",1,0)</x:f>
        <x:v>0</x:v>
      </x:c>
      <x:c r="W11" s="21" t="str">
        <x:f>IF(V11=0,"Ready",IF(OR(P11&lt;&gt;"OK",Q11&lt;&gt;"OK"),"High Priority Review","Review"))</x:f>
        <x:v>Ready</x:v>
      </x:c>
      <x:c r="X11" s="21" t="str">
        <x:f>IF(P11&lt;&gt;"OK","Verify tracking ID using carrier portal",IF(Q11&lt;&gt;"OK","Confirm approved carrier",IF(R11&lt;&gt;"OK","Verify carrier SLA and shipment dates",IF(S11&lt;&gt;"OK","Send written delivery escalation",IF(T11&lt;&gt;"OK","Request proof of delivery",IF(U11&lt;&gt;"OK","Request written tracking update","No action required"))))))</x:f>
        <x:v>No action required</x:v>
      </x:c>
    </x:row>
    <x:row r="12">
      <x:c r="A12" s="23" t="n">
        <x:v>12</x:v>
      </x:c>
      <x:c r="B12" s="23" t="str">
        <x:f>IF('Raw Shipments'!A12="","",'Raw Shipments'!A12)</x:f>
        <x:v>SHP-0009</x:v>
      </x:c>
      <x:c r="C12" s="23" t="str">
        <x:f>IF('Raw Shipments'!B12="","",'Raw Shipments'!B12)</x:f>
        <x:v>TRK-02009</x:v>
      </x:c>
      <x:c r="D12" s="23" t="n">
        <x:f>COUNTIF('Raw Shipments'!$B$4:$B$53,C12)</x:f>
        <x:v>1</x:v>
      </x:c>
      <x:c r="E12" s="23" t="str">
        <x:f>IF('Raw Shipments'!C12="","",'Raw Shipments'!C12)</x:f>
        <x:v>Archipelago Cargo</x:v>
      </x:c>
      <x:c r="F12" s="23" t="str">
        <x:f>IF('Raw Shipments'!D12="","",'Raw Shipments'!D12)</x:f>
        <x:v>Surabaya</x:v>
      </x:c>
      <x:c r="G12" s="23" t="str">
        <x:f>IF('Raw Shipments'!E12="","",'Raw Shipments'!E12)</x:f>
        <x:v>Denpasar</x:v>
      </x:c>
      <x:c r="H12" s="23" t="str">
        <x:f>IF('Raw Shipments'!F12="","",'Raw Shipments'!F12)</x:f>
        <x:v>Standard</x:v>
      </x:c>
      <x:c r="I12" s="24" t="n">
        <x:f>IF('Raw Shipments'!G12="","",'Raw Shipments'!G12)</x:f>
        <x:v>46243</x:v>
      </x:c>
      <x:c r="J12" s="24" t="n">
        <x:f>IF('Raw Shipments'!H12="","",'Raw Shipments'!H12)</x:f>
        <x:v>46247</x:v>
      </x:c>
      <x:c r="K12" s="24" t="str">
        <x:f>IF('Raw Shipments'!I12="","",'Raw Shipments'!I12)</x:f>
        <x:v>Delivered</x:v>
      </x:c>
      <x:c r="L12" s="24" t="n">
        <x:f>IF('Raw Shipments'!J12="","",'Raw Shipments'!J12)</x:f>
        <x:v>46247</x:v>
      </x:c>
      <x:c r="M12" s="24" t="n">
        <x:f>IF('Raw Shipments'!K12="","",'Raw Shipments'!K12)</x:f>
        <x:v>46248</x:v>
      </x:c>
      <x:c r="N12" s="23" t="str">
        <x:f>IF('Raw Shipments'!L12="","",'Raw Shipments'!L12)</x:f>
        <x:v>Received</x:v>
      </x:c>
      <x:c r="O12" s="23" t="n">
        <x:f>IF('Raw Shipments'!M12="","",'Raw Shipments'!M12)</x:f>
        <x:v>2</x:v>
      </x:c>
      <x:c r="P12" s="23" t="str">
        <x:f>IF(D12&gt;1,"Duplicate Tracking ID","OK")</x:f>
        <x:v>OK</x:v>
      </x:c>
      <x:c r="Q12" s="23" t="str">
        <x:f>IF(E12="Unknown Carrier","Invalid Carrier","OK")</x:f>
        <x:v>OK</x:v>
      </x:c>
      <x:c r="R12" s="23" t="str">
        <x:f>IF(Q12&lt;&gt;"OK","Not Tested",IF(OR(J12&lt;&gt;I12+IF(H12="Standard",VLOOKUP(E12,'SLA Reference'!$A$5:$C$7,2,FALSE),VLOOKUP(E12,'SLA Reference'!$A$5:$C$7,3,FALSE)),AND(L12&lt;&gt;"",L12&lt;I12)),"Invalid SLA / Date","OK"))</x:f>
        <x:v>Invalid SLA / Date</x:v>
      </x:c>
      <x:c r="S12" s="23" t="str">
        <x:f>IF(AND(K12="Delivered",L12&gt;J12),"Late Delivery",IF(AND(K12="In Transit",J12&lt;DATE(2026,8,17)),"Overdue In Transit","OK"))</x:f>
        <x:v>OK</x:v>
      </x:c>
      <x:c r="T12" s="23" t="str">
        <x:f>IF(AND(K12="Delivered",N12&lt;&gt;"Received"),"Missing POD","OK")</x:f>
        <x:v>OK</x:v>
      </x:c>
      <x:c r="U12" s="23" t="str">
        <x:f>IF(AND(K12="In Transit",DATE(2026,8,17)-M12&gt;2),"Stale Update","OK")</x:f>
        <x:v>OK</x:v>
      </x:c>
      <x:c r="V12" s="23" t="n">
        <x:f>IF(P12&lt;&gt;"OK",1,0)+IF(Q12&lt;&gt;"OK",1,0)+IF(OR(R12="OK",R12="Not Tested"),0,1)+IF(S12&lt;&gt;"OK",1,0)+IF(T12&lt;&gt;"OK",1,0)+IF(U12&lt;&gt;"OK",1,0)</x:f>
        <x:v>1</x:v>
      </x:c>
      <x:c r="W12" s="23" t="str">
        <x:f>IF(V12=0,"Ready",IF(OR(P12&lt;&gt;"OK",Q12&lt;&gt;"OK"),"High Priority Review","Review"))</x:f>
        <x:v>Review</x:v>
      </x:c>
      <x:c r="X12" s="23" t="str">
        <x:f>IF(P12&lt;&gt;"OK","Verify tracking ID using carrier portal",IF(Q12&lt;&gt;"OK","Confirm approved carrier",IF(R12&lt;&gt;"OK","Verify carrier SLA and shipment dates",IF(S12&lt;&gt;"OK","Send written delivery escalation",IF(T12&lt;&gt;"OK","Request proof of delivery",IF(U12&lt;&gt;"OK","Request written tracking update","No action required"))))))</x:f>
        <x:v>Verify carrier SLA and shipment dates</x:v>
      </x:c>
    </x:row>
    <x:row r="13">
      <x:c r="A13" s="23" t="n">
        <x:v>13</x:v>
      </x:c>
      <x:c r="B13" s="23" t="str">
        <x:f>IF('Raw Shipments'!A13="","",'Raw Shipments'!A13)</x:f>
        <x:v>SHP-0010</x:v>
      </x:c>
      <x:c r="C13" s="23" t="str">
        <x:f>IF('Raw Shipments'!B13="","",'Raw Shipments'!B13)</x:f>
        <x:v>TRK-02010</x:v>
      </x:c>
      <x:c r="D13" s="23" t="n">
        <x:f>COUNTIF('Raw Shipments'!$B$4:$B$53,C13)</x:f>
        <x:v>1</x:v>
      </x:c>
      <x:c r="E13" s="23" t="str">
        <x:f>IF('Raw Shipments'!C13="","",'Raw Shipments'!C13)</x:f>
        <x:v>SwiftShip</x:v>
      </x:c>
      <x:c r="F13" s="23" t="str">
        <x:f>IF('Raw Shipments'!D13="","",'Raw Shipments'!D13)</x:f>
        <x:v>Jakarta</x:v>
      </x:c>
      <x:c r="G13" s="23" t="str">
        <x:f>IF('Raw Shipments'!E13="","",'Raw Shipments'!E13)</x:f>
        <x:v>Yogyakarta</x:v>
      </x:c>
      <x:c r="H13" s="23" t="str">
        <x:f>IF('Raw Shipments'!F13="","",'Raw Shipments'!F13)</x:f>
        <x:v>Express</x:v>
      </x:c>
      <x:c r="I13" s="24" t="n">
        <x:f>IF('Raw Shipments'!G13="","",'Raw Shipments'!G13)</x:f>
        <x:v>46244</x:v>
      </x:c>
      <x:c r="J13" s="24" t="n">
        <x:f>IF('Raw Shipments'!H13="","",'Raw Shipments'!H13)</x:f>
        <x:v>46246</x:v>
      </x:c>
      <x:c r="K13" s="24" t="str">
        <x:f>IF('Raw Shipments'!I13="","",'Raw Shipments'!I13)</x:f>
        <x:v>In Transit</x:v>
      </x:c>
      <x:c r="L13" s="24" t="str">
        <x:f>IF('Raw Shipments'!J13="","",'Raw Shipments'!J13)</x:f>
      </x:c>
      <x:c r="M13" s="24" t="n">
        <x:f>IF('Raw Shipments'!K13="","",'Raw Shipments'!K13)</x:f>
        <x:v>46249</x:v>
      </x:c>
      <x:c r="N13" s="23" t="str">
        <x:f>IF('Raw Shipments'!L13="","",'Raw Shipments'!L13)</x:f>
        <x:v>Pending</x:v>
      </x:c>
      <x:c r="O13" s="23" t="n">
        <x:f>IF('Raw Shipments'!M13="","",'Raw Shipments'!M13)</x:f>
        <x:v>3</x:v>
      </x:c>
      <x:c r="P13" s="23" t="str">
        <x:f>IF(D13&gt;1,"Duplicate Tracking ID","OK")</x:f>
        <x:v>OK</x:v>
      </x:c>
      <x:c r="Q13" s="23" t="str">
        <x:f>IF(E13="Unknown Carrier","Invalid Carrier","OK")</x:f>
        <x:v>OK</x:v>
      </x:c>
      <x:c r="R13" s="23" t="str">
        <x:f>IF(Q13&lt;&gt;"OK","Not Tested",IF(OR(J13&lt;&gt;I13+IF(H13="Standard",VLOOKUP(E13,'SLA Reference'!$A$5:$C$7,2,FALSE),VLOOKUP(E13,'SLA Reference'!$A$5:$C$7,3,FALSE)),AND(L13&lt;&gt;"",L13&lt;I13)),"Invalid SLA / Date","OK"))</x:f>
        <x:v>OK</x:v>
      </x:c>
      <x:c r="S13" s="23" t="str">
        <x:f>IF(AND(K13="Delivered",L13&gt;J13),"Late Delivery",IF(AND(K13="In Transit",J13&lt;DATE(2026,8,17)),"Overdue In Transit","OK"))</x:f>
        <x:v>Overdue In Transit</x:v>
      </x:c>
      <x:c r="T13" s="23" t="str">
        <x:f>IF(AND(K13="Delivered",N13&lt;&gt;"Received"),"Missing POD","OK")</x:f>
        <x:v>OK</x:v>
      </x:c>
      <x:c r="U13" s="23" t="str">
        <x:f>IF(AND(K13="In Transit",DATE(2026,8,17)-M13&gt;2),"Stale Update","OK")</x:f>
        <x:v>OK</x:v>
      </x:c>
      <x:c r="V13" s="23" t="n">
        <x:f>IF(P13&lt;&gt;"OK",1,0)+IF(Q13&lt;&gt;"OK",1,0)+IF(OR(R13="OK",R13="Not Tested"),0,1)+IF(S13&lt;&gt;"OK",1,0)+IF(T13&lt;&gt;"OK",1,0)+IF(U13&lt;&gt;"OK",1,0)</x:f>
        <x:v>1</x:v>
      </x:c>
      <x:c r="W13" s="23" t="str">
        <x:f>IF(V13=0,"Ready",IF(OR(P13&lt;&gt;"OK",Q13&lt;&gt;"OK"),"High Priority Review","Review"))</x:f>
        <x:v>Review</x:v>
      </x:c>
      <x:c r="X13" s="23" t="str">
        <x:f>IF(P13&lt;&gt;"OK","Verify tracking ID using carrier portal",IF(Q13&lt;&gt;"OK","Confirm approved carrier",IF(R13&lt;&gt;"OK","Verify carrier SLA and shipment dates",IF(S13&lt;&gt;"OK","Send written delivery escalation",IF(T13&lt;&gt;"OK","Request proof of delivery",IF(U13&lt;&gt;"OK","Request written tracking update","No action required"))))))</x:f>
        <x:v>Send written delivery escalation</x:v>
      </x:c>
    </x:row>
    <x:row r="14">
      <x:c r="A14" s="23" t="n">
        <x:v>14</x:v>
      </x:c>
      <x:c r="B14" s="23" t="str">
        <x:f>IF('Raw Shipments'!A14="","",'Raw Shipments'!A14)</x:f>
        <x:v>SHP-0011</x:v>
      </x:c>
      <x:c r="C14" s="23" t="str">
        <x:f>IF('Raw Shipments'!B14="","",'Raw Shipments'!B14)</x:f>
        <x:v>TRK-02011</x:v>
      </x:c>
      <x:c r="D14" s="23" t="n">
        <x:f>COUNTIF('Raw Shipments'!$B$4:$B$53,C14)</x:f>
        <x:v>1</x:v>
      </x:c>
      <x:c r="E14" s="23" t="str">
        <x:f>IF('Raw Shipments'!C14="","",'Raw Shipments'!C14)</x:f>
        <x:v>Nusa Express</x:v>
      </x:c>
      <x:c r="F14" s="23" t="str">
        <x:f>IF('Raw Shipments'!D14="","",'Raw Shipments'!D14)</x:f>
        <x:v>Bandung</x:v>
      </x:c>
      <x:c r="G14" s="23" t="str">
        <x:f>IF('Raw Shipments'!E14="","",'Raw Shipments'!E14)</x:f>
        <x:v>Medan</x:v>
      </x:c>
      <x:c r="H14" s="23" t="str">
        <x:f>IF('Raw Shipments'!F14="","",'Raw Shipments'!F14)</x:f>
        <x:v>Standard</x:v>
      </x:c>
      <x:c r="I14" s="24" t="n">
        <x:f>IF('Raw Shipments'!G14="","",'Raw Shipments'!G14)</x:f>
        <x:v>46245</x:v>
      </x:c>
      <x:c r="J14" s="24" t="n">
        <x:f>IF('Raw Shipments'!H14="","",'Raw Shipments'!H14)</x:f>
        <x:v>46249</x:v>
      </x:c>
      <x:c r="K14" s="24" t="str">
        <x:f>IF('Raw Shipments'!I14="","",'Raw Shipments'!I14)</x:f>
        <x:v>Delivered</x:v>
      </x:c>
      <x:c r="L14" s="24" t="n">
        <x:f>IF('Raw Shipments'!J14="","",'Raw Shipments'!J14)</x:f>
        <x:v>46249</x:v>
      </x:c>
      <x:c r="M14" s="24" t="n">
        <x:f>IF('Raw Shipments'!K14="","",'Raw Shipments'!K14)</x:f>
        <x:v>46250</x:v>
      </x:c>
      <x:c r="N14" s="23" t="str">
        <x:f>IF('Raw Shipments'!L14="","",'Raw Shipments'!L14)</x:f>
        <x:v>Missing</x:v>
      </x:c>
      <x:c r="O14" s="23" t="n">
        <x:f>IF('Raw Shipments'!M14="","",'Raw Shipments'!M14)</x:f>
        <x:v>4</x:v>
      </x:c>
      <x:c r="P14" s="23" t="str">
        <x:f>IF(D14&gt;1,"Duplicate Tracking ID","OK")</x:f>
        <x:v>OK</x:v>
      </x:c>
      <x:c r="Q14" s="23" t="str">
        <x:f>IF(E14="Unknown Carrier","Invalid Carrier","OK")</x:f>
        <x:v>OK</x:v>
      </x:c>
      <x:c r="R14" s="23" t="str">
        <x:f>IF(Q14&lt;&gt;"OK","Not Tested",IF(OR(J14&lt;&gt;I14+IF(H14="Standard",VLOOKUP(E14,'SLA Reference'!$A$5:$C$7,2,FALSE),VLOOKUP(E14,'SLA Reference'!$A$5:$C$7,3,FALSE)),AND(L14&lt;&gt;"",L14&lt;I14)),"Invalid SLA / Date","OK"))</x:f>
        <x:v>OK</x:v>
      </x:c>
      <x:c r="S14" s="23" t="str">
        <x:f>IF(AND(K14="Delivered",L14&gt;J14),"Late Delivery",IF(AND(K14="In Transit",J14&lt;DATE(2026,8,17)),"Overdue In Transit","OK"))</x:f>
        <x:v>OK</x:v>
      </x:c>
      <x:c r="T14" s="23" t="str">
        <x:f>IF(AND(K14="Delivered",N14&lt;&gt;"Received"),"Missing POD","OK")</x:f>
        <x:v>Missing POD</x:v>
      </x:c>
      <x:c r="U14" s="23" t="str">
        <x:f>IF(AND(K14="In Transit",DATE(2026,8,17)-M14&gt;2),"Stale Update","OK")</x:f>
        <x:v>OK</x:v>
      </x:c>
      <x:c r="V14" s="23" t="n">
        <x:f>IF(P14&lt;&gt;"OK",1,0)+IF(Q14&lt;&gt;"OK",1,0)+IF(OR(R14="OK",R14="Not Tested"),0,1)+IF(S14&lt;&gt;"OK",1,0)+IF(T14&lt;&gt;"OK",1,0)+IF(U14&lt;&gt;"OK",1,0)</x:f>
        <x:v>1</x:v>
      </x:c>
      <x:c r="W14" s="23" t="str">
        <x:f>IF(V14=0,"Ready",IF(OR(P14&lt;&gt;"OK",Q14&lt;&gt;"OK"),"High Priority Review","Review"))</x:f>
        <x:v>Review</x:v>
      </x:c>
      <x:c r="X14" s="23" t="str">
        <x:f>IF(P14&lt;&gt;"OK","Verify tracking ID using carrier portal",IF(Q14&lt;&gt;"OK","Confirm approved carrier",IF(R14&lt;&gt;"OK","Verify carrier SLA and shipment dates",IF(S14&lt;&gt;"OK","Send written delivery escalation",IF(T14&lt;&gt;"OK","Request proof of delivery",IF(U14&lt;&gt;"OK","Request written tracking update","No action required"))))))</x:f>
        <x:v>Request proof of delivery</x:v>
      </x:c>
    </x:row>
    <x:row r="15">
      <x:c r="A15" s="23" t="n">
        <x:v>15</x:v>
      </x:c>
      <x:c r="B15" s="23" t="str">
        <x:f>IF('Raw Shipments'!A15="","",'Raw Shipments'!A15)</x:f>
        <x:v>SHP-0012</x:v>
      </x:c>
      <x:c r="C15" s="23" t="str">
        <x:f>IF('Raw Shipments'!B15="","",'Raw Shipments'!B15)</x:f>
        <x:v>TRK-02012</x:v>
      </x:c>
      <x:c r="D15" s="23" t="n">
        <x:f>COUNTIF('Raw Shipments'!$B$4:$B$53,C15)</x:f>
        <x:v>1</x:v>
      </x:c>
      <x:c r="E15" s="23" t="str">
        <x:f>IF('Raw Shipments'!C15="","",'Raw Shipments'!C15)</x:f>
        <x:v>Archipelago Cargo</x:v>
      </x:c>
      <x:c r="F15" s="23" t="str">
        <x:f>IF('Raw Shipments'!D15="","",'Raw Shipments'!D15)</x:f>
        <x:v>Surabaya</x:v>
      </x:c>
      <x:c r="G15" s="23" t="str">
        <x:f>IF('Raw Shipments'!E15="","",'Raw Shipments'!E15)</x:f>
        <x:v>Makassar</x:v>
      </x:c>
      <x:c r="H15" s="23" t="str">
        <x:f>IF('Raw Shipments'!F15="","",'Raw Shipments'!F15)</x:f>
        <x:v>Express</x:v>
      </x:c>
      <x:c r="I15" s="24" t="n">
        <x:f>IF('Raw Shipments'!G15="","",'Raw Shipments'!G15)</x:f>
        <x:v>46246</x:v>
      </x:c>
      <x:c r="J15" s="24" t="n">
        <x:f>IF('Raw Shipments'!H15="","",'Raw Shipments'!H15)</x:f>
        <x:v>46248</x:v>
      </x:c>
      <x:c r="K15" s="24" t="str">
        <x:f>IF('Raw Shipments'!I15="","",'Raw Shipments'!I15)</x:f>
        <x:v>Delivered</x:v>
      </x:c>
      <x:c r="L15" s="24" t="n">
        <x:f>IF('Raw Shipments'!J15="","",'Raw Shipments'!J15)</x:f>
        <x:v>46248</x:v>
      </x:c>
      <x:c r="M15" s="24" t="n">
        <x:f>IF('Raw Shipments'!K15="","",'Raw Shipments'!K15)</x:f>
        <x:v>46248</x:v>
      </x:c>
      <x:c r="N15" s="23" t="str">
        <x:f>IF('Raw Shipments'!L15="","",'Raw Shipments'!L15)</x:f>
        <x:v>Received</x:v>
      </x:c>
      <x:c r="O15" s="23" t="n">
        <x:f>IF('Raw Shipments'!M15="","",'Raw Shipments'!M15)</x:f>
        <x:v>5</x:v>
      </x:c>
      <x:c r="P15" s="23" t="str">
        <x:f>IF(D15&gt;1,"Duplicate Tracking ID","OK")</x:f>
        <x:v>OK</x:v>
      </x:c>
      <x:c r="Q15" s="23" t="str">
        <x:f>IF(E15="Unknown Carrier","Invalid Carrier","OK")</x:f>
        <x:v>OK</x:v>
      </x:c>
      <x:c r="R15" s="23" t="str">
        <x:f>IF(Q15&lt;&gt;"OK","Not Tested",IF(OR(J15&lt;&gt;I15+IF(H15="Standard",VLOOKUP(E15,'SLA Reference'!$A$5:$C$7,2,FALSE),VLOOKUP(E15,'SLA Reference'!$A$5:$C$7,3,FALSE)),AND(L15&lt;&gt;"",L15&lt;I15)),"Invalid SLA / Date","OK"))</x:f>
        <x:v>Invalid SLA / Date</x:v>
      </x:c>
      <x:c r="S15" s="23" t="str">
        <x:f>IF(AND(K15="Delivered",L15&gt;J15),"Late Delivery",IF(AND(K15="In Transit",J15&lt;DATE(2026,8,17)),"Overdue In Transit","OK"))</x:f>
        <x:v>OK</x:v>
      </x:c>
      <x:c r="T15" s="23" t="str">
        <x:f>IF(AND(K15="Delivered",N15&lt;&gt;"Received"),"Missing POD","OK")</x:f>
        <x:v>OK</x:v>
      </x:c>
      <x:c r="U15" s="23" t="str">
        <x:f>IF(AND(K15="In Transit",DATE(2026,8,17)-M15&gt;2),"Stale Update","OK")</x:f>
        <x:v>OK</x:v>
      </x:c>
      <x:c r="V15" s="23" t="n">
        <x:f>IF(P15&lt;&gt;"OK",1,0)+IF(Q15&lt;&gt;"OK",1,0)+IF(OR(R15="OK",R15="Not Tested"),0,1)+IF(S15&lt;&gt;"OK",1,0)+IF(T15&lt;&gt;"OK",1,0)+IF(U15&lt;&gt;"OK",1,0)</x:f>
        <x:v>1</x:v>
      </x:c>
      <x:c r="W15" s="23" t="str">
        <x:f>IF(V15=0,"Ready",IF(OR(P15&lt;&gt;"OK",Q15&lt;&gt;"OK"),"High Priority Review","Review"))</x:f>
        <x:v>Review</x:v>
      </x:c>
      <x:c r="X15" s="23" t="str">
        <x:f>IF(P15&lt;&gt;"OK","Verify tracking ID using carrier portal",IF(Q15&lt;&gt;"OK","Confirm approved carrier",IF(R15&lt;&gt;"OK","Verify carrier SLA and shipment dates",IF(S15&lt;&gt;"OK","Send written delivery escalation",IF(T15&lt;&gt;"OK","Request proof of delivery",IF(U15&lt;&gt;"OK","Request written tracking update","No action required"))))))</x:f>
        <x:v>Verify carrier SLA and shipment dates</x:v>
      </x:c>
    </x:row>
    <x:row r="16">
      <x:c r="A16" s="21" t="n">
        <x:v>16</x:v>
      </x:c>
      <x:c r="B16" s="21" t="str">
        <x:f>IF('Raw Shipments'!A16="","",'Raw Shipments'!A16)</x:f>
        <x:v>SHP-0013</x:v>
      </x:c>
      <x:c r="C16" s="21" t="str">
        <x:f>IF('Raw Shipments'!B16="","",'Raw Shipments'!B16)</x:f>
        <x:v>TRK-02013</x:v>
      </x:c>
      <x:c r="D16" s="21" t="n">
        <x:f>COUNTIF('Raw Shipments'!$B$4:$B$53,C16)</x:f>
        <x:v>1</x:v>
      </x:c>
      <x:c r="E16" s="21" t="str">
        <x:f>IF('Raw Shipments'!C16="","",'Raw Shipments'!C16)</x:f>
        <x:v>SwiftShip</x:v>
      </x:c>
      <x:c r="F16" s="21" t="str">
        <x:f>IF('Raw Shipments'!D16="","",'Raw Shipments'!D16)</x:f>
        <x:v>Jakarta</x:v>
      </x:c>
      <x:c r="G16" s="21" t="str">
        <x:f>IF('Raw Shipments'!E16="","",'Raw Shipments'!E16)</x:f>
        <x:v>Semarang</x:v>
      </x:c>
      <x:c r="H16" s="21" t="str">
        <x:f>IF('Raw Shipments'!F16="","",'Raw Shipments'!F16)</x:f>
        <x:v>Standard</x:v>
      </x:c>
      <x:c r="I16" s="22" t="n">
        <x:f>IF('Raw Shipments'!G16="","",'Raw Shipments'!G16)</x:f>
        <x:v>46235</x:v>
      </x:c>
      <x:c r="J16" s="22" t="n">
        <x:f>IF('Raw Shipments'!H16="","",'Raw Shipments'!H16)</x:f>
        <x:v>46239</x:v>
      </x:c>
      <x:c r="K16" s="22" t="str">
        <x:f>IF('Raw Shipments'!I16="","",'Raw Shipments'!I16)</x:f>
        <x:v>Delivered</x:v>
      </x:c>
      <x:c r="L16" s="22" t="n">
        <x:f>IF('Raw Shipments'!J16="","",'Raw Shipments'!J16)</x:f>
        <x:v>46239</x:v>
      </x:c>
      <x:c r="M16" s="22" t="n">
        <x:f>IF('Raw Shipments'!K16="","",'Raw Shipments'!K16)</x:f>
        <x:v>46249</x:v>
      </x:c>
      <x:c r="N16" s="21" t="str">
        <x:f>IF('Raw Shipments'!L16="","",'Raw Shipments'!L16)</x:f>
        <x:v>Received</x:v>
      </x:c>
      <x:c r="O16" s="21" t="n">
        <x:f>IF('Raw Shipments'!M16="","",'Raw Shipments'!M16)</x:f>
        <x:v>6</x:v>
      </x:c>
      <x:c r="P16" s="21" t="str">
        <x:f>IF(D16&gt;1,"Duplicate Tracking ID","OK")</x:f>
        <x:v>OK</x:v>
      </x:c>
      <x:c r="Q16" s="21" t="str">
        <x:f>IF(E16="Unknown Carrier","Invalid Carrier","OK")</x:f>
        <x:v>OK</x:v>
      </x:c>
      <x:c r="R16" s="21" t="str">
        <x:f>IF(Q16&lt;&gt;"OK","Not Tested",IF(OR(J16&lt;&gt;I16+IF(H16="Standard",VLOOKUP(E16,'SLA Reference'!$A$5:$C$7,2,FALSE),VLOOKUP(E16,'SLA Reference'!$A$5:$C$7,3,FALSE)),AND(L16&lt;&gt;"",L16&lt;I16)),"Invalid SLA / Date","OK"))</x:f>
        <x:v>OK</x:v>
      </x:c>
      <x:c r="S16" s="21" t="str">
        <x:f>IF(AND(K16="Delivered",L16&gt;J16),"Late Delivery",IF(AND(K16="In Transit",J16&lt;DATE(2026,8,17)),"Overdue In Transit","OK"))</x:f>
        <x:v>OK</x:v>
      </x:c>
      <x:c r="T16" s="21" t="str">
        <x:f>IF(AND(K16="Delivered",N16&lt;&gt;"Received"),"Missing POD","OK")</x:f>
        <x:v>OK</x:v>
      </x:c>
      <x:c r="U16" s="21" t="str">
        <x:f>IF(AND(K16="In Transit",DATE(2026,8,17)-M16&gt;2),"Stale Update","OK")</x:f>
        <x:v>OK</x:v>
      </x:c>
      <x:c r="V16" s="21" t="n">
        <x:f>IF(P16&lt;&gt;"OK",1,0)+IF(Q16&lt;&gt;"OK",1,0)+IF(OR(R16="OK",R16="Not Tested"),0,1)+IF(S16&lt;&gt;"OK",1,0)+IF(T16&lt;&gt;"OK",1,0)+IF(U16&lt;&gt;"OK",1,0)</x:f>
        <x:v>0</x:v>
      </x:c>
      <x:c r="W16" s="21" t="str">
        <x:f>IF(V16=0,"Ready",IF(OR(P16&lt;&gt;"OK",Q16&lt;&gt;"OK"),"High Priority Review","Review"))</x:f>
        <x:v>Ready</x:v>
      </x:c>
      <x:c r="X16" s="21" t="str">
        <x:f>IF(P16&lt;&gt;"OK","Verify tracking ID using carrier portal",IF(Q16&lt;&gt;"OK","Confirm approved carrier",IF(R16&lt;&gt;"OK","Verify carrier SLA and shipment dates",IF(S16&lt;&gt;"OK","Send written delivery escalation",IF(T16&lt;&gt;"OK","Request proof of delivery",IF(U16&lt;&gt;"OK","Request written tracking update","No action required"))))))</x:f>
        <x:v>No action required</x:v>
      </x:c>
    </x:row>
    <x:row r="17">
      <x:c r="A17" s="23" t="n">
        <x:v>17</x:v>
      </x:c>
      <x:c r="B17" s="23" t="str">
        <x:f>IF('Raw Shipments'!A17="","",'Raw Shipments'!A17)</x:f>
        <x:v>SHP-0014</x:v>
      </x:c>
      <x:c r="C17" s="23" t="str">
        <x:f>IF('Raw Shipments'!B17="","",'Raw Shipments'!B17)</x:f>
        <x:v>TRK-02014</x:v>
      </x:c>
      <x:c r="D17" s="23" t="n">
        <x:f>COUNTIF('Raw Shipments'!$B$4:$B$53,C17)</x:f>
        <x:v>1</x:v>
      </x:c>
      <x:c r="E17" s="23" t="str">
        <x:f>IF('Raw Shipments'!C17="","",'Raw Shipments'!C17)</x:f>
        <x:v>Nusa Express</x:v>
      </x:c>
      <x:c r="F17" s="23" t="str">
        <x:f>IF('Raw Shipments'!D17="","",'Raw Shipments'!D17)</x:f>
        <x:v>Bandung</x:v>
      </x:c>
      <x:c r="G17" s="23" t="str">
        <x:f>IF('Raw Shipments'!E17="","",'Raw Shipments'!E17)</x:f>
        <x:v>Denpasar</x:v>
      </x:c>
      <x:c r="H17" s="23" t="str">
        <x:f>IF('Raw Shipments'!F17="","",'Raw Shipments'!F17)</x:f>
        <x:v>Express</x:v>
      </x:c>
      <x:c r="I17" s="24" t="n">
        <x:f>IF('Raw Shipments'!G17="","",'Raw Shipments'!G17)</x:f>
        <x:v>46236</x:v>
      </x:c>
      <x:c r="J17" s="24" t="n">
        <x:f>IF('Raw Shipments'!H17="","",'Raw Shipments'!H17)</x:f>
        <x:v>46238</x:v>
      </x:c>
      <x:c r="K17" s="24" t="str">
        <x:f>IF('Raw Shipments'!I17="","",'Raw Shipments'!I17)</x:f>
        <x:v>Delivered</x:v>
      </x:c>
      <x:c r="L17" s="24" t="n">
        <x:f>IF('Raw Shipments'!J17="","",'Raw Shipments'!J17)</x:f>
        <x:v>46240</x:v>
      </x:c>
      <x:c r="M17" s="24" t="n">
        <x:f>IF('Raw Shipments'!K17="","",'Raw Shipments'!K17)</x:f>
        <x:v>46250</x:v>
      </x:c>
      <x:c r="N17" s="23" t="str">
        <x:f>IF('Raw Shipments'!L17="","",'Raw Shipments'!L17)</x:f>
        <x:v>Received</x:v>
      </x:c>
      <x:c r="O17" s="23" t="n">
        <x:f>IF('Raw Shipments'!M17="","",'Raw Shipments'!M17)</x:f>
        <x:v>7</x:v>
      </x:c>
      <x:c r="P17" s="23" t="str">
        <x:f>IF(D17&gt;1,"Duplicate Tracking ID","OK")</x:f>
        <x:v>OK</x:v>
      </x:c>
      <x:c r="Q17" s="23" t="str">
        <x:f>IF(E17="Unknown Carrier","Invalid Carrier","OK")</x:f>
        <x:v>OK</x:v>
      </x:c>
      <x:c r="R17" s="23" t="str">
        <x:f>IF(Q17&lt;&gt;"OK","Not Tested",IF(OR(J17&lt;&gt;I17+IF(H17="Standard",VLOOKUP(E17,'SLA Reference'!$A$5:$C$7,2,FALSE),VLOOKUP(E17,'SLA Reference'!$A$5:$C$7,3,FALSE)),AND(L17&lt;&gt;"",L17&lt;I17)),"Invalid SLA / Date","OK"))</x:f>
        <x:v>OK</x:v>
      </x:c>
      <x:c r="S17" s="23" t="str">
        <x:f>IF(AND(K17="Delivered",L17&gt;J17),"Late Delivery",IF(AND(K17="In Transit",J17&lt;DATE(2026,8,17)),"Overdue In Transit","OK"))</x:f>
        <x:v>Late Delivery</x:v>
      </x:c>
      <x:c r="T17" s="23" t="str">
        <x:f>IF(AND(K17="Delivered",N17&lt;&gt;"Received"),"Missing POD","OK")</x:f>
        <x:v>OK</x:v>
      </x:c>
      <x:c r="U17" s="23" t="str">
        <x:f>IF(AND(K17="In Transit",DATE(2026,8,17)-M17&gt;2),"Stale Update","OK")</x:f>
        <x:v>OK</x:v>
      </x:c>
      <x:c r="V17" s="23" t="n">
        <x:f>IF(P17&lt;&gt;"OK",1,0)+IF(Q17&lt;&gt;"OK",1,0)+IF(OR(R17="OK",R17="Not Tested"),0,1)+IF(S17&lt;&gt;"OK",1,0)+IF(T17&lt;&gt;"OK",1,0)+IF(U17&lt;&gt;"OK",1,0)</x:f>
        <x:v>1</x:v>
      </x:c>
      <x:c r="W17" s="23" t="str">
        <x:f>IF(V17=0,"Ready",IF(OR(P17&lt;&gt;"OK",Q17&lt;&gt;"OK"),"High Priority Review","Review"))</x:f>
        <x:v>Review</x:v>
      </x:c>
      <x:c r="X17" s="23" t="str">
        <x:f>IF(P17&lt;&gt;"OK","Verify tracking ID using carrier portal",IF(Q17&lt;&gt;"OK","Confirm approved carrier",IF(R17&lt;&gt;"OK","Verify carrier SLA and shipment dates",IF(S17&lt;&gt;"OK","Send written delivery escalation",IF(T17&lt;&gt;"OK","Request proof of delivery",IF(U17&lt;&gt;"OK","Request written tracking update","No action required"))))))</x:f>
        <x:v>Send written delivery escalation</x:v>
      </x:c>
    </x:row>
    <x:row r="18">
      <x:c r="A18" s="25" t="n">
        <x:v>18</x:v>
      </x:c>
      <x:c r="B18" s="25" t="str">
        <x:f>IF('Raw Shipments'!A18="","",'Raw Shipments'!A18)</x:f>
        <x:v>SHP-0015</x:v>
      </x:c>
      <x:c r="C18" s="25" t="str">
        <x:f>IF('Raw Shipments'!B18="","",'Raw Shipments'!B18)</x:f>
        <x:v>TRK-02015</x:v>
      </x:c>
      <x:c r="D18" s="25" t="n">
        <x:f>COUNTIF('Raw Shipments'!$B$4:$B$53,C18)</x:f>
        <x:v>2</x:v>
      </x:c>
      <x:c r="E18" s="25" t="str">
        <x:f>IF('Raw Shipments'!C18="","",'Raw Shipments'!C18)</x:f>
        <x:v>Archipelago Cargo</x:v>
      </x:c>
      <x:c r="F18" s="25" t="str">
        <x:f>IF('Raw Shipments'!D18="","",'Raw Shipments'!D18)</x:f>
        <x:v>Surabaya</x:v>
      </x:c>
      <x:c r="G18" s="25" t="str">
        <x:f>IF('Raw Shipments'!E18="","",'Raw Shipments'!E18)</x:f>
        <x:v>Yogyakarta</x:v>
      </x:c>
      <x:c r="H18" s="25" t="str">
        <x:f>IF('Raw Shipments'!F18="","",'Raw Shipments'!F18)</x:f>
        <x:v>Standard</x:v>
      </x:c>
      <x:c r="I18" s="26" t="n">
        <x:f>IF('Raw Shipments'!G18="","",'Raw Shipments'!G18)</x:f>
        <x:v>46237</x:v>
      </x:c>
      <x:c r="J18" s="26" t="n">
        <x:f>IF('Raw Shipments'!H18="","",'Raw Shipments'!H18)</x:f>
        <x:v>46241</x:v>
      </x:c>
      <x:c r="K18" s="26" t="str">
        <x:f>IF('Raw Shipments'!I18="","",'Raw Shipments'!I18)</x:f>
        <x:v>In Transit</x:v>
      </x:c>
      <x:c r="L18" s="26" t="str">
        <x:f>IF('Raw Shipments'!J18="","",'Raw Shipments'!J18)</x:f>
      </x:c>
      <x:c r="M18" s="26" t="n">
        <x:f>IF('Raw Shipments'!K18="","",'Raw Shipments'!K18)</x:f>
        <x:v>46248</x:v>
      </x:c>
      <x:c r="N18" s="25" t="str">
        <x:f>IF('Raw Shipments'!L18="","",'Raw Shipments'!L18)</x:f>
        <x:v>Pending</x:v>
      </x:c>
      <x:c r="O18" s="25" t="n">
        <x:f>IF('Raw Shipments'!M18="","",'Raw Shipments'!M18)</x:f>
        <x:v>8</x:v>
      </x:c>
      <x:c r="P18" s="25" t="str">
        <x:f>IF(D18&gt;1,"Duplicate Tracking ID","OK")</x:f>
        <x:v>Duplicate Tracking ID</x:v>
      </x:c>
      <x:c r="Q18" s="25" t="str">
        <x:f>IF(E18="Unknown Carrier","Invalid Carrier","OK")</x:f>
        <x:v>OK</x:v>
      </x:c>
      <x:c r="R18" s="25" t="str">
        <x:f>IF(Q18&lt;&gt;"OK","Not Tested",IF(OR(J18&lt;&gt;I18+IF(H18="Standard",VLOOKUP(E18,'SLA Reference'!$A$5:$C$7,2,FALSE),VLOOKUP(E18,'SLA Reference'!$A$5:$C$7,3,FALSE)),AND(L18&lt;&gt;"",L18&lt;I18)),"Invalid SLA / Date","OK"))</x:f>
        <x:v>Invalid SLA / Date</x:v>
      </x:c>
      <x:c r="S18" s="25" t="str">
        <x:f>IF(AND(K18="Delivered",L18&gt;J18),"Late Delivery",IF(AND(K18="In Transit",J18&lt;DATE(2026,8,17)),"Overdue In Transit","OK"))</x:f>
        <x:v>Overdue In Transit</x:v>
      </x:c>
      <x:c r="T18" s="25" t="str">
        <x:f>IF(AND(K18="Delivered",N18&lt;&gt;"Received"),"Missing POD","OK")</x:f>
        <x:v>OK</x:v>
      </x:c>
      <x:c r="U18" s="25" t="str">
        <x:f>IF(AND(K18="In Transit",DATE(2026,8,17)-M18&gt;2),"Stale Update","OK")</x:f>
        <x:v>Stale Update</x:v>
      </x:c>
      <x:c r="V18" s="25" t="n">
        <x:f>IF(P18&lt;&gt;"OK",1,0)+IF(Q18&lt;&gt;"OK",1,0)+IF(OR(R18="OK",R18="Not Tested"),0,1)+IF(S18&lt;&gt;"OK",1,0)+IF(T18&lt;&gt;"OK",1,0)+IF(U18&lt;&gt;"OK",1,0)</x:f>
        <x:v>4</x:v>
      </x:c>
      <x:c r="W18" s="25" t="str">
        <x:f>IF(V18=0,"Ready",IF(OR(P18&lt;&gt;"OK",Q18&lt;&gt;"OK"),"High Priority Review","Review"))</x:f>
        <x:v>High Priority Review</x:v>
      </x:c>
      <x:c r="X18" s="25" t="str">
        <x:f>IF(P18&lt;&gt;"OK","Verify tracking ID using carrier portal",IF(Q18&lt;&gt;"OK","Confirm approved carrier",IF(R18&lt;&gt;"OK","Verify carrier SLA and shipment dates",IF(S18&lt;&gt;"OK","Send written delivery escalation",IF(T18&lt;&gt;"OK","Request proof of delivery",IF(U18&lt;&gt;"OK","Request written tracking update","No action required"))))))</x:f>
        <x:v>Verify tracking ID using carrier portal</x:v>
      </x:c>
    </x:row>
    <x:row r="19">
      <x:c r="A19" s="25" t="n">
        <x:v>19</x:v>
      </x:c>
      <x:c r="B19" s="25" t="str">
        <x:f>IF('Raw Shipments'!A19="","",'Raw Shipments'!A19)</x:f>
        <x:v>SHP-0016</x:v>
      </x:c>
      <x:c r="C19" s="25" t="str">
        <x:f>IF('Raw Shipments'!B19="","",'Raw Shipments'!B19)</x:f>
        <x:v>TRK-02015</x:v>
      </x:c>
      <x:c r="D19" s="25" t="n">
        <x:f>COUNTIF('Raw Shipments'!$B$4:$B$53,C19)</x:f>
        <x:v>2</x:v>
      </x:c>
      <x:c r="E19" s="25" t="str">
        <x:f>IF('Raw Shipments'!C19="","",'Raw Shipments'!C19)</x:f>
        <x:v>SwiftShip</x:v>
      </x:c>
      <x:c r="F19" s="25" t="str">
        <x:f>IF('Raw Shipments'!D19="","",'Raw Shipments'!D19)</x:f>
        <x:v>Jakarta</x:v>
      </x:c>
      <x:c r="G19" s="25" t="str">
        <x:f>IF('Raw Shipments'!E19="","",'Raw Shipments'!E19)</x:f>
        <x:v>Medan</x:v>
      </x:c>
      <x:c r="H19" s="25" t="str">
        <x:f>IF('Raw Shipments'!F19="","",'Raw Shipments'!F19)</x:f>
        <x:v>Express</x:v>
      </x:c>
      <x:c r="I19" s="26" t="n">
        <x:f>IF('Raw Shipments'!G19="","",'Raw Shipments'!G19)</x:f>
        <x:v>46238</x:v>
      </x:c>
      <x:c r="J19" s="26" t="n">
        <x:f>IF('Raw Shipments'!H19="","",'Raw Shipments'!H19)</x:f>
        <x:v>46240</x:v>
      </x:c>
      <x:c r="K19" s="26" t="str">
        <x:f>IF('Raw Shipments'!I19="","",'Raw Shipments'!I19)</x:f>
        <x:v>Delivered</x:v>
      </x:c>
      <x:c r="L19" s="26" t="n">
        <x:f>IF('Raw Shipments'!J19="","",'Raw Shipments'!J19)</x:f>
        <x:v>46240</x:v>
      </x:c>
      <x:c r="M19" s="26" t="n">
        <x:f>IF('Raw Shipments'!K19="","",'Raw Shipments'!K19)</x:f>
        <x:v>46249</x:v>
      </x:c>
      <x:c r="N19" s="25" t="str">
        <x:f>IF('Raw Shipments'!L19="","",'Raw Shipments'!L19)</x:f>
        <x:v>Received</x:v>
      </x:c>
      <x:c r="O19" s="25" t="n">
        <x:f>IF('Raw Shipments'!M19="","",'Raw Shipments'!M19)</x:f>
        <x:v>1</x:v>
      </x:c>
      <x:c r="P19" s="25" t="str">
        <x:f>IF(D19&gt;1,"Duplicate Tracking ID","OK")</x:f>
        <x:v>Duplicate Tracking ID</x:v>
      </x:c>
      <x:c r="Q19" s="25" t="str">
        <x:f>IF(E19="Unknown Carrier","Invalid Carrier","OK")</x:f>
        <x:v>OK</x:v>
      </x:c>
      <x:c r="R19" s="25" t="str">
        <x:f>IF(Q19&lt;&gt;"OK","Not Tested",IF(OR(J19&lt;&gt;I19+IF(H19="Standard",VLOOKUP(E19,'SLA Reference'!$A$5:$C$7,2,FALSE),VLOOKUP(E19,'SLA Reference'!$A$5:$C$7,3,FALSE)),AND(L19&lt;&gt;"",L19&lt;I19)),"Invalid SLA / Date","OK"))</x:f>
        <x:v>OK</x:v>
      </x:c>
      <x:c r="S19" s="25" t="str">
        <x:f>IF(AND(K19="Delivered",L19&gt;J19),"Late Delivery",IF(AND(K19="In Transit",J19&lt;DATE(2026,8,17)),"Overdue In Transit","OK"))</x:f>
        <x:v>OK</x:v>
      </x:c>
      <x:c r="T19" s="25" t="str">
        <x:f>IF(AND(K19="Delivered",N19&lt;&gt;"Received"),"Missing POD","OK")</x:f>
        <x:v>OK</x:v>
      </x:c>
      <x:c r="U19" s="25" t="str">
        <x:f>IF(AND(K19="In Transit",DATE(2026,8,17)-M19&gt;2),"Stale Update","OK")</x:f>
        <x:v>OK</x:v>
      </x:c>
      <x:c r="V19" s="25" t="n">
        <x:f>IF(P19&lt;&gt;"OK",1,0)+IF(Q19&lt;&gt;"OK",1,0)+IF(OR(R19="OK",R19="Not Tested"),0,1)+IF(S19&lt;&gt;"OK",1,0)+IF(T19&lt;&gt;"OK",1,0)+IF(U19&lt;&gt;"OK",1,0)</x:f>
        <x:v>1</x:v>
      </x:c>
      <x:c r="W19" s="25" t="str">
        <x:f>IF(V19=0,"Ready",IF(OR(P19&lt;&gt;"OK",Q19&lt;&gt;"OK"),"High Priority Review","Review"))</x:f>
        <x:v>High Priority Review</x:v>
      </x:c>
      <x:c r="X19" s="25" t="str">
        <x:f>IF(P19&lt;&gt;"OK","Verify tracking ID using carrier portal",IF(Q19&lt;&gt;"OK","Confirm approved carrier",IF(R19&lt;&gt;"OK","Verify carrier SLA and shipment dates",IF(S19&lt;&gt;"OK","Send written delivery escalation",IF(T19&lt;&gt;"OK","Request proof of delivery",IF(U19&lt;&gt;"OK","Request written tracking update","No action required"))))))</x:f>
        <x:v>Verify tracking ID using carrier portal</x:v>
      </x:c>
    </x:row>
    <x:row r="20">
      <x:c r="A20" s="21" t="n">
        <x:v>20</x:v>
      </x:c>
      <x:c r="B20" s="21" t="str">
        <x:f>IF('Raw Shipments'!A20="","",'Raw Shipments'!A20)</x:f>
        <x:v>SHP-0017</x:v>
      </x:c>
      <x:c r="C20" s="21" t="str">
        <x:f>IF('Raw Shipments'!B20="","",'Raw Shipments'!B20)</x:f>
        <x:v>TRK-02017</x:v>
      </x:c>
      <x:c r="D20" s="21" t="n">
        <x:f>COUNTIF('Raw Shipments'!$B$4:$B$53,C20)</x:f>
        <x:v>1</x:v>
      </x:c>
      <x:c r="E20" s="21" t="str">
        <x:f>IF('Raw Shipments'!C20="","",'Raw Shipments'!C20)</x:f>
        <x:v>Nusa Express</x:v>
      </x:c>
      <x:c r="F20" s="21" t="str">
        <x:f>IF('Raw Shipments'!D20="","",'Raw Shipments'!D20)</x:f>
        <x:v>Bandung</x:v>
      </x:c>
      <x:c r="G20" s="21" t="str">
        <x:f>IF('Raw Shipments'!E20="","",'Raw Shipments'!E20)</x:f>
        <x:v>Makassar</x:v>
      </x:c>
      <x:c r="H20" s="21" t="str">
        <x:f>IF('Raw Shipments'!F20="","",'Raw Shipments'!F20)</x:f>
        <x:v>Standard</x:v>
      </x:c>
      <x:c r="I20" s="22" t="n">
        <x:f>IF('Raw Shipments'!G20="","",'Raw Shipments'!G20)</x:f>
        <x:v>46239</x:v>
      </x:c>
      <x:c r="J20" s="22" t="n">
        <x:f>IF('Raw Shipments'!H20="","",'Raw Shipments'!H20)</x:f>
        <x:v>46243</x:v>
      </x:c>
      <x:c r="K20" s="22" t="str">
        <x:f>IF('Raw Shipments'!I20="","",'Raw Shipments'!I20)</x:f>
        <x:v>Delivered</x:v>
      </x:c>
      <x:c r="L20" s="22" t="n">
        <x:f>IF('Raw Shipments'!J20="","",'Raw Shipments'!J20)</x:f>
        <x:v>46243</x:v>
      </x:c>
      <x:c r="M20" s="22" t="n">
        <x:f>IF('Raw Shipments'!K20="","",'Raw Shipments'!K20)</x:f>
        <x:v>46250</x:v>
      </x:c>
      <x:c r="N20" s="21" t="str">
        <x:f>IF('Raw Shipments'!L20="","",'Raw Shipments'!L20)</x:f>
        <x:v>Received</x:v>
      </x:c>
      <x:c r="O20" s="21" t="n">
        <x:f>IF('Raw Shipments'!M20="","",'Raw Shipments'!M20)</x:f>
        <x:v>2</x:v>
      </x:c>
      <x:c r="P20" s="21" t="str">
        <x:f>IF(D20&gt;1,"Duplicate Tracking ID","OK")</x:f>
        <x:v>OK</x:v>
      </x:c>
      <x:c r="Q20" s="21" t="str">
        <x:f>IF(E20="Unknown Carrier","Invalid Carrier","OK")</x:f>
        <x:v>OK</x:v>
      </x:c>
      <x:c r="R20" s="21" t="str">
        <x:f>IF(Q20&lt;&gt;"OK","Not Tested",IF(OR(J20&lt;&gt;I20+IF(H20="Standard",VLOOKUP(E20,'SLA Reference'!$A$5:$C$7,2,FALSE),VLOOKUP(E20,'SLA Reference'!$A$5:$C$7,3,FALSE)),AND(L20&lt;&gt;"",L20&lt;I20)),"Invalid SLA / Date","OK"))</x:f>
        <x:v>OK</x:v>
      </x:c>
      <x:c r="S20" s="21" t="str">
        <x:f>IF(AND(K20="Delivered",L20&gt;J20),"Late Delivery",IF(AND(K20="In Transit",J20&lt;DATE(2026,8,17)),"Overdue In Transit","OK"))</x:f>
        <x:v>OK</x:v>
      </x:c>
      <x:c r="T20" s="21" t="str">
        <x:f>IF(AND(K20="Delivered",N20&lt;&gt;"Received"),"Missing POD","OK")</x:f>
        <x:v>OK</x:v>
      </x:c>
      <x:c r="U20" s="21" t="str">
        <x:f>IF(AND(K20="In Transit",DATE(2026,8,17)-M20&gt;2),"Stale Update","OK")</x:f>
        <x:v>OK</x:v>
      </x:c>
      <x:c r="V20" s="21" t="n">
        <x:f>IF(P20&lt;&gt;"OK",1,0)+IF(Q20&lt;&gt;"OK",1,0)+IF(OR(R20="OK",R20="Not Tested"),0,1)+IF(S20&lt;&gt;"OK",1,0)+IF(T20&lt;&gt;"OK",1,0)+IF(U20&lt;&gt;"OK",1,0)</x:f>
        <x:v>0</x:v>
      </x:c>
      <x:c r="W20" s="21" t="str">
        <x:f>IF(V20=0,"Ready",IF(OR(P20&lt;&gt;"OK",Q20&lt;&gt;"OK"),"High Priority Review","Review"))</x:f>
        <x:v>Ready</x:v>
      </x:c>
      <x:c r="X20" s="21" t="str">
        <x:f>IF(P20&lt;&gt;"OK","Verify tracking ID using carrier portal",IF(Q20&lt;&gt;"OK","Confirm approved carrier",IF(R20&lt;&gt;"OK","Verify carrier SLA and shipment dates",IF(S20&lt;&gt;"OK","Send written delivery escalation",IF(T20&lt;&gt;"OK","Request proof of delivery",IF(U20&lt;&gt;"OK","Request written tracking update","No action required"))))))</x:f>
        <x:v>No action required</x:v>
      </x:c>
    </x:row>
    <x:row r="21">
      <x:c r="A21" s="23" t="n">
        <x:v>21</x:v>
      </x:c>
      <x:c r="B21" s="23" t="str">
        <x:f>IF('Raw Shipments'!A21="","",'Raw Shipments'!A21)</x:f>
        <x:v>SHP-0018</x:v>
      </x:c>
      <x:c r="C21" s="23" t="str">
        <x:f>IF('Raw Shipments'!B21="","",'Raw Shipments'!B21)</x:f>
        <x:v>TRK-02018</x:v>
      </x:c>
      <x:c r="D21" s="23" t="n">
        <x:f>COUNTIF('Raw Shipments'!$B$4:$B$53,C21)</x:f>
        <x:v>1</x:v>
      </x:c>
      <x:c r="E21" s="23" t="str">
        <x:f>IF('Raw Shipments'!C21="","",'Raw Shipments'!C21)</x:f>
        <x:v>Archipelago Cargo</x:v>
      </x:c>
      <x:c r="F21" s="23" t="str">
        <x:f>IF('Raw Shipments'!D21="","",'Raw Shipments'!D21)</x:f>
        <x:v>Surabaya</x:v>
      </x:c>
      <x:c r="G21" s="23" t="str">
        <x:f>IF('Raw Shipments'!E21="","",'Raw Shipments'!E21)</x:f>
        <x:v>Semarang</x:v>
      </x:c>
      <x:c r="H21" s="23" t="str">
        <x:f>IF('Raw Shipments'!F21="","",'Raw Shipments'!F21)</x:f>
        <x:v>Express</x:v>
      </x:c>
      <x:c r="I21" s="24" t="n">
        <x:f>IF('Raw Shipments'!G21="","",'Raw Shipments'!G21)</x:f>
        <x:v>46240</x:v>
      </x:c>
      <x:c r="J21" s="24" t="n">
        <x:f>IF('Raw Shipments'!H21="","",'Raw Shipments'!H21)</x:f>
        <x:v>46242</x:v>
      </x:c>
      <x:c r="K21" s="24" t="str">
        <x:f>IF('Raw Shipments'!I21="","",'Raw Shipments'!I21)</x:f>
        <x:v>Delivered</x:v>
      </x:c>
      <x:c r="L21" s="24" t="n">
        <x:f>IF('Raw Shipments'!J21="","",'Raw Shipments'!J21)</x:f>
        <x:v>46242</x:v>
      </x:c>
      <x:c r="M21" s="24" t="n">
        <x:f>IF('Raw Shipments'!K21="","",'Raw Shipments'!K21)</x:f>
        <x:v>46248</x:v>
      </x:c>
      <x:c r="N21" s="23" t="str">
        <x:f>IF('Raw Shipments'!L21="","",'Raw Shipments'!L21)</x:f>
        <x:v>Received</x:v>
      </x:c>
      <x:c r="O21" s="23" t="n">
        <x:f>IF('Raw Shipments'!M21="","",'Raw Shipments'!M21)</x:f>
        <x:v>3</x:v>
      </x:c>
      <x:c r="P21" s="23" t="str">
        <x:f>IF(D21&gt;1,"Duplicate Tracking ID","OK")</x:f>
        <x:v>OK</x:v>
      </x:c>
      <x:c r="Q21" s="23" t="str">
        <x:f>IF(E21="Unknown Carrier","Invalid Carrier","OK")</x:f>
        <x:v>OK</x:v>
      </x:c>
      <x:c r="R21" s="23" t="str">
        <x:f>IF(Q21&lt;&gt;"OK","Not Tested",IF(OR(J21&lt;&gt;I21+IF(H21="Standard",VLOOKUP(E21,'SLA Reference'!$A$5:$C$7,2,FALSE),VLOOKUP(E21,'SLA Reference'!$A$5:$C$7,3,FALSE)),AND(L21&lt;&gt;"",L21&lt;I21)),"Invalid SLA / Date","OK"))</x:f>
        <x:v>Invalid SLA / Date</x:v>
      </x:c>
      <x:c r="S21" s="23" t="str">
        <x:f>IF(AND(K21="Delivered",L21&gt;J21),"Late Delivery",IF(AND(K21="In Transit",J21&lt;DATE(2026,8,17)),"Overdue In Transit","OK"))</x:f>
        <x:v>OK</x:v>
      </x:c>
      <x:c r="T21" s="23" t="str">
        <x:f>IF(AND(K21="Delivered",N21&lt;&gt;"Received"),"Missing POD","OK")</x:f>
        <x:v>OK</x:v>
      </x:c>
      <x:c r="U21" s="23" t="str">
        <x:f>IF(AND(K21="In Transit",DATE(2026,8,17)-M21&gt;2),"Stale Update","OK")</x:f>
        <x:v>OK</x:v>
      </x:c>
      <x:c r="V21" s="23" t="n">
        <x:f>IF(P21&lt;&gt;"OK",1,0)+IF(Q21&lt;&gt;"OK",1,0)+IF(OR(R21="OK",R21="Not Tested"),0,1)+IF(S21&lt;&gt;"OK",1,0)+IF(T21&lt;&gt;"OK",1,0)+IF(U21&lt;&gt;"OK",1,0)</x:f>
        <x:v>1</x:v>
      </x:c>
      <x:c r="W21" s="23" t="str">
        <x:f>IF(V21=0,"Ready",IF(OR(P21&lt;&gt;"OK",Q21&lt;&gt;"OK"),"High Priority Review","Review"))</x:f>
        <x:v>Review</x:v>
      </x:c>
      <x:c r="X21" s="23" t="str">
        <x:f>IF(P21&lt;&gt;"OK","Verify tracking ID using carrier portal",IF(Q21&lt;&gt;"OK","Confirm approved carrier",IF(R21&lt;&gt;"OK","Verify carrier SLA and shipment dates",IF(S21&lt;&gt;"OK","Send written delivery escalation",IF(T21&lt;&gt;"OK","Request proof of delivery",IF(U21&lt;&gt;"OK","Request written tracking update","No action required"))))))</x:f>
        <x:v>Verify carrier SLA and shipment dates</x:v>
      </x:c>
    </x:row>
    <x:row r="22">
      <x:c r="A22" s="21" t="n">
        <x:v>22</x:v>
      </x:c>
      <x:c r="B22" s="21" t="str">
        <x:f>IF('Raw Shipments'!A22="","",'Raw Shipments'!A22)</x:f>
        <x:v>SHP-0019</x:v>
      </x:c>
      <x:c r="C22" s="21" t="str">
        <x:f>IF('Raw Shipments'!B22="","",'Raw Shipments'!B22)</x:f>
        <x:v>TRK-02019</x:v>
      </x:c>
      <x:c r="D22" s="21" t="n">
        <x:f>COUNTIF('Raw Shipments'!$B$4:$B$53,C22)</x:f>
        <x:v>1</x:v>
      </x:c>
      <x:c r="E22" s="21" t="str">
        <x:f>IF('Raw Shipments'!C22="","",'Raw Shipments'!C22)</x:f>
        <x:v>SwiftShip</x:v>
      </x:c>
      <x:c r="F22" s="21" t="str">
        <x:f>IF('Raw Shipments'!D22="","",'Raw Shipments'!D22)</x:f>
        <x:v>Jakarta</x:v>
      </x:c>
      <x:c r="G22" s="21" t="str">
        <x:f>IF('Raw Shipments'!E22="","",'Raw Shipments'!E22)</x:f>
        <x:v>Denpasar</x:v>
      </x:c>
      <x:c r="H22" s="21" t="str">
        <x:f>IF('Raw Shipments'!F22="","",'Raw Shipments'!F22)</x:f>
        <x:v>Standard</x:v>
      </x:c>
      <x:c r="I22" s="22" t="n">
        <x:f>IF('Raw Shipments'!G22="","",'Raw Shipments'!G22)</x:f>
        <x:v>46241</x:v>
      </x:c>
      <x:c r="J22" s="22" t="n">
        <x:f>IF('Raw Shipments'!H22="","",'Raw Shipments'!H22)</x:f>
        <x:v>46245</x:v>
      </x:c>
      <x:c r="K22" s="22" t="str">
        <x:f>IF('Raw Shipments'!I22="","",'Raw Shipments'!I22)</x:f>
        <x:v>Delivered</x:v>
      </x:c>
      <x:c r="L22" s="22" t="n">
        <x:f>IF('Raw Shipments'!J22="","",'Raw Shipments'!J22)</x:f>
        <x:v>46245</x:v>
      </x:c>
      <x:c r="M22" s="22" t="n">
        <x:f>IF('Raw Shipments'!K22="","",'Raw Shipments'!K22)</x:f>
        <x:v>46249</x:v>
      </x:c>
      <x:c r="N22" s="21" t="str">
        <x:f>IF('Raw Shipments'!L22="","",'Raw Shipments'!L22)</x:f>
        <x:v>Received</x:v>
      </x:c>
      <x:c r="O22" s="21" t="n">
        <x:f>IF('Raw Shipments'!M22="","",'Raw Shipments'!M22)</x:f>
        <x:v>4</x:v>
      </x:c>
      <x:c r="P22" s="21" t="str">
        <x:f>IF(D22&gt;1,"Duplicate Tracking ID","OK")</x:f>
        <x:v>OK</x:v>
      </x:c>
      <x:c r="Q22" s="21" t="str">
        <x:f>IF(E22="Unknown Carrier","Invalid Carrier","OK")</x:f>
        <x:v>OK</x:v>
      </x:c>
      <x:c r="R22" s="21" t="str">
        <x:f>IF(Q22&lt;&gt;"OK","Not Tested",IF(OR(J22&lt;&gt;I22+IF(H22="Standard",VLOOKUP(E22,'SLA Reference'!$A$5:$C$7,2,FALSE),VLOOKUP(E22,'SLA Reference'!$A$5:$C$7,3,FALSE)),AND(L22&lt;&gt;"",L22&lt;I22)),"Invalid SLA / Date","OK"))</x:f>
        <x:v>OK</x:v>
      </x:c>
      <x:c r="S22" s="21" t="str">
        <x:f>IF(AND(K22="Delivered",L22&gt;J22),"Late Delivery",IF(AND(K22="In Transit",J22&lt;DATE(2026,8,17)),"Overdue In Transit","OK"))</x:f>
        <x:v>OK</x:v>
      </x:c>
      <x:c r="T22" s="21" t="str">
        <x:f>IF(AND(K22="Delivered",N22&lt;&gt;"Received"),"Missing POD","OK")</x:f>
        <x:v>OK</x:v>
      </x:c>
      <x:c r="U22" s="21" t="str">
        <x:f>IF(AND(K22="In Transit",DATE(2026,8,17)-M22&gt;2),"Stale Update","OK")</x:f>
        <x:v>OK</x:v>
      </x:c>
      <x:c r="V22" s="21" t="n">
        <x:f>IF(P22&lt;&gt;"OK",1,0)+IF(Q22&lt;&gt;"OK",1,0)+IF(OR(R22="OK",R22="Not Tested"),0,1)+IF(S22&lt;&gt;"OK",1,0)+IF(T22&lt;&gt;"OK",1,0)+IF(U22&lt;&gt;"OK",1,0)</x:f>
        <x:v>0</x:v>
      </x:c>
      <x:c r="W22" s="21" t="str">
        <x:f>IF(V22=0,"Ready",IF(OR(P22&lt;&gt;"OK",Q22&lt;&gt;"OK"),"High Priority Review","Review"))</x:f>
        <x:v>Ready</x:v>
      </x:c>
      <x:c r="X22" s="21" t="str">
        <x:f>IF(P22&lt;&gt;"OK","Verify tracking ID using carrier portal",IF(Q22&lt;&gt;"OK","Confirm approved carrier",IF(R22&lt;&gt;"OK","Verify carrier SLA and shipment dates",IF(S22&lt;&gt;"OK","Send written delivery escalation",IF(T22&lt;&gt;"OK","Request proof of delivery",IF(U22&lt;&gt;"OK","Request written tracking update","No action required"))))))</x:f>
        <x:v>No action required</x:v>
      </x:c>
    </x:row>
    <x:row r="23">
      <x:c r="A23" s="23" t="n">
        <x:v>23</x:v>
      </x:c>
      <x:c r="B23" s="23" t="str">
        <x:f>IF('Raw Shipments'!A23="","",'Raw Shipments'!A23)</x:f>
        <x:v>SHP-0020</x:v>
      </x:c>
      <x:c r="C23" s="23" t="str">
        <x:f>IF('Raw Shipments'!B23="","",'Raw Shipments'!B23)</x:f>
        <x:v>TRK-02020</x:v>
      </x:c>
      <x:c r="D23" s="23" t="n">
        <x:f>COUNTIF('Raw Shipments'!$B$4:$B$53,C23)</x:f>
        <x:v>1</x:v>
      </x:c>
      <x:c r="E23" s="23" t="str">
        <x:f>IF('Raw Shipments'!C23="","",'Raw Shipments'!C23)</x:f>
        <x:v>Nusa Express</x:v>
      </x:c>
      <x:c r="F23" s="23" t="str">
        <x:f>IF('Raw Shipments'!D23="","",'Raw Shipments'!D23)</x:f>
        <x:v>Bandung</x:v>
      </x:c>
      <x:c r="G23" s="23" t="str">
        <x:f>IF('Raw Shipments'!E23="","",'Raw Shipments'!E23)</x:f>
        <x:v>Yogyakarta</x:v>
      </x:c>
      <x:c r="H23" s="23" t="str">
        <x:f>IF('Raw Shipments'!F23="","",'Raw Shipments'!F23)</x:f>
        <x:v>Express</x:v>
      </x:c>
      <x:c r="I23" s="24" t="n">
        <x:f>IF('Raw Shipments'!G23="","",'Raw Shipments'!G23)</x:f>
        <x:v>46242</x:v>
      </x:c>
      <x:c r="J23" s="24" t="n">
        <x:f>IF('Raw Shipments'!H23="","",'Raw Shipments'!H23)</x:f>
        <x:v>46244</x:v>
      </x:c>
      <x:c r="K23" s="24" t="str">
        <x:f>IF('Raw Shipments'!I23="","",'Raw Shipments'!I23)</x:f>
        <x:v>In Transit</x:v>
      </x:c>
      <x:c r="L23" s="24" t="str">
        <x:f>IF('Raw Shipments'!J23="","",'Raw Shipments'!J23)</x:f>
      </x:c>
      <x:c r="M23" s="24" t="n">
        <x:f>IF('Raw Shipments'!K23="","",'Raw Shipments'!K23)</x:f>
        <x:v>46250</x:v>
      </x:c>
      <x:c r="N23" s="23" t="str">
        <x:f>IF('Raw Shipments'!L23="","",'Raw Shipments'!L23)</x:f>
        <x:v>Pending</x:v>
      </x:c>
      <x:c r="O23" s="23" t="n">
        <x:f>IF('Raw Shipments'!M23="","",'Raw Shipments'!M23)</x:f>
        <x:v>5</x:v>
      </x:c>
      <x:c r="P23" s="23" t="str">
        <x:f>IF(D23&gt;1,"Duplicate Tracking ID","OK")</x:f>
        <x:v>OK</x:v>
      </x:c>
      <x:c r="Q23" s="23" t="str">
        <x:f>IF(E23="Unknown Carrier","Invalid Carrier","OK")</x:f>
        <x:v>OK</x:v>
      </x:c>
      <x:c r="R23" s="23" t="str">
        <x:f>IF(Q23&lt;&gt;"OK","Not Tested",IF(OR(J23&lt;&gt;I23+IF(H23="Standard",VLOOKUP(E23,'SLA Reference'!$A$5:$C$7,2,FALSE),VLOOKUP(E23,'SLA Reference'!$A$5:$C$7,3,FALSE)),AND(L23&lt;&gt;"",L23&lt;I23)),"Invalid SLA / Date","OK"))</x:f>
        <x:v>OK</x:v>
      </x:c>
      <x:c r="S23" s="23" t="str">
        <x:f>IF(AND(K23="Delivered",L23&gt;J23),"Late Delivery",IF(AND(K23="In Transit",J23&lt;DATE(2026,8,17)),"Overdue In Transit","OK"))</x:f>
        <x:v>Overdue In Transit</x:v>
      </x:c>
      <x:c r="T23" s="23" t="str">
        <x:f>IF(AND(K23="Delivered",N23&lt;&gt;"Received"),"Missing POD","OK")</x:f>
        <x:v>OK</x:v>
      </x:c>
      <x:c r="U23" s="23" t="str">
        <x:f>IF(AND(K23="In Transit",DATE(2026,8,17)-M23&gt;2),"Stale Update","OK")</x:f>
        <x:v>OK</x:v>
      </x:c>
      <x:c r="V23" s="23" t="n">
        <x:f>IF(P23&lt;&gt;"OK",1,0)+IF(Q23&lt;&gt;"OK",1,0)+IF(OR(R23="OK",R23="Not Tested"),0,1)+IF(S23&lt;&gt;"OK",1,0)+IF(T23&lt;&gt;"OK",1,0)+IF(U23&lt;&gt;"OK",1,0)</x:f>
        <x:v>1</x:v>
      </x:c>
      <x:c r="W23" s="23" t="str">
        <x:f>IF(V23=0,"Ready",IF(OR(P23&lt;&gt;"OK",Q23&lt;&gt;"OK"),"High Priority Review","Review"))</x:f>
        <x:v>Review</x:v>
      </x:c>
      <x:c r="X23" s="23" t="str">
        <x:f>IF(P23&lt;&gt;"OK","Verify tracking ID using carrier portal",IF(Q23&lt;&gt;"OK","Confirm approved carrier",IF(R23&lt;&gt;"OK","Verify carrier SLA and shipment dates",IF(S23&lt;&gt;"OK","Send written delivery escalation",IF(T23&lt;&gt;"OK","Request proof of delivery",IF(U23&lt;&gt;"OK","Request written tracking update","No action required"))))))</x:f>
        <x:v>Send written delivery escalation</x:v>
      </x:c>
    </x:row>
    <x:row r="24">
      <x:c r="A24" s="23" t="n">
        <x:v>24</x:v>
      </x:c>
      <x:c r="B24" s="23" t="str">
        <x:f>IF('Raw Shipments'!A24="","",'Raw Shipments'!A24)</x:f>
        <x:v>SHP-0021</x:v>
      </x:c>
      <x:c r="C24" s="23" t="str">
        <x:f>IF('Raw Shipments'!B24="","",'Raw Shipments'!B24)</x:f>
        <x:v>TRK-02021</x:v>
      </x:c>
      <x:c r="D24" s="23" t="n">
        <x:f>COUNTIF('Raw Shipments'!$B$4:$B$53,C24)</x:f>
        <x:v>1</x:v>
      </x:c>
      <x:c r="E24" s="23" t="str">
        <x:f>IF('Raw Shipments'!C24="","",'Raw Shipments'!C24)</x:f>
        <x:v>Archipelago Cargo</x:v>
      </x:c>
      <x:c r="F24" s="23" t="str">
        <x:f>IF('Raw Shipments'!D24="","",'Raw Shipments'!D24)</x:f>
        <x:v>Surabaya</x:v>
      </x:c>
      <x:c r="G24" s="23" t="str">
        <x:f>IF('Raw Shipments'!E24="","",'Raw Shipments'!E24)</x:f>
        <x:v>Medan</x:v>
      </x:c>
      <x:c r="H24" s="23" t="str">
        <x:f>IF('Raw Shipments'!F24="","",'Raw Shipments'!F24)</x:f>
        <x:v>Standard</x:v>
      </x:c>
      <x:c r="I24" s="24" t="n">
        <x:f>IF('Raw Shipments'!G24="","",'Raw Shipments'!G24)</x:f>
        <x:v>46243</x:v>
      </x:c>
      <x:c r="J24" s="24" t="n">
        <x:f>IF('Raw Shipments'!H24="","",'Raw Shipments'!H24)</x:f>
        <x:v>46247</x:v>
      </x:c>
      <x:c r="K24" s="24" t="str">
        <x:f>IF('Raw Shipments'!I24="","",'Raw Shipments'!I24)</x:f>
        <x:v>Delivered</x:v>
      </x:c>
      <x:c r="L24" s="24" t="n">
        <x:f>IF('Raw Shipments'!J24="","",'Raw Shipments'!J24)</x:f>
        <x:v>46249</x:v>
      </x:c>
      <x:c r="M24" s="24" t="n">
        <x:f>IF('Raw Shipments'!K24="","",'Raw Shipments'!K24)</x:f>
        <x:v>46248</x:v>
      </x:c>
      <x:c r="N24" s="23" t="str">
        <x:f>IF('Raw Shipments'!L24="","",'Raw Shipments'!L24)</x:f>
        <x:v>Received</x:v>
      </x:c>
      <x:c r="O24" s="23" t="n">
        <x:f>IF('Raw Shipments'!M24="","",'Raw Shipments'!M24)</x:f>
        <x:v>6</x:v>
      </x:c>
      <x:c r="P24" s="23" t="str">
        <x:f>IF(D24&gt;1,"Duplicate Tracking ID","OK")</x:f>
        <x:v>OK</x:v>
      </x:c>
      <x:c r="Q24" s="23" t="str">
        <x:f>IF(E24="Unknown Carrier","Invalid Carrier","OK")</x:f>
        <x:v>OK</x:v>
      </x:c>
      <x:c r="R24" s="23" t="str">
        <x:f>IF(Q24&lt;&gt;"OK","Not Tested",IF(OR(J24&lt;&gt;I24+IF(H24="Standard",VLOOKUP(E24,'SLA Reference'!$A$5:$C$7,2,FALSE),VLOOKUP(E24,'SLA Reference'!$A$5:$C$7,3,FALSE)),AND(L24&lt;&gt;"",L24&lt;I24)),"Invalid SLA / Date","OK"))</x:f>
        <x:v>Invalid SLA / Date</x:v>
      </x:c>
      <x:c r="S24" s="23" t="str">
        <x:f>IF(AND(K24="Delivered",L24&gt;J24),"Late Delivery",IF(AND(K24="In Transit",J24&lt;DATE(2026,8,17)),"Overdue In Transit","OK"))</x:f>
        <x:v>Late Delivery</x:v>
      </x:c>
      <x:c r="T24" s="23" t="str">
        <x:f>IF(AND(K24="Delivered",N24&lt;&gt;"Received"),"Missing POD","OK")</x:f>
        <x:v>OK</x:v>
      </x:c>
      <x:c r="U24" s="23" t="str">
        <x:f>IF(AND(K24="In Transit",DATE(2026,8,17)-M24&gt;2),"Stale Update","OK")</x:f>
        <x:v>OK</x:v>
      </x:c>
      <x:c r="V24" s="23" t="n">
        <x:f>IF(P24&lt;&gt;"OK",1,0)+IF(Q24&lt;&gt;"OK",1,0)+IF(OR(R24="OK",R24="Not Tested"),0,1)+IF(S24&lt;&gt;"OK",1,0)+IF(T24&lt;&gt;"OK",1,0)+IF(U24&lt;&gt;"OK",1,0)</x:f>
        <x:v>2</x:v>
      </x:c>
      <x:c r="W24" s="23" t="str">
        <x:f>IF(V24=0,"Ready",IF(OR(P24&lt;&gt;"OK",Q24&lt;&gt;"OK"),"High Priority Review","Review"))</x:f>
        <x:v>Review</x:v>
      </x:c>
      <x:c r="X24" s="23" t="str">
        <x:f>IF(P24&lt;&gt;"OK","Verify tracking ID using carrier portal",IF(Q24&lt;&gt;"OK","Confirm approved carrier",IF(R24&lt;&gt;"OK","Verify carrier SLA and shipment dates",IF(S24&lt;&gt;"OK","Send written delivery escalation",IF(T24&lt;&gt;"OK","Request proof of delivery",IF(U24&lt;&gt;"OK","Request written tracking update","No action required"))))))</x:f>
        <x:v>Verify carrier SLA and shipment dates</x:v>
      </x:c>
    </x:row>
    <x:row r="25">
      <x:c r="A25" s="25" t="n">
        <x:v>25</x:v>
      </x:c>
      <x:c r="B25" s="25" t="str">
        <x:f>IF('Raw Shipments'!A25="","",'Raw Shipments'!A25)</x:f>
        <x:v>SHP-0022</x:v>
      </x:c>
      <x:c r="C25" s="25" t="str">
        <x:f>IF('Raw Shipments'!B25="","",'Raw Shipments'!B25)</x:f>
        <x:v>TRK-02022</x:v>
      </x:c>
      <x:c r="D25" s="25" t="n">
        <x:f>COUNTIF('Raw Shipments'!$B$4:$B$53,C25)</x:f>
        <x:v>1</x:v>
      </x:c>
      <x:c r="E25" s="25" t="str">
        <x:f>IF('Raw Shipments'!C25="","",'Raw Shipments'!C25)</x:f>
        <x:v>Unknown Carrier</x:v>
      </x:c>
      <x:c r="F25" s="25" t="str">
        <x:f>IF('Raw Shipments'!D25="","",'Raw Shipments'!D25)</x:f>
        <x:v>Jakarta</x:v>
      </x:c>
      <x:c r="G25" s="25" t="str">
        <x:f>IF('Raw Shipments'!E25="","",'Raw Shipments'!E25)</x:f>
        <x:v>Makassar</x:v>
      </x:c>
      <x:c r="H25" s="25" t="str">
        <x:f>IF('Raw Shipments'!F25="","",'Raw Shipments'!F25)</x:f>
        <x:v>Express</x:v>
      </x:c>
      <x:c r="I25" s="26" t="n">
        <x:f>IF('Raw Shipments'!G25="","",'Raw Shipments'!G25)</x:f>
        <x:v>46244</x:v>
      </x:c>
      <x:c r="J25" s="26" t="n">
        <x:f>IF('Raw Shipments'!H25="","",'Raw Shipments'!H25)</x:f>
        <x:v>46246</x:v>
      </x:c>
      <x:c r="K25" s="26" t="str">
        <x:f>IF('Raw Shipments'!I25="","",'Raw Shipments'!I25)</x:f>
        <x:v>Delivered</x:v>
      </x:c>
      <x:c r="L25" s="26" t="n">
        <x:f>IF('Raw Shipments'!J25="","",'Raw Shipments'!J25)</x:f>
        <x:v>46246</x:v>
      </x:c>
      <x:c r="M25" s="26" t="n">
        <x:f>IF('Raw Shipments'!K25="","",'Raw Shipments'!K25)</x:f>
        <x:v>46249</x:v>
      </x:c>
      <x:c r="N25" s="25" t="str">
        <x:f>IF('Raw Shipments'!L25="","",'Raw Shipments'!L25)</x:f>
        <x:v>Missing</x:v>
      </x:c>
      <x:c r="O25" s="25" t="n">
        <x:f>IF('Raw Shipments'!M25="","",'Raw Shipments'!M25)</x:f>
        <x:v>7</x:v>
      </x:c>
      <x:c r="P25" s="25" t="str">
        <x:f>IF(D25&gt;1,"Duplicate Tracking ID","OK")</x:f>
        <x:v>OK</x:v>
      </x:c>
      <x:c r="Q25" s="25" t="str">
        <x:f>IF(E25="Unknown Carrier","Invalid Carrier","OK")</x:f>
        <x:v>Invalid Carrier</x:v>
      </x:c>
      <x:c r="R25" s="25" t="str">
        <x:f>IF(Q25&lt;&gt;"OK","Not Tested",IF(OR(J25&lt;&gt;I25+IF(H25="Standard",VLOOKUP(E25,'SLA Reference'!$A$5:$C$7,2,FALSE),VLOOKUP(E25,'SLA Reference'!$A$5:$C$7,3,FALSE)),AND(L25&lt;&gt;"",L25&lt;I25)),"Invalid SLA / Date","OK"))</x:f>
        <x:v>Not Tested</x:v>
      </x:c>
      <x:c r="S25" s="25" t="str">
        <x:f>IF(AND(K25="Delivered",L25&gt;J25),"Late Delivery",IF(AND(K25="In Transit",J25&lt;DATE(2026,8,17)),"Overdue In Transit","OK"))</x:f>
        <x:v>OK</x:v>
      </x:c>
      <x:c r="T25" s="25" t="str">
        <x:f>IF(AND(K25="Delivered",N25&lt;&gt;"Received"),"Missing POD","OK")</x:f>
        <x:v>Missing POD</x:v>
      </x:c>
      <x:c r="U25" s="25" t="str">
        <x:f>IF(AND(K25="In Transit",DATE(2026,8,17)-M25&gt;2),"Stale Update","OK")</x:f>
        <x:v>OK</x:v>
      </x:c>
      <x:c r="V25" s="25" t="n">
        <x:f>IF(P25&lt;&gt;"OK",1,0)+IF(Q25&lt;&gt;"OK",1,0)+IF(OR(R25="OK",R25="Not Tested"),0,1)+IF(S25&lt;&gt;"OK",1,0)+IF(T25&lt;&gt;"OK",1,0)+IF(U25&lt;&gt;"OK",1,0)</x:f>
        <x:v>2</x:v>
      </x:c>
      <x:c r="W25" s="25" t="str">
        <x:f>IF(V25=0,"Ready",IF(OR(P25&lt;&gt;"OK",Q25&lt;&gt;"OK"),"High Priority Review","Review"))</x:f>
        <x:v>High Priority Review</x:v>
      </x:c>
      <x:c r="X25" s="25" t="str">
        <x:f>IF(P25&lt;&gt;"OK","Verify tracking ID using carrier portal",IF(Q25&lt;&gt;"OK","Confirm approved carrier",IF(R25&lt;&gt;"OK","Verify carrier SLA and shipment dates",IF(S25&lt;&gt;"OK","Send written delivery escalation",IF(T25&lt;&gt;"OK","Request proof of delivery",IF(U25&lt;&gt;"OK","Request written tracking update","No action required"))))))</x:f>
        <x:v>Confirm approved carrier</x:v>
      </x:c>
    </x:row>
    <x:row r="26">
      <x:c r="A26" s="21" t="n">
        <x:v>26</x:v>
      </x:c>
      <x:c r="B26" s="21" t="str">
        <x:f>IF('Raw Shipments'!A26="","",'Raw Shipments'!A26)</x:f>
        <x:v>SHP-0023</x:v>
      </x:c>
      <x:c r="C26" s="21" t="str">
        <x:f>IF('Raw Shipments'!B26="","",'Raw Shipments'!B26)</x:f>
        <x:v>TRK-02023</x:v>
      </x:c>
      <x:c r="D26" s="21" t="n">
        <x:f>COUNTIF('Raw Shipments'!$B$4:$B$53,C26)</x:f>
        <x:v>1</x:v>
      </x:c>
      <x:c r="E26" s="21" t="str">
        <x:f>IF('Raw Shipments'!C26="","",'Raw Shipments'!C26)</x:f>
        <x:v>Nusa Express</x:v>
      </x:c>
      <x:c r="F26" s="21" t="str">
        <x:f>IF('Raw Shipments'!D26="","",'Raw Shipments'!D26)</x:f>
        <x:v>Bandung</x:v>
      </x:c>
      <x:c r="G26" s="21" t="str">
        <x:f>IF('Raw Shipments'!E26="","",'Raw Shipments'!E26)</x:f>
        <x:v>Semarang</x:v>
      </x:c>
      <x:c r="H26" s="21" t="str">
        <x:f>IF('Raw Shipments'!F26="","",'Raw Shipments'!F26)</x:f>
        <x:v>Standard</x:v>
      </x:c>
      <x:c r="I26" s="22" t="n">
        <x:f>IF('Raw Shipments'!G26="","",'Raw Shipments'!G26)</x:f>
        <x:v>46245</x:v>
      </x:c>
      <x:c r="J26" s="22" t="n">
        <x:f>IF('Raw Shipments'!H26="","",'Raw Shipments'!H26)</x:f>
        <x:v>46249</x:v>
      </x:c>
      <x:c r="K26" s="22" t="str">
        <x:f>IF('Raw Shipments'!I26="","",'Raw Shipments'!I26)</x:f>
        <x:v>Delivered</x:v>
      </x:c>
      <x:c r="L26" s="22" t="n">
        <x:f>IF('Raw Shipments'!J26="","",'Raw Shipments'!J26)</x:f>
        <x:v>46249</x:v>
      </x:c>
      <x:c r="M26" s="22" t="n">
        <x:f>IF('Raw Shipments'!K26="","",'Raw Shipments'!K26)</x:f>
        <x:v>46250</x:v>
      </x:c>
      <x:c r="N26" s="21" t="str">
        <x:f>IF('Raw Shipments'!L26="","",'Raw Shipments'!L26)</x:f>
        <x:v>Received</x:v>
      </x:c>
      <x:c r="O26" s="21" t="n">
        <x:f>IF('Raw Shipments'!M26="","",'Raw Shipments'!M26)</x:f>
        <x:v>8</x:v>
      </x:c>
      <x:c r="P26" s="21" t="str">
        <x:f>IF(D26&gt;1,"Duplicate Tracking ID","OK")</x:f>
        <x:v>OK</x:v>
      </x:c>
      <x:c r="Q26" s="21" t="str">
        <x:f>IF(E26="Unknown Carrier","Invalid Carrier","OK")</x:f>
        <x:v>OK</x:v>
      </x:c>
      <x:c r="R26" s="21" t="str">
        <x:f>IF(Q26&lt;&gt;"OK","Not Tested",IF(OR(J26&lt;&gt;I26+IF(H26="Standard",VLOOKUP(E26,'SLA Reference'!$A$5:$C$7,2,FALSE),VLOOKUP(E26,'SLA Reference'!$A$5:$C$7,3,FALSE)),AND(L26&lt;&gt;"",L26&lt;I26)),"Invalid SLA / Date","OK"))</x:f>
        <x:v>OK</x:v>
      </x:c>
      <x:c r="S26" s="21" t="str">
        <x:f>IF(AND(K26="Delivered",L26&gt;J26),"Late Delivery",IF(AND(K26="In Transit",J26&lt;DATE(2026,8,17)),"Overdue In Transit","OK"))</x:f>
        <x:v>OK</x:v>
      </x:c>
      <x:c r="T26" s="21" t="str">
        <x:f>IF(AND(K26="Delivered",N26&lt;&gt;"Received"),"Missing POD","OK")</x:f>
        <x:v>OK</x:v>
      </x:c>
      <x:c r="U26" s="21" t="str">
        <x:f>IF(AND(K26="In Transit",DATE(2026,8,17)-M26&gt;2),"Stale Update","OK")</x:f>
        <x:v>OK</x:v>
      </x:c>
      <x:c r="V26" s="21" t="n">
        <x:f>IF(P26&lt;&gt;"OK",1,0)+IF(Q26&lt;&gt;"OK",1,0)+IF(OR(R26="OK",R26="Not Tested"),0,1)+IF(S26&lt;&gt;"OK",1,0)+IF(T26&lt;&gt;"OK",1,0)+IF(U26&lt;&gt;"OK",1,0)</x:f>
        <x:v>0</x:v>
      </x:c>
      <x:c r="W26" s="21" t="str">
        <x:f>IF(V26=0,"Ready",IF(OR(P26&lt;&gt;"OK",Q26&lt;&gt;"OK"),"High Priority Review","Review"))</x:f>
        <x:v>Ready</x:v>
      </x:c>
      <x:c r="X26" s="21" t="str">
        <x:f>IF(P26&lt;&gt;"OK","Verify tracking ID using carrier portal",IF(Q26&lt;&gt;"OK","Confirm approved carrier",IF(R26&lt;&gt;"OK","Verify carrier SLA and shipment dates",IF(S26&lt;&gt;"OK","Send written delivery escalation",IF(T26&lt;&gt;"OK","Request proof of delivery",IF(U26&lt;&gt;"OK","Request written tracking update","No action required"))))))</x:f>
        <x:v>No action required</x:v>
      </x:c>
    </x:row>
    <x:row r="27">
      <x:c r="A27" s="23" t="n">
        <x:v>27</x:v>
      </x:c>
      <x:c r="B27" s="23" t="str">
        <x:f>IF('Raw Shipments'!A27="","",'Raw Shipments'!A27)</x:f>
        <x:v>SHP-0024</x:v>
      </x:c>
      <x:c r="C27" s="23" t="str">
        <x:f>IF('Raw Shipments'!B27="","",'Raw Shipments'!B27)</x:f>
        <x:v>TRK-02024</x:v>
      </x:c>
      <x:c r="D27" s="23" t="n">
        <x:f>COUNTIF('Raw Shipments'!$B$4:$B$53,C27)</x:f>
        <x:v>1</x:v>
      </x:c>
      <x:c r="E27" s="23" t="str">
        <x:f>IF('Raw Shipments'!C27="","",'Raw Shipments'!C27)</x:f>
        <x:v>Archipelago Cargo</x:v>
      </x:c>
      <x:c r="F27" s="23" t="str">
        <x:f>IF('Raw Shipments'!D27="","",'Raw Shipments'!D27)</x:f>
        <x:v>Surabaya</x:v>
      </x:c>
      <x:c r="G27" s="23" t="str">
        <x:f>IF('Raw Shipments'!E27="","",'Raw Shipments'!E27)</x:f>
        <x:v>Denpasar</x:v>
      </x:c>
      <x:c r="H27" s="23" t="str">
        <x:f>IF('Raw Shipments'!F27="","",'Raw Shipments'!F27)</x:f>
        <x:v>Express</x:v>
      </x:c>
      <x:c r="I27" s="24" t="n">
        <x:f>IF('Raw Shipments'!G27="","",'Raw Shipments'!G27)</x:f>
        <x:v>46246</x:v>
      </x:c>
      <x:c r="J27" s="24" t="n">
        <x:f>IF('Raw Shipments'!H27="","",'Raw Shipments'!H27)</x:f>
        <x:v>46248</x:v>
      </x:c>
      <x:c r="K27" s="24" t="str">
        <x:f>IF('Raw Shipments'!I27="","",'Raw Shipments'!I27)</x:f>
        <x:v>Delivered</x:v>
      </x:c>
      <x:c r="L27" s="24" t="n">
        <x:f>IF('Raw Shipments'!J27="","",'Raw Shipments'!J27)</x:f>
        <x:v>46248</x:v>
      </x:c>
      <x:c r="M27" s="24" t="n">
        <x:f>IF('Raw Shipments'!K27="","",'Raw Shipments'!K27)</x:f>
        <x:v>46248</x:v>
      </x:c>
      <x:c r="N27" s="23" t="str">
        <x:f>IF('Raw Shipments'!L27="","",'Raw Shipments'!L27)</x:f>
        <x:v>Received</x:v>
      </x:c>
      <x:c r="O27" s="23" t="n">
        <x:f>IF('Raw Shipments'!M27="","",'Raw Shipments'!M27)</x:f>
        <x:v>1</x:v>
      </x:c>
      <x:c r="P27" s="23" t="str">
        <x:f>IF(D27&gt;1,"Duplicate Tracking ID","OK")</x:f>
        <x:v>OK</x:v>
      </x:c>
      <x:c r="Q27" s="23" t="str">
        <x:f>IF(E27="Unknown Carrier","Invalid Carrier","OK")</x:f>
        <x:v>OK</x:v>
      </x:c>
      <x:c r="R27" s="23" t="str">
        <x:f>IF(Q27&lt;&gt;"OK","Not Tested",IF(OR(J27&lt;&gt;I27+IF(H27="Standard",VLOOKUP(E27,'SLA Reference'!$A$5:$C$7,2,FALSE),VLOOKUP(E27,'SLA Reference'!$A$5:$C$7,3,FALSE)),AND(L27&lt;&gt;"",L27&lt;I27)),"Invalid SLA / Date","OK"))</x:f>
        <x:v>Invalid SLA / Date</x:v>
      </x:c>
      <x:c r="S27" s="23" t="str">
        <x:f>IF(AND(K27="Delivered",L27&gt;J27),"Late Delivery",IF(AND(K27="In Transit",J27&lt;DATE(2026,8,17)),"Overdue In Transit","OK"))</x:f>
        <x:v>OK</x:v>
      </x:c>
      <x:c r="T27" s="23" t="str">
        <x:f>IF(AND(K27="Delivered",N27&lt;&gt;"Received"),"Missing POD","OK")</x:f>
        <x:v>OK</x:v>
      </x:c>
      <x:c r="U27" s="23" t="str">
        <x:f>IF(AND(K27="In Transit",DATE(2026,8,17)-M27&gt;2),"Stale Update","OK")</x:f>
        <x:v>OK</x:v>
      </x:c>
      <x:c r="V27" s="23" t="n">
        <x:f>IF(P27&lt;&gt;"OK",1,0)+IF(Q27&lt;&gt;"OK",1,0)+IF(OR(R27="OK",R27="Not Tested"),0,1)+IF(S27&lt;&gt;"OK",1,0)+IF(T27&lt;&gt;"OK",1,0)+IF(U27&lt;&gt;"OK",1,0)</x:f>
        <x:v>1</x:v>
      </x:c>
      <x:c r="W27" s="23" t="str">
        <x:f>IF(V27=0,"Ready",IF(OR(P27&lt;&gt;"OK",Q27&lt;&gt;"OK"),"High Priority Review","Review"))</x:f>
        <x:v>Review</x:v>
      </x:c>
      <x:c r="X27" s="23" t="str">
        <x:f>IF(P27&lt;&gt;"OK","Verify tracking ID using carrier portal",IF(Q27&lt;&gt;"OK","Confirm approved carrier",IF(R27&lt;&gt;"OK","Verify carrier SLA and shipment dates",IF(S27&lt;&gt;"OK","Send written delivery escalation",IF(T27&lt;&gt;"OK","Request proof of delivery",IF(U27&lt;&gt;"OK","Request written tracking update","No action required"))))))</x:f>
        <x:v>Verify carrier SLA and shipment dates</x:v>
      </x:c>
    </x:row>
    <x:row r="28">
      <x:c r="A28" s="23" t="n">
        <x:v>28</x:v>
      </x:c>
      <x:c r="B28" s="23" t="str">
        <x:f>IF('Raw Shipments'!A28="","",'Raw Shipments'!A28)</x:f>
        <x:v>SHP-0025</x:v>
      </x:c>
      <x:c r="C28" s="23" t="str">
        <x:f>IF('Raw Shipments'!B28="","",'Raw Shipments'!B28)</x:f>
        <x:v>TRK-02025</x:v>
      </x:c>
      <x:c r="D28" s="23" t="n">
        <x:f>COUNTIF('Raw Shipments'!$B$4:$B$53,C28)</x:f>
        <x:v>1</x:v>
      </x:c>
      <x:c r="E28" s="23" t="str">
        <x:f>IF('Raw Shipments'!C28="","",'Raw Shipments'!C28)</x:f>
        <x:v>SwiftShip</x:v>
      </x:c>
      <x:c r="F28" s="23" t="str">
        <x:f>IF('Raw Shipments'!D28="","",'Raw Shipments'!D28)</x:f>
        <x:v>Jakarta</x:v>
      </x:c>
      <x:c r="G28" s="23" t="str">
        <x:f>IF('Raw Shipments'!E28="","",'Raw Shipments'!E28)</x:f>
        <x:v>Yogyakarta</x:v>
      </x:c>
      <x:c r="H28" s="23" t="str">
        <x:f>IF('Raw Shipments'!F28="","",'Raw Shipments'!F28)</x:f>
        <x:v>Standard</x:v>
      </x:c>
      <x:c r="I28" s="24" t="n">
        <x:f>IF('Raw Shipments'!G28="","",'Raw Shipments'!G28)</x:f>
        <x:v>46235</x:v>
      </x:c>
      <x:c r="J28" s="24" t="n">
        <x:f>IF('Raw Shipments'!H28="","",'Raw Shipments'!H28)</x:f>
        <x:v>46239</x:v>
      </x:c>
      <x:c r="K28" s="24" t="str">
        <x:f>IF('Raw Shipments'!I28="","",'Raw Shipments'!I28)</x:f>
        <x:v>In Transit</x:v>
      </x:c>
      <x:c r="L28" s="24" t="str">
        <x:f>IF('Raw Shipments'!J28="","",'Raw Shipments'!J28)</x:f>
      </x:c>
      <x:c r="M28" s="24" t="n">
        <x:f>IF('Raw Shipments'!K28="","",'Raw Shipments'!K28)</x:f>
        <x:v>46249</x:v>
      </x:c>
      <x:c r="N28" s="23" t="str">
        <x:f>IF('Raw Shipments'!L28="","",'Raw Shipments'!L28)</x:f>
        <x:v>Pending</x:v>
      </x:c>
      <x:c r="O28" s="23" t="n">
        <x:f>IF('Raw Shipments'!M28="","",'Raw Shipments'!M28)</x:f>
        <x:v>2</x:v>
      </x:c>
      <x:c r="P28" s="23" t="str">
        <x:f>IF(D28&gt;1,"Duplicate Tracking ID","OK")</x:f>
        <x:v>OK</x:v>
      </x:c>
      <x:c r="Q28" s="23" t="str">
        <x:f>IF(E28="Unknown Carrier","Invalid Carrier","OK")</x:f>
        <x:v>OK</x:v>
      </x:c>
      <x:c r="R28" s="23" t="str">
        <x:f>IF(Q28&lt;&gt;"OK","Not Tested",IF(OR(J28&lt;&gt;I28+IF(H28="Standard",VLOOKUP(E28,'SLA Reference'!$A$5:$C$7,2,FALSE),VLOOKUP(E28,'SLA Reference'!$A$5:$C$7,3,FALSE)),AND(L28&lt;&gt;"",L28&lt;I28)),"Invalid SLA / Date","OK"))</x:f>
        <x:v>OK</x:v>
      </x:c>
      <x:c r="S28" s="23" t="str">
        <x:f>IF(AND(K28="Delivered",L28&gt;J28),"Late Delivery",IF(AND(K28="In Transit",J28&lt;DATE(2026,8,17)),"Overdue In Transit","OK"))</x:f>
        <x:v>Overdue In Transit</x:v>
      </x:c>
      <x:c r="T28" s="23" t="str">
        <x:f>IF(AND(K28="Delivered",N28&lt;&gt;"Received"),"Missing POD","OK")</x:f>
        <x:v>OK</x:v>
      </x:c>
      <x:c r="U28" s="23" t="str">
        <x:f>IF(AND(K28="In Transit",DATE(2026,8,17)-M28&gt;2),"Stale Update","OK")</x:f>
        <x:v>OK</x:v>
      </x:c>
      <x:c r="V28" s="23" t="n">
        <x:f>IF(P28&lt;&gt;"OK",1,0)+IF(Q28&lt;&gt;"OK",1,0)+IF(OR(R28="OK",R28="Not Tested"),0,1)+IF(S28&lt;&gt;"OK",1,0)+IF(T28&lt;&gt;"OK",1,0)+IF(U28&lt;&gt;"OK",1,0)</x:f>
        <x:v>1</x:v>
      </x:c>
      <x:c r="W28" s="23" t="str">
        <x:f>IF(V28=0,"Ready",IF(OR(P28&lt;&gt;"OK",Q28&lt;&gt;"OK"),"High Priority Review","Review"))</x:f>
        <x:v>Review</x:v>
      </x:c>
      <x:c r="X28" s="23" t="str">
        <x:f>IF(P28&lt;&gt;"OK","Verify tracking ID using carrier portal",IF(Q28&lt;&gt;"OK","Confirm approved carrier",IF(R28&lt;&gt;"OK","Verify carrier SLA and shipment dates",IF(S28&lt;&gt;"OK","Send written delivery escalation",IF(T28&lt;&gt;"OK","Request proof of delivery",IF(U28&lt;&gt;"OK","Request written tracking update","No action required"))))))</x:f>
        <x:v>Send written delivery escalation</x:v>
      </x:c>
    </x:row>
    <x:row r="29">
      <x:c r="A29" s="21" t="n">
        <x:v>29</x:v>
      </x:c>
      <x:c r="B29" s="21" t="str">
        <x:f>IF('Raw Shipments'!A29="","",'Raw Shipments'!A29)</x:f>
        <x:v>SHP-0026</x:v>
      </x:c>
      <x:c r="C29" s="21" t="str">
        <x:f>IF('Raw Shipments'!B29="","",'Raw Shipments'!B29)</x:f>
        <x:v>TRK-02026</x:v>
      </x:c>
      <x:c r="D29" s="21" t="n">
        <x:f>COUNTIF('Raw Shipments'!$B$4:$B$53,C29)</x:f>
        <x:v>1</x:v>
      </x:c>
      <x:c r="E29" s="21" t="str">
        <x:f>IF('Raw Shipments'!C29="","",'Raw Shipments'!C29)</x:f>
        <x:v>Nusa Express</x:v>
      </x:c>
      <x:c r="F29" s="21" t="str">
        <x:f>IF('Raw Shipments'!D29="","",'Raw Shipments'!D29)</x:f>
        <x:v>Bandung</x:v>
      </x:c>
      <x:c r="G29" s="21" t="str">
        <x:f>IF('Raw Shipments'!E29="","",'Raw Shipments'!E29)</x:f>
        <x:v>Medan</x:v>
      </x:c>
      <x:c r="H29" s="21" t="str">
        <x:f>IF('Raw Shipments'!F29="","",'Raw Shipments'!F29)</x:f>
        <x:v>Express</x:v>
      </x:c>
      <x:c r="I29" s="22" t="n">
        <x:f>IF('Raw Shipments'!G29="","",'Raw Shipments'!G29)</x:f>
        <x:v>46236</x:v>
      </x:c>
      <x:c r="J29" s="22" t="n">
        <x:f>IF('Raw Shipments'!H29="","",'Raw Shipments'!H29)</x:f>
        <x:v>46238</x:v>
      </x:c>
      <x:c r="K29" s="22" t="str">
        <x:f>IF('Raw Shipments'!I29="","",'Raw Shipments'!I29)</x:f>
        <x:v>Delivered</x:v>
      </x:c>
      <x:c r="L29" s="22" t="n">
        <x:f>IF('Raw Shipments'!J29="","",'Raw Shipments'!J29)</x:f>
        <x:v>46238</x:v>
      </x:c>
      <x:c r="M29" s="22" t="n">
        <x:f>IF('Raw Shipments'!K29="","",'Raw Shipments'!K29)</x:f>
        <x:v>46250</x:v>
      </x:c>
      <x:c r="N29" s="21" t="str">
        <x:f>IF('Raw Shipments'!L29="","",'Raw Shipments'!L29)</x:f>
        <x:v>Received</x:v>
      </x:c>
      <x:c r="O29" s="21" t="n">
        <x:f>IF('Raw Shipments'!M29="","",'Raw Shipments'!M29)</x:f>
        <x:v>3</x:v>
      </x:c>
      <x:c r="P29" s="21" t="str">
        <x:f>IF(D29&gt;1,"Duplicate Tracking ID","OK")</x:f>
        <x:v>OK</x:v>
      </x:c>
      <x:c r="Q29" s="21" t="str">
        <x:f>IF(E29="Unknown Carrier","Invalid Carrier","OK")</x:f>
        <x:v>OK</x:v>
      </x:c>
      <x:c r="R29" s="21" t="str">
        <x:f>IF(Q29&lt;&gt;"OK","Not Tested",IF(OR(J29&lt;&gt;I29+IF(H29="Standard",VLOOKUP(E29,'SLA Reference'!$A$5:$C$7,2,FALSE),VLOOKUP(E29,'SLA Reference'!$A$5:$C$7,3,FALSE)),AND(L29&lt;&gt;"",L29&lt;I29)),"Invalid SLA / Date","OK"))</x:f>
        <x:v>OK</x:v>
      </x:c>
      <x:c r="S29" s="21" t="str">
        <x:f>IF(AND(K29="Delivered",L29&gt;J29),"Late Delivery",IF(AND(K29="In Transit",J29&lt;DATE(2026,8,17)),"Overdue In Transit","OK"))</x:f>
        <x:v>OK</x:v>
      </x:c>
      <x:c r="T29" s="21" t="str">
        <x:f>IF(AND(K29="Delivered",N29&lt;&gt;"Received"),"Missing POD","OK")</x:f>
        <x:v>OK</x:v>
      </x:c>
      <x:c r="U29" s="21" t="str">
        <x:f>IF(AND(K29="In Transit",DATE(2026,8,17)-M29&gt;2),"Stale Update","OK")</x:f>
        <x:v>OK</x:v>
      </x:c>
      <x:c r="V29" s="21" t="n">
        <x:f>IF(P29&lt;&gt;"OK",1,0)+IF(Q29&lt;&gt;"OK",1,0)+IF(OR(R29="OK",R29="Not Tested"),0,1)+IF(S29&lt;&gt;"OK",1,0)+IF(T29&lt;&gt;"OK",1,0)+IF(U29&lt;&gt;"OK",1,0)</x:f>
        <x:v>0</x:v>
      </x:c>
      <x:c r="W29" s="21" t="str">
        <x:f>IF(V29=0,"Ready",IF(OR(P29&lt;&gt;"OK",Q29&lt;&gt;"OK"),"High Priority Review","Review"))</x:f>
        <x:v>Ready</x:v>
      </x:c>
      <x:c r="X29" s="21" t="str">
        <x:f>IF(P29&lt;&gt;"OK","Verify tracking ID using carrier portal",IF(Q29&lt;&gt;"OK","Confirm approved carrier",IF(R29&lt;&gt;"OK","Verify carrier SLA and shipment dates",IF(S29&lt;&gt;"OK","Send written delivery escalation",IF(T29&lt;&gt;"OK","Request proof of delivery",IF(U29&lt;&gt;"OK","Request written tracking update","No action required"))))))</x:f>
        <x:v>No action required</x:v>
      </x:c>
    </x:row>
    <x:row r="30">
      <x:c r="A30" s="23" t="n">
        <x:v>30</x:v>
      </x:c>
      <x:c r="B30" s="23" t="str">
        <x:f>IF('Raw Shipments'!A30="","",'Raw Shipments'!A30)</x:f>
        <x:v>SHP-0027</x:v>
      </x:c>
      <x:c r="C30" s="23" t="str">
        <x:f>IF('Raw Shipments'!B30="","",'Raw Shipments'!B30)</x:f>
        <x:v>TRK-02027</x:v>
      </x:c>
      <x:c r="D30" s="23" t="n">
        <x:f>COUNTIF('Raw Shipments'!$B$4:$B$53,C30)</x:f>
        <x:v>1</x:v>
      </x:c>
      <x:c r="E30" s="23" t="str">
        <x:f>IF('Raw Shipments'!C30="","",'Raw Shipments'!C30)</x:f>
        <x:v>Archipelago Cargo</x:v>
      </x:c>
      <x:c r="F30" s="23" t="str">
        <x:f>IF('Raw Shipments'!D30="","",'Raw Shipments'!D30)</x:f>
        <x:v>Surabaya</x:v>
      </x:c>
      <x:c r="G30" s="23" t="str">
        <x:f>IF('Raw Shipments'!E30="","",'Raw Shipments'!E30)</x:f>
        <x:v>Makassar</x:v>
      </x:c>
      <x:c r="H30" s="23" t="str">
        <x:f>IF('Raw Shipments'!F30="","",'Raw Shipments'!F30)</x:f>
        <x:v>Standard</x:v>
      </x:c>
      <x:c r="I30" s="24" t="n">
        <x:f>IF('Raw Shipments'!G30="","",'Raw Shipments'!G30)</x:f>
        <x:v>46237</x:v>
      </x:c>
      <x:c r="J30" s="24" t="n">
        <x:f>IF('Raw Shipments'!H30="","",'Raw Shipments'!H30)</x:f>
        <x:v>46241</x:v>
      </x:c>
      <x:c r="K30" s="24" t="str">
        <x:f>IF('Raw Shipments'!I30="","",'Raw Shipments'!I30)</x:f>
        <x:v>Delivered</x:v>
      </x:c>
      <x:c r="L30" s="24" t="n">
        <x:f>IF('Raw Shipments'!J30="","",'Raw Shipments'!J30)</x:f>
        <x:v>46241</x:v>
      </x:c>
      <x:c r="M30" s="24" t="n">
        <x:f>IF('Raw Shipments'!K30="","",'Raw Shipments'!K30)</x:f>
        <x:v>46248</x:v>
      </x:c>
      <x:c r="N30" s="23" t="str">
        <x:f>IF('Raw Shipments'!L30="","",'Raw Shipments'!L30)</x:f>
        <x:v>Received</x:v>
      </x:c>
      <x:c r="O30" s="23" t="n">
        <x:f>IF('Raw Shipments'!M30="","",'Raw Shipments'!M30)</x:f>
        <x:v>4</x:v>
      </x:c>
      <x:c r="P30" s="23" t="str">
        <x:f>IF(D30&gt;1,"Duplicate Tracking ID","OK")</x:f>
        <x:v>OK</x:v>
      </x:c>
      <x:c r="Q30" s="23" t="str">
        <x:f>IF(E30="Unknown Carrier","Invalid Carrier","OK")</x:f>
        <x:v>OK</x:v>
      </x:c>
      <x:c r="R30" s="23" t="str">
        <x:f>IF(Q30&lt;&gt;"OK","Not Tested",IF(OR(J30&lt;&gt;I30+IF(H30="Standard",VLOOKUP(E30,'SLA Reference'!$A$5:$C$7,2,FALSE),VLOOKUP(E30,'SLA Reference'!$A$5:$C$7,3,FALSE)),AND(L30&lt;&gt;"",L30&lt;I30)),"Invalid SLA / Date","OK"))</x:f>
        <x:v>Invalid SLA / Date</x:v>
      </x:c>
      <x:c r="S30" s="23" t="str">
        <x:f>IF(AND(K30="Delivered",L30&gt;J30),"Late Delivery",IF(AND(K30="In Transit",J30&lt;DATE(2026,8,17)),"Overdue In Transit","OK"))</x:f>
        <x:v>OK</x:v>
      </x:c>
      <x:c r="T30" s="23" t="str">
        <x:f>IF(AND(K30="Delivered",N30&lt;&gt;"Received"),"Missing POD","OK")</x:f>
        <x:v>OK</x:v>
      </x:c>
      <x:c r="U30" s="23" t="str">
        <x:f>IF(AND(K30="In Transit",DATE(2026,8,17)-M30&gt;2),"Stale Update","OK")</x:f>
        <x:v>OK</x:v>
      </x:c>
      <x:c r="V30" s="23" t="n">
        <x:f>IF(P30&lt;&gt;"OK",1,0)+IF(Q30&lt;&gt;"OK",1,0)+IF(OR(R30="OK",R30="Not Tested"),0,1)+IF(S30&lt;&gt;"OK",1,0)+IF(T30&lt;&gt;"OK",1,0)+IF(U30&lt;&gt;"OK",1,0)</x:f>
        <x:v>1</x:v>
      </x:c>
      <x:c r="W30" s="23" t="str">
        <x:f>IF(V30=0,"Ready",IF(OR(P30&lt;&gt;"OK",Q30&lt;&gt;"OK"),"High Priority Review","Review"))</x:f>
        <x:v>Review</x:v>
      </x:c>
      <x:c r="X30" s="23" t="str">
        <x:f>IF(P30&lt;&gt;"OK","Verify tracking ID using carrier portal",IF(Q30&lt;&gt;"OK","Confirm approved carrier",IF(R30&lt;&gt;"OK","Verify carrier SLA and shipment dates",IF(S30&lt;&gt;"OK","Send written delivery escalation",IF(T30&lt;&gt;"OK","Request proof of delivery",IF(U30&lt;&gt;"OK","Request written tracking update","No action required"))))))</x:f>
        <x:v>Verify carrier SLA and shipment dates</x:v>
      </x:c>
    </x:row>
    <x:row r="31">
      <x:c r="A31" s="23" t="n">
        <x:v>31</x:v>
      </x:c>
      <x:c r="B31" s="23" t="str">
        <x:f>IF('Raw Shipments'!A31="","",'Raw Shipments'!A31)</x:f>
        <x:v>SHP-0028</x:v>
      </x:c>
      <x:c r="C31" s="23" t="str">
        <x:f>IF('Raw Shipments'!B31="","",'Raw Shipments'!B31)</x:f>
        <x:v>TRK-02028</x:v>
      </x:c>
      <x:c r="D31" s="23" t="n">
        <x:f>COUNTIF('Raw Shipments'!$B$4:$B$53,C31)</x:f>
        <x:v>1</x:v>
      </x:c>
      <x:c r="E31" s="23" t="str">
        <x:f>IF('Raw Shipments'!C31="","",'Raw Shipments'!C31)</x:f>
        <x:v>SwiftShip</x:v>
      </x:c>
      <x:c r="F31" s="23" t="str">
        <x:f>IF('Raw Shipments'!D31="","",'Raw Shipments'!D31)</x:f>
        <x:v>Jakarta</x:v>
      </x:c>
      <x:c r="G31" s="23" t="str">
        <x:f>IF('Raw Shipments'!E31="","",'Raw Shipments'!E31)</x:f>
        <x:v>Semarang</x:v>
      </x:c>
      <x:c r="H31" s="23" t="str">
        <x:f>IF('Raw Shipments'!F31="","",'Raw Shipments'!F31)</x:f>
        <x:v>Express</x:v>
      </x:c>
      <x:c r="I31" s="24" t="n">
        <x:f>IF('Raw Shipments'!G31="","",'Raw Shipments'!G31)</x:f>
        <x:v>46238</x:v>
      </x:c>
      <x:c r="J31" s="24" t="n">
        <x:f>IF('Raw Shipments'!H31="","",'Raw Shipments'!H31)</x:f>
        <x:v>46240</x:v>
      </x:c>
      <x:c r="K31" s="24" t="str">
        <x:f>IF('Raw Shipments'!I31="","",'Raw Shipments'!I31)</x:f>
        <x:v>Delivered</x:v>
      </x:c>
      <x:c r="L31" s="24" t="n">
        <x:f>IF('Raw Shipments'!J31="","",'Raw Shipments'!J31)</x:f>
        <x:v>46242</x:v>
      </x:c>
      <x:c r="M31" s="24" t="n">
        <x:f>IF('Raw Shipments'!K31="","",'Raw Shipments'!K31)</x:f>
        <x:v>46249</x:v>
      </x:c>
      <x:c r="N31" s="23" t="str">
        <x:f>IF('Raw Shipments'!L31="","",'Raw Shipments'!L31)</x:f>
        <x:v>Received</x:v>
      </x:c>
      <x:c r="O31" s="23" t="n">
        <x:f>IF('Raw Shipments'!M31="","",'Raw Shipments'!M31)</x:f>
        <x:v>5</x:v>
      </x:c>
      <x:c r="P31" s="23" t="str">
        <x:f>IF(D31&gt;1,"Duplicate Tracking ID","OK")</x:f>
        <x:v>OK</x:v>
      </x:c>
      <x:c r="Q31" s="23" t="str">
        <x:f>IF(E31="Unknown Carrier","Invalid Carrier","OK")</x:f>
        <x:v>OK</x:v>
      </x:c>
      <x:c r="R31" s="23" t="str">
        <x:f>IF(Q31&lt;&gt;"OK","Not Tested",IF(OR(J31&lt;&gt;I31+IF(H31="Standard",VLOOKUP(E31,'SLA Reference'!$A$5:$C$7,2,FALSE),VLOOKUP(E31,'SLA Reference'!$A$5:$C$7,3,FALSE)),AND(L31&lt;&gt;"",L31&lt;I31)),"Invalid SLA / Date","OK"))</x:f>
        <x:v>OK</x:v>
      </x:c>
      <x:c r="S31" s="23" t="str">
        <x:f>IF(AND(K31="Delivered",L31&gt;J31),"Late Delivery",IF(AND(K31="In Transit",J31&lt;DATE(2026,8,17)),"Overdue In Transit","OK"))</x:f>
        <x:v>Late Delivery</x:v>
      </x:c>
      <x:c r="T31" s="23" t="str">
        <x:f>IF(AND(K31="Delivered",N31&lt;&gt;"Received"),"Missing POD","OK")</x:f>
        <x:v>OK</x:v>
      </x:c>
      <x:c r="U31" s="23" t="str">
        <x:f>IF(AND(K31="In Transit",DATE(2026,8,17)-M31&gt;2),"Stale Update","OK")</x:f>
        <x:v>OK</x:v>
      </x:c>
      <x:c r="V31" s="23" t="n">
        <x:f>IF(P31&lt;&gt;"OK",1,0)+IF(Q31&lt;&gt;"OK",1,0)+IF(OR(R31="OK",R31="Not Tested"),0,1)+IF(S31&lt;&gt;"OK",1,0)+IF(T31&lt;&gt;"OK",1,0)+IF(U31&lt;&gt;"OK",1,0)</x:f>
        <x:v>1</x:v>
      </x:c>
      <x:c r="W31" s="23" t="str">
        <x:f>IF(V31=0,"Ready",IF(OR(P31&lt;&gt;"OK",Q31&lt;&gt;"OK"),"High Priority Review","Review"))</x:f>
        <x:v>Review</x:v>
      </x:c>
      <x:c r="X31" s="23" t="str">
        <x:f>IF(P31&lt;&gt;"OK","Verify tracking ID using carrier portal",IF(Q31&lt;&gt;"OK","Confirm approved carrier",IF(R31&lt;&gt;"OK","Verify carrier SLA and shipment dates",IF(S31&lt;&gt;"OK","Send written delivery escalation",IF(T31&lt;&gt;"OK","Request proof of delivery",IF(U31&lt;&gt;"OK","Request written tracking update","No action required"))))))</x:f>
        <x:v>Send written delivery escalation</x:v>
      </x:c>
    </x:row>
    <x:row r="32">
      <x:c r="A32" s="21" t="n">
        <x:v>32</x:v>
      </x:c>
      <x:c r="B32" s="21" t="str">
        <x:f>IF('Raw Shipments'!A32="","",'Raw Shipments'!A32)</x:f>
        <x:v>SHP-0029</x:v>
      </x:c>
      <x:c r="C32" s="21" t="str">
        <x:f>IF('Raw Shipments'!B32="","",'Raw Shipments'!B32)</x:f>
        <x:v>TRK-02029</x:v>
      </x:c>
      <x:c r="D32" s="21" t="n">
        <x:f>COUNTIF('Raw Shipments'!$B$4:$B$53,C32)</x:f>
        <x:v>1</x:v>
      </x:c>
      <x:c r="E32" s="21" t="str">
        <x:f>IF('Raw Shipments'!C32="","",'Raw Shipments'!C32)</x:f>
        <x:v>Nusa Express</x:v>
      </x:c>
      <x:c r="F32" s="21" t="str">
        <x:f>IF('Raw Shipments'!D32="","",'Raw Shipments'!D32)</x:f>
        <x:v>Bandung</x:v>
      </x:c>
      <x:c r="G32" s="21" t="str">
        <x:f>IF('Raw Shipments'!E32="","",'Raw Shipments'!E32)</x:f>
        <x:v>Denpasar</x:v>
      </x:c>
      <x:c r="H32" s="21" t="str">
        <x:f>IF('Raw Shipments'!F32="","",'Raw Shipments'!F32)</x:f>
        <x:v>Standard</x:v>
      </x:c>
      <x:c r="I32" s="22" t="n">
        <x:f>IF('Raw Shipments'!G32="","",'Raw Shipments'!G32)</x:f>
        <x:v>46239</x:v>
      </x:c>
      <x:c r="J32" s="22" t="n">
        <x:f>IF('Raw Shipments'!H32="","",'Raw Shipments'!H32)</x:f>
        <x:v>46243</x:v>
      </x:c>
      <x:c r="K32" s="22" t="str">
        <x:f>IF('Raw Shipments'!I32="","",'Raw Shipments'!I32)</x:f>
        <x:v>Delivered</x:v>
      </x:c>
      <x:c r="L32" s="22" t="n">
        <x:f>IF('Raw Shipments'!J32="","",'Raw Shipments'!J32)</x:f>
        <x:v>46243</x:v>
      </x:c>
      <x:c r="M32" s="22" t="n">
        <x:f>IF('Raw Shipments'!K32="","",'Raw Shipments'!K32)</x:f>
        <x:v>46250</x:v>
      </x:c>
      <x:c r="N32" s="21" t="str">
        <x:f>IF('Raw Shipments'!L32="","",'Raw Shipments'!L32)</x:f>
        <x:v>Received</x:v>
      </x:c>
      <x:c r="O32" s="21" t="n">
        <x:f>IF('Raw Shipments'!M32="","",'Raw Shipments'!M32)</x:f>
        <x:v>6</x:v>
      </x:c>
      <x:c r="P32" s="21" t="str">
        <x:f>IF(D32&gt;1,"Duplicate Tracking ID","OK")</x:f>
        <x:v>OK</x:v>
      </x:c>
      <x:c r="Q32" s="21" t="str">
        <x:f>IF(E32="Unknown Carrier","Invalid Carrier","OK")</x:f>
        <x:v>OK</x:v>
      </x:c>
      <x:c r="R32" s="21" t="str">
        <x:f>IF(Q32&lt;&gt;"OK","Not Tested",IF(OR(J32&lt;&gt;I32+IF(H32="Standard",VLOOKUP(E32,'SLA Reference'!$A$5:$C$7,2,FALSE),VLOOKUP(E32,'SLA Reference'!$A$5:$C$7,3,FALSE)),AND(L32&lt;&gt;"",L32&lt;I32)),"Invalid SLA / Date","OK"))</x:f>
        <x:v>OK</x:v>
      </x:c>
      <x:c r="S32" s="21" t="str">
        <x:f>IF(AND(K32="Delivered",L32&gt;J32),"Late Delivery",IF(AND(K32="In Transit",J32&lt;DATE(2026,8,17)),"Overdue In Transit","OK"))</x:f>
        <x:v>OK</x:v>
      </x:c>
      <x:c r="T32" s="21" t="str">
        <x:f>IF(AND(K32="Delivered",N32&lt;&gt;"Received"),"Missing POD","OK")</x:f>
        <x:v>OK</x:v>
      </x:c>
      <x:c r="U32" s="21" t="str">
        <x:f>IF(AND(K32="In Transit",DATE(2026,8,17)-M32&gt;2),"Stale Update","OK")</x:f>
        <x:v>OK</x:v>
      </x:c>
      <x:c r="V32" s="21" t="n">
        <x:f>IF(P32&lt;&gt;"OK",1,0)+IF(Q32&lt;&gt;"OK",1,0)+IF(OR(R32="OK",R32="Not Tested"),0,1)+IF(S32&lt;&gt;"OK",1,0)+IF(T32&lt;&gt;"OK",1,0)+IF(U32&lt;&gt;"OK",1,0)</x:f>
        <x:v>0</x:v>
      </x:c>
      <x:c r="W32" s="21" t="str">
        <x:f>IF(V32=0,"Ready",IF(OR(P32&lt;&gt;"OK",Q32&lt;&gt;"OK"),"High Priority Review","Review"))</x:f>
        <x:v>Ready</x:v>
      </x:c>
      <x:c r="X32" s="21" t="str">
        <x:f>IF(P32&lt;&gt;"OK","Verify tracking ID using carrier portal",IF(Q32&lt;&gt;"OK","Confirm approved carrier",IF(R32&lt;&gt;"OK","Verify carrier SLA and shipment dates",IF(S32&lt;&gt;"OK","Send written delivery escalation",IF(T32&lt;&gt;"OK","Request proof of delivery",IF(U32&lt;&gt;"OK","Request written tracking update","No action required"))))))</x:f>
        <x:v>No action required</x:v>
      </x:c>
    </x:row>
    <x:row r="33">
      <x:c r="A33" s="23" t="n">
        <x:v>33</x:v>
      </x:c>
      <x:c r="B33" s="23" t="str">
        <x:f>IF('Raw Shipments'!A33="","",'Raw Shipments'!A33)</x:f>
        <x:v>SHP-0030</x:v>
      </x:c>
      <x:c r="C33" s="23" t="str">
        <x:f>IF('Raw Shipments'!B33="","",'Raw Shipments'!B33)</x:f>
        <x:v>TRK-02030</x:v>
      </x:c>
      <x:c r="D33" s="23" t="n">
        <x:f>COUNTIF('Raw Shipments'!$B$4:$B$53,C33)</x:f>
        <x:v>1</x:v>
      </x:c>
      <x:c r="E33" s="23" t="str">
        <x:f>IF('Raw Shipments'!C33="","",'Raw Shipments'!C33)</x:f>
        <x:v>Archipelago Cargo</x:v>
      </x:c>
      <x:c r="F33" s="23" t="str">
        <x:f>IF('Raw Shipments'!D33="","",'Raw Shipments'!D33)</x:f>
        <x:v>Surabaya</x:v>
      </x:c>
      <x:c r="G33" s="23" t="str">
        <x:f>IF('Raw Shipments'!E33="","",'Raw Shipments'!E33)</x:f>
        <x:v>Yogyakarta</x:v>
      </x:c>
      <x:c r="H33" s="23" t="str">
        <x:f>IF('Raw Shipments'!F33="","",'Raw Shipments'!F33)</x:f>
        <x:v>Express</x:v>
      </x:c>
      <x:c r="I33" s="24" t="n">
        <x:f>IF('Raw Shipments'!G33="","",'Raw Shipments'!G33)</x:f>
        <x:v>46240</x:v>
      </x:c>
      <x:c r="J33" s="24" t="n">
        <x:f>IF('Raw Shipments'!H33="","",'Raw Shipments'!H33)</x:f>
        <x:v>46242</x:v>
      </x:c>
      <x:c r="K33" s="24" t="str">
        <x:f>IF('Raw Shipments'!I33="","",'Raw Shipments'!I33)</x:f>
        <x:v>In Transit</x:v>
      </x:c>
      <x:c r="L33" s="24" t="str">
        <x:f>IF('Raw Shipments'!J33="","",'Raw Shipments'!J33)</x:f>
      </x:c>
      <x:c r="M33" s="24" t="n">
        <x:f>IF('Raw Shipments'!K33="","",'Raw Shipments'!K33)</x:f>
        <x:v>46248</x:v>
      </x:c>
      <x:c r="N33" s="23" t="str">
        <x:f>IF('Raw Shipments'!L33="","",'Raw Shipments'!L33)</x:f>
        <x:v>Pending</x:v>
      </x:c>
      <x:c r="O33" s="23" t="n">
        <x:f>IF('Raw Shipments'!M33="","",'Raw Shipments'!M33)</x:f>
        <x:v>7</x:v>
      </x:c>
      <x:c r="P33" s="23" t="str">
        <x:f>IF(D33&gt;1,"Duplicate Tracking ID","OK")</x:f>
        <x:v>OK</x:v>
      </x:c>
      <x:c r="Q33" s="23" t="str">
        <x:f>IF(E33="Unknown Carrier","Invalid Carrier","OK")</x:f>
        <x:v>OK</x:v>
      </x:c>
      <x:c r="R33" s="23" t="str">
        <x:f>IF(Q33&lt;&gt;"OK","Not Tested",IF(OR(J33&lt;&gt;I33+IF(H33="Standard",VLOOKUP(E33,'SLA Reference'!$A$5:$C$7,2,FALSE),VLOOKUP(E33,'SLA Reference'!$A$5:$C$7,3,FALSE)),AND(L33&lt;&gt;"",L33&lt;I33)),"Invalid SLA / Date","OK"))</x:f>
        <x:v>Invalid SLA / Date</x:v>
      </x:c>
      <x:c r="S33" s="23" t="str">
        <x:f>IF(AND(K33="Delivered",L33&gt;J33),"Late Delivery",IF(AND(K33="In Transit",J33&lt;DATE(2026,8,17)),"Overdue In Transit","OK"))</x:f>
        <x:v>Overdue In Transit</x:v>
      </x:c>
      <x:c r="T33" s="23" t="str">
        <x:f>IF(AND(K33="Delivered",N33&lt;&gt;"Received"),"Missing POD","OK")</x:f>
        <x:v>OK</x:v>
      </x:c>
      <x:c r="U33" s="23" t="str">
        <x:f>IF(AND(K33="In Transit",DATE(2026,8,17)-M33&gt;2),"Stale Update","OK")</x:f>
        <x:v>Stale Update</x:v>
      </x:c>
      <x:c r="V33" s="23" t="n">
        <x:f>IF(P33&lt;&gt;"OK",1,0)+IF(Q33&lt;&gt;"OK",1,0)+IF(OR(R33="OK",R33="Not Tested"),0,1)+IF(S33&lt;&gt;"OK",1,0)+IF(T33&lt;&gt;"OK",1,0)+IF(U33&lt;&gt;"OK",1,0)</x:f>
        <x:v>3</x:v>
      </x:c>
      <x:c r="W33" s="23" t="str">
        <x:f>IF(V33=0,"Ready",IF(OR(P33&lt;&gt;"OK",Q33&lt;&gt;"OK"),"High Priority Review","Review"))</x:f>
        <x:v>Review</x:v>
      </x:c>
      <x:c r="X33" s="23" t="str">
        <x:f>IF(P33&lt;&gt;"OK","Verify tracking ID using carrier portal",IF(Q33&lt;&gt;"OK","Confirm approved carrier",IF(R33&lt;&gt;"OK","Verify carrier SLA and shipment dates",IF(S33&lt;&gt;"OK","Send written delivery escalation",IF(T33&lt;&gt;"OK","Request proof of delivery",IF(U33&lt;&gt;"OK","Request written tracking update","No action required"))))))</x:f>
        <x:v>Verify carrier SLA and shipment dates</x:v>
      </x:c>
    </x:row>
    <x:row r="34">
      <x:c r="A34" s="21" t="n">
        <x:v>34</x:v>
      </x:c>
      <x:c r="B34" s="21" t="str">
        <x:f>IF('Raw Shipments'!A34="","",'Raw Shipments'!A34)</x:f>
        <x:v>SHP-0031</x:v>
      </x:c>
      <x:c r="C34" s="21" t="str">
        <x:f>IF('Raw Shipments'!B34="","",'Raw Shipments'!B34)</x:f>
        <x:v>TRK-02031</x:v>
      </x:c>
      <x:c r="D34" s="21" t="n">
        <x:f>COUNTIF('Raw Shipments'!$B$4:$B$53,C34)</x:f>
        <x:v>1</x:v>
      </x:c>
      <x:c r="E34" s="21" t="str">
        <x:f>IF('Raw Shipments'!C34="","",'Raw Shipments'!C34)</x:f>
        <x:v>SwiftShip</x:v>
      </x:c>
      <x:c r="F34" s="21" t="str">
        <x:f>IF('Raw Shipments'!D34="","",'Raw Shipments'!D34)</x:f>
        <x:v>Jakarta</x:v>
      </x:c>
      <x:c r="G34" s="21" t="str">
        <x:f>IF('Raw Shipments'!E34="","",'Raw Shipments'!E34)</x:f>
        <x:v>Medan</x:v>
      </x:c>
      <x:c r="H34" s="21" t="str">
        <x:f>IF('Raw Shipments'!F34="","",'Raw Shipments'!F34)</x:f>
        <x:v>Standard</x:v>
      </x:c>
      <x:c r="I34" s="22" t="n">
        <x:f>IF('Raw Shipments'!G34="","",'Raw Shipments'!G34)</x:f>
        <x:v>46241</x:v>
      </x:c>
      <x:c r="J34" s="22" t="n">
        <x:f>IF('Raw Shipments'!H34="","",'Raw Shipments'!H34)</x:f>
        <x:v>46245</x:v>
      </x:c>
      <x:c r="K34" s="22" t="str">
        <x:f>IF('Raw Shipments'!I34="","",'Raw Shipments'!I34)</x:f>
        <x:v>Delivered</x:v>
      </x:c>
      <x:c r="L34" s="22" t="n">
        <x:f>IF('Raw Shipments'!J34="","",'Raw Shipments'!J34)</x:f>
        <x:v>46245</x:v>
      </x:c>
      <x:c r="M34" s="22" t="n">
        <x:f>IF('Raw Shipments'!K34="","",'Raw Shipments'!K34)</x:f>
        <x:v>46249</x:v>
      </x:c>
      <x:c r="N34" s="21" t="str">
        <x:f>IF('Raw Shipments'!L34="","",'Raw Shipments'!L34)</x:f>
        <x:v>Received</x:v>
      </x:c>
      <x:c r="O34" s="21" t="n">
        <x:f>IF('Raw Shipments'!M34="","",'Raw Shipments'!M34)</x:f>
        <x:v>8</x:v>
      </x:c>
      <x:c r="P34" s="21" t="str">
        <x:f>IF(D34&gt;1,"Duplicate Tracking ID","OK")</x:f>
        <x:v>OK</x:v>
      </x:c>
      <x:c r="Q34" s="21" t="str">
        <x:f>IF(E34="Unknown Carrier","Invalid Carrier","OK")</x:f>
        <x:v>OK</x:v>
      </x:c>
      <x:c r="R34" s="21" t="str">
        <x:f>IF(Q34&lt;&gt;"OK","Not Tested",IF(OR(J34&lt;&gt;I34+IF(H34="Standard",VLOOKUP(E34,'SLA Reference'!$A$5:$C$7,2,FALSE),VLOOKUP(E34,'SLA Reference'!$A$5:$C$7,3,FALSE)),AND(L34&lt;&gt;"",L34&lt;I34)),"Invalid SLA / Date","OK"))</x:f>
        <x:v>OK</x:v>
      </x:c>
      <x:c r="S34" s="21" t="str">
        <x:f>IF(AND(K34="Delivered",L34&gt;J34),"Late Delivery",IF(AND(K34="In Transit",J34&lt;DATE(2026,8,17)),"Overdue In Transit","OK"))</x:f>
        <x:v>OK</x:v>
      </x:c>
      <x:c r="T34" s="21" t="str">
        <x:f>IF(AND(K34="Delivered",N34&lt;&gt;"Received"),"Missing POD","OK")</x:f>
        <x:v>OK</x:v>
      </x:c>
      <x:c r="U34" s="21" t="str">
        <x:f>IF(AND(K34="In Transit",DATE(2026,8,17)-M34&gt;2),"Stale Update","OK")</x:f>
        <x:v>OK</x:v>
      </x:c>
      <x:c r="V34" s="21" t="n">
        <x:f>IF(P34&lt;&gt;"OK",1,0)+IF(Q34&lt;&gt;"OK",1,0)+IF(OR(R34="OK",R34="Not Tested"),0,1)+IF(S34&lt;&gt;"OK",1,0)+IF(T34&lt;&gt;"OK",1,0)+IF(U34&lt;&gt;"OK",1,0)</x:f>
        <x:v>0</x:v>
      </x:c>
      <x:c r="W34" s="21" t="str">
        <x:f>IF(V34=0,"Ready",IF(OR(P34&lt;&gt;"OK",Q34&lt;&gt;"OK"),"High Priority Review","Review"))</x:f>
        <x:v>Ready</x:v>
      </x:c>
      <x:c r="X34" s="21" t="str">
        <x:f>IF(P34&lt;&gt;"OK","Verify tracking ID using carrier portal",IF(Q34&lt;&gt;"OK","Confirm approved carrier",IF(R34&lt;&gt;"OK","Verify carrier SLA and shipment dates",IF(S34&lt;&gt;"OK","Send written delivery escalation",IF(T34&lt;&gt;"OK","Request proof of delivery",IF(U34&lt;&gt;"OK","Request written tracking update","No action required"))))))</x:f>
        <x:v>No action required</x:v>
      </x:c>
    </x:row>
    <x:row r="35">
      <x:c r="A35" s="21" t="n">
        <x:v>35</x:v>
      </x:c>
      <x:c r="B35" s="21" t="str">
        <x:f>IF('Raw Shipments'!A35="","",'Raw Shipments'!A35)</x:f>
        <x:v>SHP-0032</x:v>
      </x:c>
      <x:c r="C35" s="21" t="str">
        <x:f>IF('Raw Shipments'!B35="","",'Raw Shipments'!B35)</x:f>
        <x:v>TRK-02032</x:v>
      </x:c>
      <x:c r="D35" s="21" t="n">
        <x:f>COUNTIF('Raw Shipments'!$B$4:$B$53,C35)</x:f>
        <x:v>1</x:v>
      </x:c>
      <x:c r="E35" s="21" t="str">
        <x:f>IF('Raw Shipments'!C35="","",'Raw Shipments'!C35)</x:f>
        <x:v>Nusa Express</x:v>
      </x:c>
      <x:c r="F35" s="21" t="str">
        <x:f>IF('Raw Shipments'!D35="","",'Raw Shipments'!D35)</x:f>
        <x:v>Bandung</x:v>
      </x:c>
      <x:c r="G35" s="21" t="str">
        <x:f>IF('Raw Shipments'!E35="","",'Raw Shipments'!E35)</x:f>
        <x:v>Makassar</x:v>
      </x:c>
      <x:c r="H35" s="21" t="str">
        <x:f>IF('Raw Shipments'!F35="","",'Raw Shipments'!F35)</x:f>
        <x:v>Express</x:v>
      </x:c>
      <x:c r="I35" s="22" t="n">
        <x:f>IF('Raw Shipments'!G35="","",'Raw Shipments'!G35)</x:f>
        <x:v>46242</x:v>
      </x:c>
      <x:c r="J35" s="22" t="n">
        <x:f>IF('Raw Shipments'!H35="","",'Raw Shipments'!H35)</x:f>
        <x:v>46244</x:v>
      </x:c>
      <x:c r="K35" s="22" t="str">
        <x:f>IF('Raw Shipments'!I35="","",'Raw Shipments'!I35)</x:f>
        <x:v>Delivered</x:v>
      </x:c>
      <x:c r="L35" s="22" t="n">
        <x:f>IF('Raw Shipments'!J35="","",'Raw Shipments'!J35)</x:f>
        <x:v>46244</x:v>
      </x:c>
      <x:c r="M35" s="22" t="n">
        <x:f>IF('Raw Shipments'!K35="","",'Raw Shipments'!K35)</x:f>
        <x:v>46250</x:v>
      </x:c>
      <x:c r="N35" s="21" t="str">
        <x:f>IF('Raw Shipments'!L35="","",'Raw Shipments'!L35)</x:f>
        <x:v>Received</x:v>
      </x:c>
      <x:c r="O35" s="21" t="n">
        <x:f>IF('Raw Shipments'!M35="","",'Raw Shipments'!M35)</x:f>
        <x:v>1</x:v>
      </x:c>
      <x:c r="P35" s="21" t="str">
        <x:f>IF(D35&gt;1,"Duplicate Tracking ID","OK")</x:f>
        <x:v>OK</x:v>
      </x:c>
      <x:c r="Q35" s="21" t="str">
        <x:f>IF(E35="Unknown Carrier","Invalid Carrier","OK")</x:f>
        <x:v>OK</x:v>
      </x:c>
      <x:c r="R35" s="21" t="str">
        <x:f>IF(Q35&lt;&gt;"OK","Not Tested",IF(OR(J35&lt;&gt;I35+IF(H35="Standard",VLOOKUP(E35,'SLA Reference'!$A$5:$C$7,2,FALSE),VLOOKUP(E35,'SLA Reference'!$A$5:$C$7,3,FALSE)),AND(L35&lt;&gt;"",L35&lt;I35)),"Invalid SLA / Date","OK"))</x:f>
        <x:v>OK</x:v>
      </x:c>
      <x:c r="S35" s="21" t="str">
        <x:f>IF(AND(K35="Delivered",L35&gt;J35),"Late Delivery",IF(AND(K35="In Transit",J35&lt;DATE(2026,8,17)),"Overdue In Transit","OK"))</x:f>
        <x:v>OK</x:v>
      </x:c>
      <x:c r="T35" s="21" t="str">
        <x:f>IF(AND(K35="Delivered",N35&lt;&gt;"Received"),"Missing POD","OK")</x:f>
        <x:v>OK</x:v>
      </x:c>
      <x:c r="U35" s="21" t="str">
        <x:f>IF(AND(K35="In Transit",DATE(2026,8,17)-M35&gt;2),"Stale Update","OK")</x:f>
        <x:v>OK</x:v>
      </x:c>
      <x:c r="V35" s="21" t="n">
        <x:f>IF(P35&lt;&gt;"OK",1,0)+IF(Q35&lt;&gt;"OK",1,0)+IF(OR(R35="OK",R35="Not Tested"),0,1)+IF(S35&lt;&gt;"OK",1,0)+IF(T35&lt;&gt;"OK",1,0)+IF(U35&lt;&gt;"OK",1,0)</x:f>
        <x:v>0</x:v>
      </x:c>
      <x:c r="W35" s="21" t="str">
        <x:f>IF(V35=0,"Ready",IF(OR(P35&lt;&gt;"OK",Q35&lt;&gt;"OK"),"High Priority Review","Review"))</x:f>
        <x:v>Ready</x:v>
      </x:c>
      <x:c r="X35" s="21" t="str">
        <x:f>IF(P35&lt;&gt;"OK","Verify tracking ID using carrier portal",IF(Q35&lt;&gt;"OK","Confirm approved carrier",IF(R35&lt;&gt;"OK","Verify carrier SLA and shipment dates",IF(S35&lt;&gt;"OK","Send written delivery escalation",IF(T35&lt;&gt;"OK","Request proof of delivery",IF(U35&lt;&gt;"OK","Request written tracking update","No action required"))))))</x:f>
        <x:v>No action required</x:v>
      </x:c>
    </x:row>
    <x:row r="36">
      <x:c r="A36" s="23" t="n">
        <x:v>36</x:v>
      </x:c>
      <x:c r="B36" s="23" t="str">
        <x:f>IF('Raw Shipments'!A36="","",'Raw Shipments'!A36)</x:f>
        <x:v>SHP-0033</x:v>
      </x:c>
      <x:c r="C36" s="23" t="str">
        <x:f>IF('Raw Shipments'!B36="","",'Raw Shipments'!B36)</x:f>
        <x:v>TRK-02033</x:v>
      </x:c>
      <x:c r="D36" s="23" t="n">
        <x:f>COUNTIF('Raw Shipments'!$B$4:$B$53,C36)</x:f>
        <x:v>1</x:v>
      </x:c>
      <x:c r="E36" s="23" t="str">
        <x:f>IF('Raw Shipments'!C36="","",'Raw Shipments'!C36)</x:f>
        <x:v>Archipelago Cargo</x:v>
      </x:c>
      <x:c r="F36" s="23" t="str">
        <x:f>IF('Raw Shipments'!D36="","",'Raw Shipments'!D36)</x:f>
        <x:v>Surabaya</x:v>
      </x:c>
      <x:c r="G36" s="23" t="str">
        <x:f>IF('Raw Shipments'!E36="","",'Raw Shipments'!E36)</x:f>
        <x:v>Semarang</x:v>
      </x:c>
      <x:c r="H36" s="23" t="str">
        <x:f>IF('Raw Shipments'!F36="","",'Raw Shipments'!F36)</x:f>
        <x:v>Standard</x:v>
      </x:c>
      <x:c r="I36" s="24" t="n">
        <x:f>IF('Raw Shipments'!G36="","",'Raw Shipments'!G36)</x:f>
        <x:v>46243</x:v>
      </x:c>
      <x:c r="J36" s="24" t="n">
        <x:f>IF('Raw Shipments'!H36="","",'Raw Shipments'!H36)</x:f>
        <x:v>46247</x:v>
      </x:c>
      <x:c r="K36" s="24" t="str">
        <x:f>IF('Raw Shipments'!I36="","",'Raw Shipments'!I36)</x:f>
        <x:v>Delivered</x:v>
      </x:c>
      <x:c r="L36" s="24" t="n">
        <x:f>IF('Raw Shipments'!J36="","",'Raw Shipments'!J36)</x:f>
        <x:v>46247</x:v>
      </x:c>
      <x:c r="M36" s="24" t="n">
        <x:f>IF('Raw Shipments'!K36="","",'Raw Shipments'!K36)</x:f>
        <x:v>46248</x:v>
      </x:c>
      <x:c r="N36" s="23" t="str">
        <x:f>IF('Raw Shipments'!L36="","",'Raw Shipments'!L36)</x:f>
        <x:v>Missing</x:v>
      </x:c>
      <x:c r="O36" s="23" t="n">
        <x:f>IF('Raw Shipments'!M36="","",'Raw Shipments'!M36)</x:f>
        <x:v>2</x:v>
      </x:c>
      <x:c r="P36" s="23" t="str">
        <x:f>IF(D36&gt;1,"Duplicate Tracking ID","OK")</x:f>
        <x:v>OK</x:v>
      </x:c>
      <x:c r="Q36" s="23" t="str">
        <x:f>IF(E36="Unknown Carrier","Invalid Carrier","OK")</x:f>
        <x:v>OK</x:v>
      </x:c>
      <x:c r="R36" s="23" t="str">
        <x:f>IF(Q36&lt;&gt;"OK","Not Tested",IF(OR(J36&lt;&gt;I36+IF(H36="Standard",VLOOKUP(E36,'SLA Reference'!$A$5:$C$7,2,FALSE),VLOOKUP(E36,'SLA Reference'!$A$5:$C$7,3,FALSE)),AND(L36&lt;&gt;"",L36&lt;I36)),"Invalid SLA / Date","OK"))</x:f>
        <x:v>Invalid SLA / Date</x:v>
      </x:c>
      <x:c r="S36" s="23" t="str">
        <x:f>IF(AND(K36="Delivered",L36&gt;J36),"Late Delivery",IF(AND(K36="In Transit",J36&lt;DATE(2026,8,17)),"Overdue In Transit","OK"))</x:f>
        <x:v>OK</x:v>
      </x:c>
      <x:c r="T36" s="23" t="str">
        <x:f>IF(AND(K36="Delivered",N36&lt;&gt;"Received"),"Missing POD","OK")</x:f>
        <x:v>Missing POD</x:v>
      </x:c>
      <x:c r="U36" s="23" t="str">
        <x:f>IF(AND(K36="In Transit",DATE(2026,8,17)-M36&gt;2),"Stale Update","OK")</x:f>
        <x:v>OK</x:v>
      </x:c>
      <x:c r="V36" s="23" t="n">
        <x:f>IF(P36&lt;&gt;"OK",1,0)+IF(Q36&lt;&gt;"OK",1,0)+IF(OR(R36="OK",R36="Not Tested"),0,1)+IF(S36&lt;&gt;"OK",1,0)+IF(T36&lt;&gt;"OK",1,0)+IF(U36&lt;&gt;"OK",1,0)</x:f>
        <x:v>2</x:v>
      </x:c>
      <x:c r="W36" s="23" t="str">
        <x:f>IF(V36=0,"Ready",IF(OR(P36&lt;&gt;"OK",Q36&lt;&gt;"OK"),"High Priority Review","Review"))</x:f>
        <x:v>Review</x:v>
      </x:c>
      <x:c r="X36" s="23" t="str">
        <x:f>IF(P36&lt;&gt;"OK","Verify tracking ID using carrier portal",IF(Q36&lt;&gt;"OK","Confirm approved carrier",IF(R36&lt;&gt;"OK","Verify carrier SLA and shipment dates",IF(S36&lt;&gt;"OK","Send written delivery escalation",IF(T36&lt;&gt;"OK","Request proof of delivery",IF(U36&lt;&gt;"OK","Request written tracking update","No action required"))))))</x:f>
        <x:v>Verify carrier SLA and shipment dates</x:v>
      </x:c>
    </x:row>
    <x:row r="37">
      <x:c r="A37" s="21" t="n">
        <x:v>37</x:v>
      </x:c>
      <x:c r="B37" s="21" t="str">
        <x:f>IF('Raw Shipments'!A37="","",'Raw Shipments'!A37)</x:f>
        <x:v>SHP-0034</x:v>
      </x:c>
      <x:c r="C37" s="21" t="str">
        <x:f>IF('Raw Shipments'!B37="","",'Raw Shipments'!B37)</x:f>
        <x:v>TRK-02034</x:v>
      </x:c>
      <x:c r="D37" s="21" t="n">
        <x:f>COUNTIF('Raw Shipments'!$B$4:$B$53,C37)</x:f>
        <x:v>1</x:v>
      </x:c>
      <x:c r="E37" s="21" t="str">
        <x:f>IF('Raw Shipments'!C37="","",'Raw Shipments'!C37)</x:f>
        <x:v>SwiftShip</x:v>
      </x:c>
      <x:c r="F37" s="21" t="str">
        <x:f>IF('Raw Shipments'!D37="","",'Raw Shipments'!D37)</x:f>
        <x:v>Jakarta</x:v>
      </x:c>
      <x:c r="G37" s="21" t="str">
        <x:f>IF('Raw Shipments'!E37="","",'Raw Shipments'!E37)</x:f>
        <x:v>Denpasar</x:v>
      </x:c>
      <x:c r="H37" s="21" t="str">
        <x:f>IF('Raw Shipments'!F37="","",'Raw Shipments'!F37)</x:f>
        <x:v>Express</x:v>
      </x:c>
      <x:c r="I37" s="22" t="n">
        <x:f>IF('Raw Shipments'!G37="","",'Raw Shipments'!G37)</x:f>
        <x:v>46244</x:v>
      </x:c>
      <x:c r="J37" s="22" t="n">
        <x:f>IF('Raw Shipments'!H37="","",'Raw Shipments'!H37)</x:f>
        <x:v>46246</x:v>
      </x:c>
      <x:c r="K37" s="22" t="str">
        <x:f>IF('Raw Shipments'!I37="","",'Raw Shipments'!I37)</x:f>
        <x:v>Delivered</x:v>
      </x:c>
      <x:c r="L37" s="22" t="n">
        <x:f>IF('Raw Shipments'!J37="","",'Raw Shipments'!J37)</x:f>
        <x:v>46246</x:v>
      </x:c>
      <x:c r="M37" s="22" t="n">
        <x:f>IF('Raw Shipments'!K37="","",'Raw Shipments'!K37)</x:f>
        <x:v>46249</x:v>
      </x:c>
      <x:c r="N37" s="21" t="str">
        <x:f>IF('Raw Shipments'!L37="","",'Raw Shipments'!L37)</x:f>
        <x:v>Received</x:v>
      </x:c>
      <x:c r="O37" s="21" t="n">
        <x:f>IF('Raw Shipments'!M37="","",'Raw Shipments'!M37)</x:f>
        <x:v>3</x:v>
      </x:c>
      <x:c r="P37" s="21" t="str">
        <x:f>IF(D37&gt;1,"Duplicate Tracking ID","OK")</x:f>
        <x:v>OK</x:v>
      </x:c>
      <x:c r="Q37" s="21" t="str">
        <x:f>IF(E37="Unknown Carrier","Invalid Carrier","OK")</x:f>
        <x:v>OK</x:v>
      </x:c>
      <x:c r="R37" s="21" t="str">
        <x:f>IF(Q37&lt;&gt;"OK","Not Tested",IF(OR(J37&lt;&gt;I37+IF(H37="Standard",VLOOKUP(E37,'SLA Reference'!$A$5:$C$7,2,FALSE),VLOOKUP(E37,'SLA Reference'!$A$5:$C$7,3,FALSE)),AND(L37&lt;&gt;"",L37&lt;I37)),"Invalid SLA / Date","OK"))</x:f>
        <x:v>OK</x:v>
      </x:c>
      <x:c r="S37" s="21" t="str">
        <x:f>IF(AND(K37="Delivered",L37&gt;J37),"Late Delivery",IF(AND(K37="In Transit",J37&lt;DATE(2026,8,17)),"Overdue In Transit","OK"))</x:f>
        <x:v>OK</x:v>
      </x:c>
      <x:c r="T37" s="21" t="str">
        <x:f>IF(AND(K37="Delivered",N37&lt;&gt;"Received"),"Missing POD","OK")</x:f>
        <x:v>OK</x:v>
      </x:c>
      <x:c r="U37" s="21" t="str">
        <x:f>IF(AND(K37="In Transit",DATE(2026,8,17)-M37&gt;2),"Stale Update","OK")</x:f>
        <x:v>OK</x:v>
      </x:c>
      <x:c r="V37" s="21" t="n">
        <x:f>IF(P37&lt;&gt;"OK",1,0)+IF(Q37&lt;&gt;"OK",1,0)+IF(OR(R37="OK",R37="Not Tested"),0,1)+IF(S37&lt;&gt;"OK",1,0)+IF(T37&lt;&gt;"OK",1,0)+IF(U37&lt;&gt;"OK",1,0)</x:f>
        <x:v>0</x:v>
      </x:c>
      <x:c r="W37" s="21" t="str">
        <x:f>IF(V37=0,"Ready",IF(OR(P37&lt;&gt;"OK",Q37&lt;&gt;"OK"),"High Priority Review","Review"))</x:f>
        <x:v>Ready</x:v>
      </x:c>
      <x:c r="X37" s="21" t="str">
        <x:f>IF(P37&lt;&gt;"OK","Verify tracking ID using carrier portal",IF(Q37&lt;&gt;"OK","Confirm approved carrier",IF(R37&lt;&gt;"OK","Verify carrier SLA and shipment dates",IF(S37&lt;&gt;"OK","Send written delivery escalation",IF(T37&lt;&gt;"OK","Request proof of delivery",IF(U37&lt;&gt;"OK","Request written tracking update","No action required"))))))</x:f>
        <x:v>No action required</x:v>
      </x:c>
    </x:row>
    <x:row r="38">
      <x:c r="A38" s="23" t="n">
        <x:v>38</x:v>
      </x:c>
      <x:c r="B38" s="23" t="str">
        <x:f>IF('Raw Shipments'!A38="","",'Raw Shipments'!A38)</x:f>
        <x:v>SHP-0035</x:v>
      </x:c>
      <x:c r="C38" s="23" t="str">
        <x:f>IF('Raw Shipments'!B38="","",'Raw Shipments'!B38)</x:f>
        <x:v>TRK-02035</x:v>
      </x:c>
      <x:c r="D38" s="23" t="n">
        <x:f>COUNTIF('Raw Shipments'!$B$4:$B$53,C38)</x:f>
        <x:v>1</x:v>
      </x:c>
      <x:c r="E38" s="23" t="str">
        <x:f>IF('Raw Shipments'!C38="","",'Raw Shipments'!C38)</x:f>
        <x:v>Nusa Express</x:v>
      </x:c>
      <x:c r="F38" s="23" t="str">
        <x:f>IF('Raw Shipments'!D38="","",'Raw Shipments'!D38)</x:f>
        <x:v>Bandung</x:v>
      </x:c>
      <x:c r="G38" s="23" t="str">
        <x:f>IF('Raw Shipments'!E38="","",'Raw Shipments'!E38)</x:f>
        <x:v>Yogyakarta</x:v>
      </x:c>
      <x:c r="H38" s="23" t="str">
        <x:f>IF('Raw Shipments'!F38="","",'Raw Shipments'!F38)</x:f>
        <x:v>Standard</x:v>
      </x:c>
      <x:c r="I38" s="24" t="n">
        <x:f>IF('Raw Shipments'!G38="","",'Raw Shipments'!G38)</x:f>
        <x:v>46245</x:v>
      </x:c>
      <x:c r="J38" s="24" t="n">
        <x:f>IF('Raw Shipments'!H38="","",'Raw Shipments'!H38)</x:f>
        <x:v>46249</x:v>
      </x:c>
      <x:c r="K38" s="24" t="str">
        <x:f>IF('Raw Shipments'!I38="","",'Raw Shipments'!I38)</x:f>
        <x:v>In Transit</x:v>
      </x:c>
      <x:c r="L38" s="24" t="str">
        <x:f>IF('Raw Shipments'!J38="","",'Raw Shipments'!J38)</x:f>
      </x:c>
      <x:c r="M38" s="24" t="n">
        <x:f>IF('Raw Shipments'!K38="","",'Raw Shipments'!K38)</x:f>
        <x:v>46250</x:v>
      </x:c>
      <x:c r="N38" s="23" t="str">
        <x:f>IF('Raw Shipments'!L38="","",'Raw Shipments'!L38)</x:f>
        <x:v>Pending</x:v>
      </x:c>
      <x:c r="O38" s="23" t="n">
        <x:f>IF('Raw Shipments'!M38="","",'Raw Shipments'!M38)</x:f>
        <x:v>4</x:v>
      </x:c>
      <x:c r="P38" s="23" t="str">
        <x:f>IF(D38&gt;1,"Duplicate Tracking ID","OK")</x:f>
        <x:v>OK</x:v>
      </x:c>
      <x:c r="Q38" s="23" t="str">
        <x:f>IF(E38="Unknown Carrier","Invalid Carrier","OK")</x:f>
        <x:v>OK</x:v>
      </x:c>
      <x:c r="R38" s="23" t="str">
        <x:f>IF(Q38&lt;&gt;"OK","Not Tested",IF(OR(J38&lt;&gt;I38+IF(H38="Standard",VLOOKUP(E38,'SLA Reference'!$A$5:$C$7,2,FALSE),VLOOKUP(E38,'SLA Reference'!$A$5:$C$7,3,FALSE)),AND(L38&lt;&gt;"",L38&lt;I38)),"Invalid SLA / Date","OK"))</x:f>
        <x:v>OK</x:v>
      </x:c>
      <x:c r="S38" s="23" t="str">
        <x:f>IF(AND(K38="Delivered",L38&gt;J38),"Late Delivery",IF(AND(K38="In Transit",J38&lt;DATE(2026,8,17)),"Overdue In Transit","OK"))</x:f>
        <x:v>Overdue In Transit</x:v>
      </x:c>
      <x:c r="T38" s="23" t="str">
        <x:f>IF(AND(K38="Delivered",N38&lt;&gt;"Received"),"Missing POD","OK")</x:f>
        <x:v>OK</x:v>
      </x:c>
      <x:c r="U38" s="23" t="str">
        <x:f>IF(AND(K38="In Transit",DATE(2026,8,17)-M38&gt;2),"Stale Update","OK")</x:f>
        <x:v>OK</x:v>
      </x:c>
      <x:c r="V38" s="23" t="n">
        <x:f>IF(P38&lt;&gt;"OK",1,0)+IF(Q38&lt;&gt;"OK",1,0)+IF(OR(R38="OK",R38="Not Tested"),0,1)+IF(S38&lt;&gt;"OK",1,0)+IF(T38&lt;&gt;"OK",1,0)+IF(U38&lt;&gt;"OK",1,0)</x:f>
        <x:v>1</x:v>
      </x:c>
      <x:c r="W38" s="23" t="str">
        <x:f>IF(V38=0,"Ready",IF(OR(P38&lt;&gt;"OK",Q38&lt;&gt;"OK"),"High Priority Review","Review"))</x:f>
        <x:v>Review</x:v>
      </x:c>
      <x:c r="X38" s="23" t="str">
        <x:f>IF(P38&lt;&gt;"OK","Verify tracking ID using carrier portal",IF(Q38&lt;&gt;"OK","Confirm approved carrier",IF(R38&lt;&gt;"OK","Verify carrier SLA and shipment dates",IF(S38&lt;&gt;"OK","Send written delivery escalation",IF(T38&lt;&gt;"OK","Request proof of delivery",IF(U38&lt;&gt;"OK","Request written tracking update","No action required"))))))</x:f>
        <x:v>Send written delivery escalation</x:v>
      </x:c>
    </x:row>
    <x:row r="39">
      <x:c r="A39" s="23" t="n">
        <x:v>39</x:v>
      </x:c>
      <x:c r="B39" s="23" t="str">
        <x:f>IF('Raw Shipments'!A39="","",'Raw Shipments'!A39)</x:f>
        <x:v>SHP-0036</x:v>
      </x:c>
      <x:c r="C39" s="23" t="str">
        <x:f>IF('Raw Shipments'!B39="","",'Raw Shipments'!B39)</x:f>
        <x:v>TRK-02036</x:v>
      </x:c>
      <x:c r="D39" s="23" t="n">
        <x:f>COUNTIF('Raw Shipments'!$B$4:$B$53,C39)</x:f>
        <x:v>1</x:v>
      </x:c>
      <x:c r="E39" s="23" t="str">
        <x:f>IF('Raw Shipments'!C39="","",'Raw Shipments'!C39)</x:f>
        <x:v>Archipelago Cargo</x:v>
      </x:c>
      <x:c r="F39" s="23" t="str">
        <x:f>IF('Raw Shipments'!D39="","",'Raw Shipments'!D39)</x:f>
        <x:v>Surabaya</x:v>
      </x:c>
      <x:c r="G39" s="23" t="str">
        <x:f>IF('Raw Shipments'!E39="","",'Raw Shipments'!E39)</x:f>
        <x:v>Medan</x:v>
      </x:c>
      <x:c r="H39" s="23" t="str">
        <x:f>IF('Raw Shipments'!F39="","",'Raw Shipments'!F39)</x:f>
        <x:v>Express</x:v>
      </x:c>
      <x:c r="I39" s="24" t="n">
        <x:f>IF('Raw Shipments'!G39="","",'Raw Shipments'!G39)</x:f>
        <x:v>46246</x:v>
      </x:c>
      <x:c r="J39" s="24" t="n">
        <x:f>IF('Raw Shipments'!H39="","",'Raw Shipments'!H39)</x:f>
        <x:v>46248</x:v>
      </x:c>
      <x:c r="K39" s="24" t="str">
        <x:f>IF('Raw Shipments'!I39="","",'Raw Shipments'!I39)</x:f>
        <x:v>Delivered</x:v>
      </x:c>
      <x:c r="L39" s="24" t="n">
        <x:f>IF('Raw Shipments'!J39="","",'Raw Shipments'!J39)</x:f>
        <x:v>46248</x:v>
      </x:c>
      <x:c r="M39" s="24" t="n">
        <x:f>IF('Raw Shipments'!K39="","",'Raw Shipments'!K39)</x:f>
        <x:v>46248</x:v>
      </x:c>
      <x:c r="N39" s="23" t="str">
        <x:f>IF('Raw Shipments'!L39="","",'Raw Shipments'!L39)</x:f>
        <x:v>Received</x:v>
      </x:c>
      <x:c r="O39" s="23" t="n">
        <x:f>IF('Raw Shipments'!M39="","",'Raw Shipments'!M39)</x:f>
        <x:v>5</x:v>
      </x:c>
      <x:c r="P39" s="23" t="str">
        <x:f>IF(D39&gt;1,"Duplicate Tracking ID","OK")</x:f>
        <x:v>OK</x:v>
      </x:c>
      <x:c r="Q39" s="23" t="str">
        <x:f>IF(E39="Unknown Carrier","Invalid Carrier","OK")</x:f>
        <x:v>OK</x:v>
      </x:c>
      <x:c r="R39" s="23" t="str">
        <x:f>IF(Q39&lt;&gt;"OK","Not Tested",IF(OR(J39&lt;&gt;I39+IF(H39="Standard",VLOOKUP(E39,'SLA Reference'!$A$5:$C$7,2,FALSE),VLOOKUP(E39,'SLA Reference'!$A$5:$C$7,3,FALSE)),AND(L39&lt;&gt;"",L39&lt;I39)),"Invalid SLA / Date","OK"))</x:f>
        <x:v>Invalid SLA / Date</x:v>
      </x:c>
      <x:c r="S39" s="23" t="str">
        <x:f>IF(AND(K39="Delivered",L39&gt;J39),"Late Delivery",IF(AND(K39="In Transit",J39&lt;DATE(2026,8,17)),"Overdue In Transit","OK"))</x:f>
        <x:v>OK</x:v>
      </x:c>
      <x:c r="T39" s="23" t="str">
        <x:f>IF(AND(K39="Delivered",N39&lt;&gt;"Received"),"Missing POD","OK")</x:f>
        <x:v>OK</x:v>
      </x:c>
      <x:c r="U39" s="23" t="str">
        <x:f>IF(AND(K39="In Transit",DATE(2026,8,17)-M39&gt;2),"Stale Update","OK")</x:f>
        <x:v>OK</x:v>
      </x:c>
      <x:c r="V39" s="23" t="n">
        <x:f>IF(P39&lt;&gt;"OK",1,0)+IF(Q39&lt;&gt;"OK",1,0)+IF(OR(R39="OK",R39="Not Tested"),0,1)+IF(S39&lt;&gt;"OK",1,0)+IF(T39&lt;&gt;"OK",1,0)+IF(U39&lt;&gt;"OK",1,0)</x:f>
        <x:v>1</x:v>
      </x:c>
      <x:c r="W39" s="23" t="str">
        <x:f>IF(V39=0,"Ready",IF(OR(P39&lt;&gt;"OK",Q39&lt;&gt;"OK"),"High Priority Review","Review"))</x:f>
        <x:v>Review</x:v>
      </x:c>
      <x:c r="X39" s="23" t="str">
        <x:f>IF(P39&lt;&gt;"OK","Verify tracking ID using carrier portal",IF(Q39&lt;&gt;"OK","Confirm approved carrier",IF(R39&lt;&gt;"OK","Verify carrier SLA and shipment dates",IF(S39&lt;&gt;"OK","Send written delivery escalation",IF(T39&lt;&gt;"OK","Request proof of delivery",IF(U39&lt;&gt;"OK","Request written tracking update","No action required"))))))</x:f>
        <x:v>Verify carrier SLA and shipment dates</x:v>
      </x:c>
    </x:row>
    <x:row r="40">
      <x:c r="A40" s="21" t="n">
        <x:v>40</x:v>
      </x:c>
      <x:c r="B40" s="21" t="str">
        <x:f>IF('Raw Shipments'!A40="","",'Raw Shipments'!A40)</x:f>
        <x:v>SHP-0037</x:v>
      </x:c>
      <x:c r="C40" s="21" t="str">
        <x:f>IF('Raw Shipments'!B40="","",'Raw Shipments'!B40)</x:f>
        <x:v>TRK-02037</x:v>
      </x:c>
      <x:c r="D40" s="21" t="n">
        <x:f>COUNTIF('Raw Shipments'!$B$4:$B$53,C40)</x:f>
        <x:v>1</x:v>
      </x:c>
      <x:c r="E40" s="21" t="str">
        <x:f>IF('Raw Shipments'!C40="","",'Raw Shipments'!C40)</x:f>
        <x:v>SwiftShip</x:v>
      </x:c>
      <x:c r="F40" s="21" t="str">
        <x:f>IF('Raw Shipments'!D40="","",'Raw Shipments'!D40)</x:f>
        <x:v>Jakarta</x:v>
      </x:c>
      <x:c r="G40" s="21" t="str">
        <x:f>IF('Raw Shipments'!E40="","",'Raw Shipments'!E40)</x:f>
        <x:v>Makassar</x:v>
      </x:c>
      <x:c r="H40" s="21" t="str">
        <x:f>IF('Raw Shipments'!F40="","",'Raw Shipments'!F40)</x:f>
        <x:v>Standard</x:v>
      </x:c>
      <x:c r="I40" s="22" t="n">
        <x:f>IF('Raw Shipments'!G40="","",'Raw Shipments'!G40)</x:f>
        <x:v>46235</x:v>
      </x:c>
      <x:c r="J40" s="22" t="n">
        <x:f>IF('Raw Shipments'!H40="","",'Raw Shipments'!H40)</x:f>
        <x:v>46239</x:v>
      </x:c>
      <x:c r="K40" s="22" t="str">
        <x:f>IF('Raw Shipments'!I40="","",'Raw Shipments'!I40)</x:f>
        <x:v>Delivered</x:v>
      </x:c>
      <x:c r="L40" s="22" t="n">
        <x:f>IF('Raw Shipments'!J40="","",'Raw Shipments'!J40)</x:f>
        <x:v>46239</x:v>
      </x:c>
      <x:c r="M40" s="22" t="n">
        <x:f>IF('Raw Shipments'!K40="","",'Raw Shipments'!K40)</x:f>
        <x:v>46249</x:v>
      </x:c>
      <x:c r="N40" s="21" t="str">
        <x:f>IF('Raw Shipments'!L40="","",'Raw Shipments'!L40)</x:f>
        <x:v>Received</x:v>
      </x:c>
      <x:c r="O40" s="21" t="n">
        <x:f>IF('Raw Shipments'!M40="","",'Raw Shipments'!M40)</x:f>
        <x:v>6</x:v>
      </x:c>
      <x:c r="P40" s="21" t="str">
        <x:f>IF(D40&gt;1,"Duplicate Tracking ID","OK")</x:f>
        <x:v>OK</x:v>
      </x:c>
      <x:c r="Q40" s="21" t="str">
        <x:f>IF(E40="Unknown Carrier","Invalid Carrier","OK")</x:f>
        <x:v>OK</x:v>
      </x:c>
      <x:c r="R40" s="21" t="str">
        <x:f>IF(Q40&lt;&gt;"OK","Not Tested",IF(OR(J40&lt;&gt;I40+IF(H40="Standard",VLOOKUP(E40,'SLA Reference'!$A$5:$C$7,2,FALSE),VLOOKUP(E40,'SLA Reference'!$A$5:$C$7,3,FALSE)),AND(L40&lt;&gt;"",L40&lt;I40)),"Invalid SLA / Date","OK"))</x:f>
        <x:v>OK</x:v>
      </x:c>
      <x:c r="S40" s="21" t="str">
        <x:f>IF(AND(K40="Delivered",L40&gt;J40),"Late Delivery",IF(AND(K40="In Transit",J40&lt;DATE(2026,8,17)),"Overdue In Transit","OK"))</x:f>
        <x:v>OK</x:v>
      </x:c>
      <x:c r="T40" s="21" t="str">
        <x:f>IF(AND(K40="Delivered",N40&lt;&gt;"Received"),"Missing POD","OK")</x:f>
        <x:v>OK</x:v>
      </x:c>
      <x:c r="U40" s="21" t="str">
        <x:f>IF(AND(K40="In Transit",DATE(2026,8,17)-M40&gt;2),"Stale Update","OK")</x:f>
        <x:v>OK</x:v>
      </x:c>
      <x:c r="V40" s="21" t="n">
        <x:f>IF(P40&lt;&gt;"OK",1,0)+IF(Q40&lt;&gt;"OK",1,0)+IF(OR(R40="OK",R40="Not Tested"),0,1)+IF(S40&lt;&gt;"OK",1,0)+IF(T40&lt;&gt;"OK",1,0)+IF(U40&lt;&gt;"OK",1,0)</x:f>
        <x:v>0</x:v>
      </x:c>
      <x:c r="W40" s="21" t="str">
        <x:f>IF(V40=0,"Ready",IF(OR(P40&lt;&gt;"OK",Q40&lt;&gt;"OK"),"High Priority Review","Review"))</x:f>
        <x:v>Ready</x:v>
      </x:c>
      <x:c r="X40" s="21" t="str">
        <x:f>IF(P40&lt;&gt;"OK","Verify tracking ID using carrier portal",IF(Q40&lt;&gt;"OK","Confirm approved carrier",IF(R40&lt;&gt;"OK","Verify carrier SLA and shipment dates",IF(S40&lt;&gt;"OK","Send written delivery escalation",IF(T40&lt;&gt;"OK","Request proof of delivery",IF(U40&lt;&gt;"OK","Request written tracking update","No action required"))))))</x:f>
        <x:v>No action required</x:v>
      </x:c>
    </x:row>
    <x:row r="41">
      <x:c r="A41" s="21" t="n">
        <x:v>41</x:v>
      </x:c>
      <x:c r="B41" s="21" t="str">
        <x:f>IF('Raw Shipments'!A41="","",'Raw Shipments'!A41)</x:f>
        <x:v>SHP-0038</x:v>
      </x:c>
      <x:c r="C41" s="21" t="str">
        <x:f>IF('Raw Shipments'!B41="","",'Raw Shipments'!B41)</x:f>
        <x:v>TRK-02038</x:v>
      </x:c>
      <x:c r="D41" s="21" t="n">
        <x:f>COUNTIF('Raw Shipments'!$B$4:$B$53,C41)</x:f>
        <x:v>1</x:v>
      </x:c>
      <x:c r="E41" s="21" t="str">
        <x:f>IF('Raw Shipments'!C41="","",'Raw Shipments'!C41)</x:f>
        <x:v>Nusa Express</x:v>
      </x:c>
      <x:c r="F41" s="21" t="str">
        <x:f>IF('Raw Shipments'!D41="","",'Raw Shipments'!D41)</x:f>
        <x:v>Bandung</x:v>
      </x:c>
      <x:c r="G41" s="21" t="str">
        <x:f>IF('Raw Shipments'!E41="","",'Raw Shipments'!E41)</x:f>
        <x:v>Semarang</x:v>
      </x:c>
      <x:c r="H41" s="21" t="str">
        <x:f>IF('Raw Shipments'!F41="","",'Raw Shipments'!F41)</x:f>
        <x:v>Express</x:v>
      </x:c>
      <x:c r="I41" s="22" t="n">
        <x:f>IF('Raw Shipments'!G41="","",'Raw Shipments'!G41)</x:f>
        <x:v>46236</x:v>
      </x:c>
      <x:c r="J41" s="22" t="n">
        <x:f>IF('Raw Shipments'!H41="","",'Raw Shipments'!H41)</x:f>
        <x:v>46238</x:v>
      </x:c>
      <x:c r="K41" s="22" t="str">
        <x:f>IF('Raw Shipments'!I41="","",'Raw Shipments'!I41)</x:f>
        <x:v>Delivered</x:v>
      </x:c>
      <x:c r="L41" s="22" t="n">
        <x:f>IF('Raw Shipments'!J41="","",'Raw Shipments'!J41)</x:f>
        <x:v>46238</x:v>
      </x:c>
      <x:c r="M41" s="22" t="n">
        <x:f>IF('Raw Shipments'!K41="","",'Raw Shipments'!K41)</x:f>
        <x:v>46250</x:v>
      </x:c>
      <x:c r="N41" s="21" t="str">
        <x:f>IF('Raw Shipments'!L41="","",'Raw Shipments'!L41)</x:f>
        <x:v>Received</x:v>
      </x:c>
      <x:c r="O41" s="21" t="n">
        <x:f>IF('Raw Shipments'!M41="","",'Raw Shipments'!M41)</x:f>
        <x:v>7</x:v>
      </x:c>
      <x:c r="P41" s="21" t="str">
        <x:f>IF(D41&gt;1,"Duplicate Tracking ID","OK")</x:f>
        <x:v>OK</x:v>
      </x:c>
      <x:c r="Q41" s="21" t="str">
        <x:f>IF(E41="Unknown Carrier","Invalid Carrier","OK")</x:f>
        <x:v>OK</x:v>
      </x:c>
      <x:c r="R41" s="21" t="str">
        <x:f>IF(Q41&lt;&gt;"OK","Not Tested",IF(OR(J41&lt;&gt;I41+IF(H41="Standard",VLOOKUP(E41,'SLA Reference'!$A$5:$C$7,2,FALSE),VLOOKUP(E41,'SLA Reference'!$A$5:$C$7,3,FALSE)),AND(L41&lt;&gt;"",L41&lt;I41)),"Invalid SLA / Date","OK"))</x:f>
        <x:v>OK</x:v>
      </x:c>
      <x:c r="S41" s="21" t="str">
        <x:f>IF(AND(K41="Delivered",L41&gt;J41),"Late Delivery",IF(AND(K41="In Transit",J41&lt;DATE(2026,8,17)),"Overdue In Transit","OK"))</x:f>
        <x:v>OK</x:v>
      </x:c>
      <x:c r="T41" s="21" t="str">
        <x:f>IF(AND(K41="Delivered",N41&lt;&gt;"Received"),"Missing POD","OK")</x:f>
        <x:v>OK</x:v>
      </x:c>
      <x:c r="U41" s="21" t="str">
        <x:f>IF(AND(K41="In Transit",DATE(2026,8,17)-M41&gt;2),"Stale Update","OK")</x:f>
        <x:v>OK</x:v>
      </x:c>
      <x:c r="V41" s="21" t="n">
        <x:f>IF(P41&lt;&gt;"OK",1,0)+IF(Q41&lt;&gt;"OK",1,0)+IF(OR(R41="OK",R41="Not Tested"),0,1)+IF(S41&lt;&gt;"OK",1,0)+IF(T41&lt;&gt;"OK",1,0)+IF(U41&lt;&gt;"OK",1,0)</x:f>
        <x:v>0</x:v>
      </x:c>
      <x:c r="W41" s="21" t="str">
        <x:f>IF(V41=0,"Ready",IF(OR(P41&lt;&gt;"OK",Q41&lt;&gt;"OK"),"High Priority Review","Review"))</x:f>
        <x:v>Ready</x:v>
      </x:c>
      <x:c r="X41" s="21" t="str">
        <x:f>IF(P41&lt;&gt;"OK","Verify tracking ID using carrier portal",IF(Q41&lt;&gt;"OK","Confirm approved carrier",IF(R41&lt;&gt;"OK","Verify carrier SLA and shipment dates",IF(S41&lt;&gt;"OK","Send written delivery escalation",IF(T41&lt;&gt;"OK","Request proof of delivery",IF(U41&lt;&gt;"OK","Request written tracking update","No action required"))))))</x:f>
        <x:v>No action required</x:v>
      </x:c>
    </x:row>
    <x:row r="42">
      <x:c r="A42" s="23" t="n">
        <x:v>42</x:v>
      </x:c>
      <x:c r="B42" s="23" t="str">
        <x:f>IF('Raw Shipments'!A42="","",'Raw Shipments'!A42)</x:f>
        <x:v>SHP-0039</x:v>
      </x:c>
      <x:c r="C42" s="23" t="str">
        <x:f>IF('Raw Shipments'!B42="","",'Raw Shipments'!B42)</x:f>
        <x:v>TRK-02039</x:v>
      </x:c>
      <x:c r="D42" s="23" t="n">
        <x:f>COUNTIF('Raw Shipments'!$B$4:$B$53,C42)</x:f>
        <x:v>1</x:v>
      </x:c>
      <x:c r="E42" s="23" t="str">
        <x:f>IF('Raw Shipments'!C42="","",'Raw Shipments'!C42)</x:f>
        <x:v>Archipelago Cargo</x:v>
      </x:c>
      <x:c r="F42" s="23" t="str">
        <x:f>IF('Raw Shipments'!D42="","",'Raw Shipments'!D42)</x:f>
        <x:v>Surabaya</x:v>
      </x:c>
      <x:c r="G42" s="23" t="str">
        <x:f>IF('Raw Shipments'!E42="","",'Raw Shipments'!E42)</x:f>
        <x:v>Denpasar</x:v>
      </x:c>
      <x:c r="H42" s="23" t="str">
        <x:f>IF('Raw Shipments'!F42="","",'Raw Shipments'!F42)</x:f>
        <x:v>Standard</x:v>
      </x:c>
      <x:c r="I42" s="24" t="n">
        <x:f>IF('Raw Shipments'!G42="","",'Raw Shipments'!G42)</x:f>
        <x:v>46237</x:v>
      </x:c>
      <x:c r="J42" s="24" t="n">
        <x:f>IF('Raw Shipments'!H42="","",'Raw Shipments'!H42)</x:f>
        <x:v>46241</x:v>
      </x:c>
      <x:c r="K42" s="24" t="str">
        <x:f>IF('Raw Shipments'!I42="","",'Raw Shipments'!I42)</x:f>
        <x:v>Delivered</x:v>
      </x:c>
      <x:c r="L42" s="24" t="n">
        <x:f>IF('Raw Shipments'!J42="","",'Raw Shipments'!J42)</x:f>
        <x:v>46241</x:v>
      </x:c>
      <x:c r="M42" s="24" t="n">
        <x:f>IF('Raw Shipments'!K42="","",'Raw Shipments'!K42)</x:f>
        <x:v>46248</x:v>
      </x:c>
      <x:c r="N42" s="23" t="str">
        <x:f>IF('Raw Shipments'!L42="","",'Raw Shipments'!L42)</x:f>
        <x:v>Received</x:v>
      </x:c>
      <x:c r="O42" s="23" t="n">
        <x:f>IF('Raw Shipments'!M42="","",'Raw Shipments'!M42)</x:f>
        <x:v>8</x:v>
      </x:c>
      <x:c r="P42" s="23" t="str">
        <x:f>IF(D42&gt;1,"Duplicate Tracking ID","OK")</x:f>
        <x:v>OK</x:v>
      </x:c>
      <x:c r="Q42" s="23" t="str">
        <x:f>IF(E42="Unknown Carrier","Invalid Carrier","OK")</x:f>
        <x:v>OK</x:v>
      </x:c>
      <x:c r="R42" s="23" t="str">
        <x:f>IF(Q42&lt;&gt;"OK","Not Tested",IF(OR(J42&lt;&gt;I42+IF(H42="Standard",VLOOKUP(E42,'SLA Reference'!$A$5:$C$7,2,FALSE),VLOOKUP(E42,'SLA Reference'!$A$5:$C$7,3,FALSE)),AND(L42&lt;&gt;"",L42&lt;I42)),"Invalid SLA / Date","OK"))</x:f>
        <x:v>Invalid SLA / Date</x:v>
      </x:c>
      <x:c r="S42" s="23" t="str">
        <x:f>IF(AND(K42="Delivered",L42&gt;J42),"Late Delivery",IF(AND(K42="In Transit",J42&lt;DATE(2026,8,17)),"Overdue In Transit","OK"))</x:f>
        <x:v>OK</x:v>
      </x:c>
      <x:c r="T42" s="23" t="str">
        <x:f>IF(AND(K42="Delivered",N42&lt;&gt;"Received"),"Missing POD","OK")</x:f>
        <x:v>OK</x:v>
      </x:c>
      <x:c r="U42" s="23" t="str">
        <x:f>IF(AND(K42="In Transit",DATE(2026,8,17)-M42&gt;2),"Stale Update","OK")</x:f>
        <x:v>OK</x:v>
      </x:c>
      <x:c r="V42" s="23" t="n">
        <x:f>IF(P42&lt;&gt;"OK",1,0)+IF(Q42&lt;&gt;"OK",1,0)+IF(OR(R42="OK",R42="Not Tested"),0,1)+IF(S42&lt;&gt;"OK",1,0)+IF(T42&lt;&gt;"OK",1,0)+IF(U42&lt;&gt;"OK",1,0)</x:f>
        <x:v>1</x:v>
      </x:c>
      <x:c r="W42" s="23" t="str">
        <x:f>IF(V42=0,"Ready",IF(OR(P42&lt;&gt;"OK",Q42&lt;&gt;"OK"),"High Priority Review","Review"))</x:f>
        <x:v>Review</x:v>
      </x:c>
      <x:c r="X42" s="23" t="str">
        <x:f>IF(P42&lt;&gt;"OK","Verify tracking ID using carrier portal",IF(Q42&lt;&gt;"OK","Confirm approved carrier",IF(R42&lt;&gt;"OK","Verify carrier SLA and shipment dates",IF(S42&lt;&gt;"OK","Send written delivery escalation",IF(T42&lt;&gt;"OK","Request proof of delivery",IF(U42&lt;&gt;"OK","Request written tracking update","No action required"))))))</x:f>
        <x:v>Verify carrier SLA and shipment dates</x:v>
      </x:c>
    </x:row>
    <x:row r="43">
      <x:c r="A43" s="23" t="n">
        <x:v>43</x:v>
      </x:c>
      <x:c r="B43" s="23" t="str">
        <x:f>IF('Raw Shipments'!A43="","",'Raw Shipments'!A43)</x:f>
        <x:v>SHP-0040</x:v>
      </x:c>
      <x:c r="C43" s="23" t="str">
        <x:f>IF('Raw Shipments'!B43="","",'Raw Shipments'!B43)</x:f>
        <x:v>TRK-02040</x:v>
      </x:c>
      <x:c r="D43" s="23" t="n">
        <x:f>COUNTIF('Raw Shipments'!$B$4:$B$53,C43)</x:f>
        <x:v>1</x:v>
      </x:c>
      <x:c r="E43" s="23" t="str">
        <x:f>IF('Raw Shipments'!C43="","",'Raw Shipments'!C43)</x:f>
        <x:v>SwiftShip</x:v>
      </x:c>
      <x:c r="F43" s="23" t="str">
        <x:f>IF('Raw Shipments'!D43="","",'Raw Shipments'!D43)</x:f>
        <x:v>Jakarta</x:v>
      </x:c>
      <x:c r="G43" s="23" t="str">
        <x:f>IF('Raw Shipments'!E43="","",'Raw Shipments'!E43)</x:f>
        <x:v>Yogyakarta</x:v>
      </x:c>
      <x:c r="H43" s="23" t="str">
        <x:f>IF('Raw Shipments'!F43="","",'Raw Shipments'!F43)</x:f>
        <x:v>Express</x:v>
      </x:c>
      <x:c r="I43" s="24" t="n">
        <x:f>IF('Raw Shipments'!G43="","",'Raw Shipments'!G43)</x:f>
        <x:v>46238</x:v>
      </x:c>
      <x:c r="J43" s="24" t="n">
        <x:f>IF('Raw Shipments'!H43="","",'Raw Shipments'!H43)</x:f>
        <x:v>46240</x:v>
      </x:c>
      <x:c r="K43" s="24" t="str">
        <x:f>IF('Raw Shipments'!I43="","",'Raw Shipments'!I43)</x:f>
        <x:v>In Transit</x:v>
      </x:c>
      <x:c r="L43" s="24" t="str">
        <x:f>IF('Raw Shipments'!J43="","",'Raw Shipments'!J43)</x:f>
      </x:c>
      <x:c r="M43" s="24" t="n">
        <x:f>IF('Raw Shipments'!K43="","",'Raw Shipments'!K43)</x:f>
        <x:v>46249</x:v>
      </x:c>
      <x:c r="N43" s="23" t="str">
        <x:f>IF('Raw Shipments'!L43="","",'Raw Shipments'!L43)</x:f>
        <x:v>Pending</x:v>
      </x:c>
      <x:c r="O43" s="23" t="n">
        <x:f>IF('Raw Shipments'!M43="","",'Raw Shipments'!M43)</x:f>
        <x:v>1</x:v>
      </x:c>
      <x:c r="P43" s="23" t="str">
        <x:f>IF(D43&gt;1,"Duplicate Tracking ID","OK")</x:f>
        <x:v>OK</x:v>
      </x:c>
      <x:c r="Q43" s="23" t="str">
        <x:f>IF(E43="Unknown Carrier","Invalid Carrier","OK")</x:f>
        <x:v>OK</x:v>
      </x:c>
      <x:c r="R43" s="23" t="str">
        <x:f>IF(Q43&lt;&gt;"OK","Not Tested",IF(OR(J43&lt;&gt;I43+IF(H43="Standard",VLOOKUP(E43,'SLA Reference'!$A$5:$C$7,2,FALSE),VLOOKUP(E43,'SLA Reference'!$A$5:$C$7,3,FALSE)),AND(L43&lt;&gt;"",L43&lt;I43)),"Invalid SLA / Date","OK"))</x:f>
        <x:v>OK</x:v>
      </x:c>
      <x:c r="S43" s="23" t="str">
        <x:f>IF(AND(K43="Delivered",L43&gt;J43),"Late Delivery",IF(AND(K43="In Transit",J43&lt;DATE(2026,8,17)),"Overdue In Transit","OK"))</x:f>
        <x:v>Overdue In Transit</x:v>
      </x:c>
      <x:c r="T43" s="23" t="str">
        <x:f>IF(AND(K43="Delivered",N43&lt;&gt;"Received"),"Missing POD","OK")</x:f>
        <x:v>OK</x:v>
      </x:c>
      <x:c r="U43" s="23" t="str">
        <x:f>IF(AND(K43="In Transit",DATE(2026,8,17)-M43&gt;2),"Stale Update","OK")</x:f>
        <x:v>OK</x:v>
      </x:c>
      <x:c r="V43" s="23" t="n">
        <x:f>IF(P43&lt;&gt;"OK",1,0)+IF(Q43&lt;&gt;"OK",1,0)+IF(OR(R43="OK",R43="Not Tested"),0,1)+IF(S43&lt;&gt;"OK",1,0)+IF(T43&lt;&gt;"OK",1,0)+IF(U43&lt;&gt;"OK",1,0)</x:f>
        <x:v>1</x:v>
      </x:c>
      <x:c r="W43" s="23" t="str">
        <x:f>IF(V43=0,"Ready",IF(OR(P43&lt;&gt;"OK",Q43&lt;&gt;"OK"),"High Priority Review","Review"))</x:f>
        <x:v>Review</x:v>
      </x:c>
      <x:c r="X43" s="23" t="str">
        <x:f>IF(P43&lt;&gt;"OK","Verify tracking ID using carrier portal",IF(Q43&lt;&gt;"OK","Confirm approved carrier",IF(R43&lt;&gt;"OK","Verify carrier SLA and shipment dates",IF(S43&lt;&gt;"OK","Send written delivery escalation",IF(T43&lt;&gt;"OK","Request proof of delivery",IF(U43&lt;&gt;"OK","Request written tracking update","No action required"))))))</x:f>
        <x:v>Send written delivery escalation</x:v>
      </x:c>
    </x:row>
    <x:row r="44">
      <x:c r="A44" s="21" t="n">
        <x:v>44</x:v>
      </x:c>
      <x:c r="B44" s="21" t="str">
        <x:f>IF('Raw Shipments'!A44="","",'Raw Shipments'!A44)</x:f>
        <x:v>SHP-0041</x:v>
      </x:c>
      <x:c r="C44" s="21" t="str">
        <x:f>IF('Raw Shipments'!B44="","",'Raw Shipments'!B44)</x:f>
        <x:v>TRK-02041</x:v>
      </x:c>
      <x:c r="D44" s="21" t="n">
        <x:f>COUNTIF('Raw Shipments'!$B$4:$B$53,C44)</x:f>
        <x:v>1</x:v>
      </x:c>
      <x:c r="E44" s="21" t="str">
        <x:f>IF('Raw Shipments'!C44="","",'Raw Shipments'!C44)</x:f>
        <x:v>Nusa Express</x:v>
      </x:c>
      <x:c r="F44" s="21" t="str">
        <x:f>IF('Raw Shipments'!D44="","",'Raw Shipments'!D44)</x:f>
        <x:v>Bandung</x:v>
      </x:c>
      <x:c r="G44" s="21" t="str">
        <x:f>IF('Raw Shipments'!E44="","",'Raw Shipments'!E44)</x:f>
        <x:v>Medan</x:v>
      </x:c>
      <x:c r="H44" s="21" t="str">
        <x:f>IF('Raw Shipments'!F44="","",'Raw Shipments'!F44)</x:f>
        <x:v>Standard</x:v>
      </x:c>
      <x:c r="I44" s="22" t="n">
        <x:f>IF('Raw Shipments'!G44="","",'Raw Shipments'!G44)</x:f>
        <x:v>46239</x:v>
      </x:c>
      <x:c r="J44" s="22" t="n">
        <x:f>IF('Raw Shipments'!H44="","",'Raw Shipments'!H44)</x:f>
        <x:v>46243</x:v>
      </x:c>
      <x:c r="K44" s="22" t="str">
        <x:f>IF('Raw Shipments'!I44="","",'Raw Shipments'!I44)</x:f>
        <x:v>Delivered</x:v>
      </x:c>
      <x:c r="L44" s="22" t="n">
        <x:f>IF('Raw Shipments'!J44="","",'Raw Shipments'!J44)</x:f>
        <x:v>46243</x:v>
      </x:c>
      <x:c r="M44" s="22" t="n">
        <x:f>IF('Raw Shipments'!K44="","",'Raw Shipments'!K44)</x:f>
        <x:v>46250</x:v>
      </x:c>
      <x:c r="N44" s="21" t="str">
        <x:f>IF('Raw Shipments'!L44="","",'Raw Shipments'!L44)</x:f>
        <x:v>Received</x:v>
      </x:c>
      <x:c r="O44" s="21" t="n">
        <x:f>IF('Raw Shipments'!M44="","",'Raw Shipments'!M44)</x:f>
        <x:v>2</x:v>
      </x:c>
      <x:c r="P44" s="21" t="str">
        <x:f>IF(D44&gt;1,"Duplicate Tracking ID","OK")</x:f>
        <x:v>OK</x:v>
      </x:c>
      <x:c r="Q44" s="21" t="str">
        <x:f>IF(E44="Unknown Carrier","Invalid Carrier","OK")</x:f>
        <x:v>OK</x:v>
      </x:c>
      <x:c r="R44" s="21" t="str">
        <x:f>IF(Q44&lt;&gt;"OK","Not Tested",IF(OR(J44&lt;&gt;I44+IF(H44="Standard",VLOOKUP(E44,'SLA Reference'!$A$5:$C$7,2,FALSE),VLOOKUP(E44,'SLA Reference'!$A$5:$C$7,3,FALSE)),AND(L44&lt;&gt;"",L44&lt;I44)),"Invalid SLA / Date","OK"))</x:f>
        <x:v>OK</x:v>
      </x:c>
      <x:c r="S44" s="21" t="str">
        <x:f>IF(AND(K44="Delivered",L44&gt;J44),"Late Delivery",IF(AND(K44="In Transit",J44&lt;DATE(2026,8,17)),"Overdue In Transit","OK"))</x:f>
        <x:v>OK</x:v>
      </x:c>
      <x:c r="T44" s="21" t="str">
        <x:f>IF(AND(K44="Delivered",N44&lt;&gt;"Received"),"Missing POD","OK")</x:f>
        <x:v>OK</x:v>
      </x:c>
      <x:c r="U44" s="21" t="str">
        <x:f>IF(AND(K44="In Transit",DATE(2026,8,17)-M44&gt;2),"Stale Update","OK")</x:f>
        <x:v>OK</x:v>
      </x:c>
      <x:c r="V44" s="21" t="n">
        <x:f>IF(P44&lt;&gt;"OK",1,0)+IF(Q44&lt;&gt;"OK",1,0)+IF(OR(R44="OK",R44="Not Tested"),0,1)+IF(S44&lt;&gt;"OK",1,0)+IF(T44&lt;&gt;"OK",1,0)+IF(U44&lt;&gt;"OK",1,0)</x:f>
        <x:v>0</x:v>
      </x:c>
      <x:c r="W44" s="21" t="str">
        <x:f>IF(V44=0,"Ready",IF(OR(P44&lt;&gt;"OK",Q44&lt;&gt;"OK"),"High Priority Review","Review"))</x:f>
        <x:v>Ready</x:v>
      </x:c>
      <x:c r="X44" s="21" t="str">
        <x:f>IF(P44&lt;&gt;"OK","Verify tracking ID using carrier portal",IF(Q44&lt;&gt;"OK","Confirm approved carrier",IF(R44&lt;&gt;"OK","Verify carrier SLA and shipment dates",IF(S44&lt;&gt;"OK","Send written delivery escalation",IF(T44&lt;&gt;"OK","Request proof of delivery",IF(U44&lt;&gt;"OK","Request written tracking update","No action required"))))))</x:f>
        <x:v>No action required</x:v>
      </x:c>
    </x:row>
    <x:row r="45">
      <x:c r="A45" s="23" t="n">
        <x:v>45</x:v>
      </x:c>
      <x:c r="B45" s="23" t="str">
        <x:f>IF('Raw Shipments'!A45="","",'Raw Shipments'!A45)</x:f>
        <x:v>SHP-0042</x:v>
      </x:c>
      <x:c r="C45" s="23" t="str">
        <x:f>IF('Raw Shipments'!B45="","",'Raw Shipments'!B45)</x:f>
        <x:v>TRK-02042</x:v>
      </x:c>
      <x:c r="D45" s="23" t="n">
        <x:f>COUNTIF('Raw Shipments'!$B$4:$B$53,C45)</x:f>
        <x:v>1</x:v>
      </x:c>
      <x:c r="E45" s="23" t="str">
        <x:f>IF('Raw Shipments'!C45="","",'Raw Shipments'!C45)</x:f>
        <x:v>Archipelago Cargo</x:v>
      </x:c>
      <x:c r="F45" s="23" t="str">
        <x:f>IF('Raw Shipments'!D45="","",'Raw Shipments'!D45)</x:f>
        <x:v>Surabaya</x:v>
      </x:c>
      <x:c r="G45" s="23" t="str">
        <x:f>IF('Raw Shipments'!E45="","",'Raw Shipments'!E45)</x:f>
        <x:v>Makassar</x:v>
      </x:c>
      <x:c r="H45" s="23" t="str">
        <x:f>IF('Raw Shipments'!F45="","",'Raw Shipments'!F45)</x:f>
        <x:v>Express</x:v>
      </x:c>
      <x:c r="I45" s="24" t="n">
        <x:f>IF('Raw Shipments'!G45="","",'Raw Shipments'!G45)</x:f>
        <x:v>46240</x:v>
      </x:c>
      <x:c r="J45" s="24" t="n">
        <x:f>IF('Raw Shipments'!H45="","",'Raw Shipments'!H45)</x:f>
        <x:v>46242</x:v>
      </x:c>
      <x:c r="K45" s="24" t="str">
        <x:f>IF('Raw Shipments'!I45="","",'Raw Shipments'!I45)</x:f>
        <x:v>Delivered</x:v>
      </x:c>
      <x:c r="L45" s="24" t="n">
        <x:f>IF('Raw Shipments'!J45="","",'Raw Shipments'!J45)</x:f>
        <x:v>46244</x:v>
      </x:c>
      <x:c r="M45" s="24" t="n">
        <x:f>IF('Raw Shipments'!K45="","",'Raw Shipments'!K45)</x:f>
        <x:v>46248</x:v>
      </x:c>
      <x:c r="N45" s="23" t="str">
        <x:f>IF('Raw Shipments'!L45="","",'Raw Shipments'!L45)</x:f>
        <x:v>Received</x:v>
      </x:c>
      <x:c r="O45" s="23" t="n">
        <x:f>IF('Raw Shipments'!M45="","",'Raw Shipments'!M45)</x:f>
        <x:v>3</x:v>
      </x:c>
      <x:c r="P45" s="23" t="str">
        <x:f>IF(D45&gt;1,"Duplicate Tracking ID","OK")</x:f>
        <x:v>OK</x:v>
      </x:c>
      <x:c r="Q45" s="23" t="str">
        <x:f>IF(E45="Unknown Carrier","Invalid Carrier","OK")</x:f>
        <x:v>OK</x:v>
      </x:c>
      <x:c r="R45" s="23" t="str">
        <x:f>IF(Q45&lt;&gt;"OK","Not Tested",IF(OR(J45&lt;&gt;I45+IF(H45="Standard",VLOOKUP(E45,'SLA Reference'!$A$5:$C$7,2,FALSE),VLOOKUP(E45,'SLA Reference'!$A$5:$C$7,3,FALSE)),AND(L45&lt;&gt;"",L45&lt;I45)),"Invalid SLA / Date","OK"))</x:f>
        <x:v>Invalid SLA / Date</x:v>
      </x:c>
      <x:c r="S45" s="23" t="str">
        <x:f>IF(AND(K45="Delivered",L45&gt;J45),"Late Delivery",IF(AND(K45="In Transit",J45&lt;DATE(2026,8,17)),"Overdue In Transit","OK"))</x:f>
        <x:v>Late Delivery</x:v>
      </x:c>
      <x:c r="T45" s="23" t="str">
        <x:f>IF(AND(K45="Delivered",N45&lt;&gt;"Received"),"Missing POD","OK")</x:f>
        <x:v>OK</x:v>
      </x:c>
      <x:c r="U45" s="23" t="str">
        <x:f>IF(AND(K45="In Transit",DATE(2026,8,17)-M45&gt;2),"Stale Update","OK")</x:f>
        <x:v>OK</x:v>
      </x:c>
      <x:c r="V45" s="23" t="n">
        <x:f>IF(P45&lt;&gt;"OK",1,0)+IF(Q45&lt;&gt;"OK",1,0)+IF(OR(R45="OK",R45="Not Tested"),0,1)+IF(S45&lt;&gt;"OK",1,0)+IF(T45&lt;&gt;"OK",1,0)+IF(U45&lt;&gt;"OK",1,0)</x:f>
        <x:v>2</x:v>
      </x:c>
      <x:c r="W45" s="23" t="str">
        <x:f>IF(V45=0,"Ready",IF(OR(P45&lt;&gt;"OK",Q45&lt;&gt;"OK"),"High Priority Review","Review"))</x:f>
        <x:v>Review</x:v>
      </x:c>
      <x:c r="X45" s="23" t="str">
        <x:f>IF(P45&lt;&gt;"OK","Verify tracking ID using carrier portal",IF(Q45&lt;&gt;"OK","Confirm approved carrier",IF(R45&lt;&gt;"OK","Verify carrier SLA and shipment dates",IF(S45&lt;&gt;"OK","Send written delivery escalation",IF(T45&lt;&gt;"OK","Request proof of delivery",IF(U45&lt;&gt;"OK","Request written tracking update","No action required"))))))</x:f>
        <x:v>Verify carrier SLA and shipment dates</x:v>
      </x:c>
    </x:row>
    <x:row r="46">
      <x:c r="A46" s="21" t="n">
        <x:v>46</x:v>
      </x:c>
      <x:c r="B46" s="21" t="str">
        <x:f>IF('Raw Shipments'!A46="","",'Raw Shipments'!A46)</x:f>
        <x:v>SHP-0043</x:v>
      </x:c>
      <x:c r="C46" s="21" t="str">
        <x:f>IF('Raw Shipments'!B46="","",'Raw Shipments'!B46)</x:f>
        <x:v>TRK-02043</x:v>
      </x:c>
      <x:c r="D46" s="21" t="n">
        <x:f>COUNTIF('Raw Shipments'!$B$4:$B$53,C46)</x:f>
        <x:v>1</x:v>
      </x:c>
      <x:c r="E46" s="21" t="str">
        <x:f>IF('Raw Shipments'!C46="","",'Raw Shipments'!C46)</x:f>
        <x:v>SwiftShip</x:v>
      </x:c>
      <x:c r="F46" s="21" t="str">
        <x:f>IF('Raw Shipments'!D46="","",'Raw Shipments'!D46)</x:f>
        <x:v>Jakarta</x:v>
      </x:c>
      <x:c r="G46" s="21" t="str">
        <x:f>IF('Raw Shipments'!E46="","",'Raw Shipments'!E46)</x:f>
        <x:v>Semarang</x:v>
      </x:c>
      <x:c r="H46" s="21" t="str">
        <x:f>IF('Raw Shipments'!F46="","",'Raw Shipments'!F46)</x:f>
        <x:v>Standard</x:v>
      </x:c>
      <x:c r="I46" s="22" t="n">
        <x:f>IF('Raw Shipments'!G46="","",'Raw Shipments'!G46)</x:f>
        <x:v>46241</x:v>
      </x:c>
      <x:c r="J46" s="22" t="n">
        <x:f>IF('Raw Shipments'!H46="","",'Raw Shipments'!H46)</x:f>
        <x:v>46245</x:v>
      </x:c>
      <x:c r="K46" s="22" t="str">
        <x:f>IF('Raw Shipments'!I46="","",'Raw Shipments'!I46)</x:f>
        <x:v>Delivered</x:v>
      </x:c>
      <x:c r="L46" s="22" t="n">
        <x:f>IF('Raw Shipments'!J46="","",'Raw Shipments'!J46)</x:f>
        <x:v>46245</x:v>
      </x:c>
      <x:c r="M46" s="22" t="n">
        <x:f>IF('Raw Shipments'!K46="","",'Raw Shipments'!K46)</x:f>
        <x:v>46249</x:v>
      </x:c>
      <x:c r="N46" s="21" t="str">
        <x:f>IF('Raw Shipments'!L46="","",'Raw Shipments'!L46)</x:f>
        <x:v>Received</x:v>
      </x:c>
      <x:c r="O46" s="21" t="n">
        <x:f>IF('Raw Shipments'!M46="","",'Raw Shipments'!M46)</x:f>
        <x:v>4</x:v>
      </x:c>
      <x:c r="P46" s="21" t="str">
        <x:f>IF(D46&gt;1,"Duplicate Tracking ID","OK")</x:f>
        <x:v>OK</x:v>
      </x:c>
      <x:c r="Q46" s="21" t="str">
        <x:f>IF(E46="Unknown Carrier","Invalid Carrier","OK")</x:f>
        <x:v>OK</x:v>
      </x:c>
      <x:c r="R46" s="21" t="str">
        <x:f>IF(Q46&lt;&gt;"OK","Not Tested",IF(OR(J46&lt;&gt;I46+IF(H46="Standard",VLOOKUP(E46,'SLA Reference'!$A$5:$C$7,2,FALSE),VLOOKUP(E46,'SLA Reference'!$A$5:$C$7,3,FALSE)),AND(L46&lt;&gt;"",L46&lt;I46)),"Invalid SLA / Date","OK"))</x:f>
        <x:v>OK</x:v>
      </x:c>
      <x:c r="S46" s="21" t="str">
        <x:f>IF(AND(K46="Delivered",L46&gt;J46),"Late Delivery",IF(AND(K46="In Transit",J46&lt;DATE(2026,8,17)),"Overdue In Transit","OK"))</x:f>
        <x:v>OK</x:v>
      </x:c>
      <x:c r="T46" s="21" t="str">
        <x:f>IF(AND(K46="Delivered",N46&lt;&gt;"Received"),"Missing POD","OK")</x:f>
        <x:v>OK</x:v>
      </x:c>
      <x:c r="U46" s="21" t="str">
        <x:f>IF(AND(K46="In Transit",DATE(2026,8,17)-M46&gt;2),"Stale Update","OK")</x:f>
        <x:v>OK</x:v>
      </x:c>
      <x:c r="V46" s="21" t="n">
        <x:f>IF(P46&lt;&gt;"OK",1,0)+IF(Q46&lt;&gt;"OK",1,0)+IF(OR(R46="OK",R46="Not Tested"),0,1)+IF(S46&lt;&gt;"OK",1,0)+IF(T46&lt;&gt;"OK",1,0)+IF(U46&lt;&gt;"OK",1,0)</x:f>
        <x:v>0</x:v>
      </x:c>
      <x:c r="W46" s="21" t="str">
        <x:f>IF(V46=0,"Ready",IF(OR(P46&lt;&gt;"OK",Q46&lt;&gt;"OK"),"High Priority Review","Review"))</x:f>
        <x:v>Ready</x:v>
      </x:c>
      <x:c r="X46" s="21" t="str">
        <x:f>IF(P46&lt;&gt;"OK","Verify tracking ID using carrier portal",IF(Q46&lt;&gt;"OK","Confirm approved carrier",IF(R46&lt;&gt;"OK","Verify carrier SLA and shipment dates",IF(S46&lt;&gt;"OK","Send written delivery escalation",IF(T46&lt;&gt;"OK","Request proof of delivery",IF(U46&lt;&gt;"OK","Request written tracking update","No action required"))))))</x:f>
        <x:v>No action required</x:v>
      </x:c>
    </x:row>
    <x:row r="47">
      <x:c r="A47" s="23" t="n">
        <x:v>47</x:v>
      </x:c>
      <x:c r="B47" s="23" t="str">
        <x:f>IF('Raw Shipments'!A47="","",'Raw Shipments'!A47)</x:f>
        <x:v>SHP-0044</x:v>
      </x:c>
      <x:c r="C47" s="23" t="str">
        <x:f>IF('Raw Shipments'!B47="","",'Raw Shipments'!B47)</x:f>
        <x:v>TRK-02044</x:v>
      </x:c>
      <x:c r="D47" s="23" t="n">
        <x:f>COUNTIF('Raw Shipments'!$B$4:$B$53,C47)</x:f>
        <x:v>1</x:v>
      </x:c>
      <x:c r="E47" s="23" t="str">
        <x:f>IF('Raw Shipments'!C47="","",'Raw Shipments'!C47)</x:f>
        <x:v>Nusa Express</x:v>
      </x:c>
      <x:c r="F47" s="23" t="str">
        <x:f>IF('Raw Shipments'!D47="","",'Raw Shipments'!D47)</x:f>
        <x:v>Bandung</x:v>
      </x:c>
      <x:c r="G47" s="23" t="str">
        <x:f>IF('Raw Shipments'!E47="","",'Raw Shipments'!E47)</x:f>
        <x:v>Denpasar</x:v>
      </x:c>
      <x:c r="H47" s="23" t="str">
        <x:f>IF('Raw Shipments'!F47="","",'Raw Shipments'!F47)</x:f>
        <x:v>Express</x:v>
      </x:c>
      <x:c r="I47" s="24" t="n">
        <x:f>IF('Raw Shipments'!G47="","",'Raw Shipments'!G47)</x:f>
        <x:v>46242</x:v>
      </x:c>
      <x:c r="J47" s="24" t="n">
        <x:f>IF('Raw Shipments'!H47="","",'Raw Shipments'!H47)</x:f>
        <x:v>46244</x:v>
      </x:c>
      <x:c r="K47" s="24" t="str">
        <x:f>IF('Raw Shipments'!I47="","",'Raw Shipments'!I47)</x:f>
        <x:v>Delivered</x:v>
      </x:c>
      <x:c r="L47" s="24" t="n">
        <x:f>IF('Raw Shipments'!J47="","",'Raw Shipments'!J47)</x:f>
        <x:v>46244</x:v>
      </x:c>
      <x:c r="M47" s="24" t="n">
        <x:f>IF('Raw Shipments'!K47="","",'Raw Shipments'!K47)</x:f>
        <x:v>46250</x:v>
      </x:c>
      <x:c r="N47" s="23" t="str">
        <x:f>IF('Raw Shipments'!L47="","",'Raw Shipments'!L47)</x:f>
        <x:v>Missing</x:v>
      </x:c>
      <x:c r="O47" s="23" t="n">
        <x:f>IF('Raw Shipments'!M47="","",'Raw Shipments'!M47)</x:f>
        <x:v>5</x:v>
      </x:c>
      <x:c r="P47" s="23" t="str">
        <x:f>IF(D47&gt;1,"Duplicate Tracking ID","OK")</x:f>
        <x:v>OK</x:v>
      </x:c>
      <x:c r="Q47" s="23" t="str">
        <x:f>IF(E47="Unknown Carrier","Invalid Carrier","OK")</x:f>
        <x:v>OK</x:v>
      </x:c>
      <x:c r="R47" s="23" t="str">
        <x:f>IF(Q47&lt;&gt;"OK","Not Tested",IF(OR(J47&lt;&gt;I47+IF(H47="Standard",VLOOKUP(E47,'SLA Reference'!$A$5:$C$7,2,FALSE),VLOOKUP(E47,'SLA Reference'!$A$5:$C$7,3,FALSE)),AND(L47&lt;&gt;"",L47&lt;I47)),"Invalid SLA / Date","OK"))</x:f>
        <x:v>OK</x:v>
      </x:c>
      <x:c r="S47" s="23" t="str">
        <x:f>IF(AND(K47="Delivered",L47&gt;J47),"Late Delivery",IF(AND(K47="In Transit",J47&lt;DATE(2026,8,17)),"Overdue In Transit","OK"))</x:f>
        <x:v>OK</x:v>
      </x:c>
      <x:c r="T47" s="23" t="str">
        <x:f>IF(AND(K47="Delivered",N47&lt;&gt;"Received"),"Missing POD","OK")</x:f>
        <x:v>Missing POD</x:v>
      </x:c>
      <x:c r="U47" s="23" t="str">
        <x:f>IF(AND(K47="In Transit",DATE(2026,8,17)-M47&gt;2),"Stale Update","OK")</x:f>
        <x:v>OK</x:v>
      </x:c>
      <x:c r="V47" s="23" t="n">
        <x:f>IF(P47&lt;&gt;"OK",1,0)+IF(Q47&lt;&gt;"OK",1,0)+IF(OR(R47="OK",R47="Not Tested"),0,1)+IF(S47&lt;&gt;"OK",1,0)+IF(T47&lt;&gt;"OK",1,0)+IF(U47&lt;&gt;"OK",1,0)</x:f>
        <x:v>1</x:v>
      </x:c>
      <x:c r="W47" s="23" t="str">
        <x:f>IF(V47=0,"Ready",IF(OR(P47&lt;&gt;"OK",Q47&lt;&gt;"OK"),"High Priority Review","Review"))</x:f>
        <x:v>Review</x:v>
      </x:c>
      <x:c r="X47" s="23" t="str">
        <x:f>IF(P47&lt;&gt;"OK","Verify tracking ID using carrier portal",IF(Q47&lt;&gt;"OK","Confirm approved carrier",IF(R47&lt;&gt;"OK","Verify carrier SLA and shipment dates",IF(S47&lt;&gt;"OK","Send written delivery escalation",IF(T47&lt;&gt;"OK","Request proof of delivery",IF(U47&lt;&gt;"OK","Request written tracking update","No action required"))))))</x:f>
        <x:v>Request proof of delivery</x:v>
      </x:c>
    </x:row>
    <x:row r="48">
      <x:c r="A48" s="23" t="n">
        <x:v>48</x:v>
      </x:c>
      <x:c r="B48" s="23" t="str">
        <x:f>IF('Raw Shipments'!A48="","",'Raw Shipments'!A48)</x:f>
        <x:v>SHP-0045</x:v>
      </x:c>
      <x:c r="C48" s="23" t="str">
        <x:f>IF('Raw Shipments'!B48="","",'Raw Shipments'!B48)</x:f>
        <x:v>TRK-02045</x:v>
      </x:c>
      <x:c r="D48" s="23" t="n">
        <x:f>COUNTIF('Raw Shipments'!$B$4:$B$53,C48)</x:f>
        <x:v>1</x:v>
      </x:c>
      <x:c r="E48" s="23" t="str">
        <x:f>IF('Raw Shipments'!C48="","",'Raw Shipments'!C48)</x:f>
        <x:v>Archipelago Cargo</x:v>
      </x:c>
      <x:c r="F48" s="23" t="str">
        <x:f>IF('Raw Shipments'!D48="","",'Raw Shipments'!D48)</x:f>
        <x:v>Surabaya</x:v>
      </x:c>
      <x:c r="G48" s="23" t="str">
        <x:f>IF('Raw Shipments'!E48="","",'Raw Shipments'!E48)</x:f>
        <x:v>Yogyakarta</x:v>
      </x:c>
      <x:c r="H48" s="23" t="str">
        <x:f>IF('Raw Shipments'!F48="","",'Raw Shipments'!F48)</x:f>
        <x:v>Standard</x:v>
      </x:c>
      <x:c r="I48" s="24" t="n">
        <x:f>IF('Raw Shipments'!G48="","",'Raw Shipments'!G48)</x:f>
        <x:v>46243</x:v>
      </x:c>
      <x:c r="J48" s="24" t="n">
        <x:f>IF('Raw Shipments'!H48="","",'Raw Shipments'!H48)</x:f>
        <x:v>46247</x:v>
      </x:c>
      <x:c r="K48" s="24" t="str">
        <x:f>IF('Raw Shipments'!I48="","",'Raw Shipments'!I48)</x:f>
        <x:v>In Transit</x:v>
      </x:c>
      <x:c r="L48" s="24" t="str">
        <x:f>IF('Raw Shipments'!J48="","",'Raw Shipments'!J48)</x:f>
      </x:c>
      <x:c r="M48" s="24" t="n">
        <x:f>IF('Raw Shipments'!K48="","",'Raw Shipments'!K48)</x:f>
        <x:v>46248</x:v>
      </x:c>
      <x:c r="N48" s="23" t="str">
        <x:f>IF('Raw Shipments'!L48="","",'Raw Shipments'!L48)</x:f>
        <x:v>Pending</x:v>
      </x:c>
      <x:c r="O48" s="23" t="n">
        <x:f>IF('Raw Shipments'!M48="","",'Raw Shipments'!M48)</x:f>
        <x:v>6</x:v>
      </x:c>
      <x:c r="P48" s="23" t="str">
        <x:f>IF(D48&gt;1,"Duplicate Tracking ID","OK")</x:f>
        <x:v>OK</x:v>
      </x:c>
      <x:c r="Q48" s="23" t="str">
        <x:f>IF(E48="Unknown Carrier","Invalid Carrier","OK")</x:f>
        <x:v>OK</x:v>
      </x:c>
      <x:c r="R48" s="23" t="str">
        <x:f>IF(Q48&lt;&gt;"OK","Not Tested",IF(OR(J48&lt;&gt;I48+IF(H48="Standard",VLOOKUP(E48,'SLA Reference'!$A$5:$C$7,2,FALSE),VLOOKUP(E48,'SLA Reference'!$A$5:$C$7,3,FALSE)),AND(L48&lt;&gt;"",L48&lt;I48)),"Invalid SLA / Date","OK"))</x:f>
        <x:v>Invalid SLA / Date</x:v>
      </x:c>
      <x:c r="S48" s="23" t="str">
        <x:f>IF(AND(K48="Delivered",L48&gt;J48),"Late Delivery",IF(AND(K48="In Transit",J48&lt;DATE(2026,8,17)),"Overdue In Transit","OK"))</x:f>
        <x:v>Overdue In Transit</x:v>
      </x:c>
      <x:c r="T48" s="23" t="str">
        <x:f>IF(AND(K48="Delivered",N48&lt;&gt;"Received"),"Missing POD","OK")</x:f>
        <x:v>OK</x:v>
      </x:c>
      <x:c r="U48" s="23" t="str">
        <x:f>IF(AND(K48="In Transit",DATE(2026,8,17)-M48&gt;2),"Stale Update","OK")</x:f>
        <x:v>Stale Update</x:v>
      </x:c>
      <x:c r="V48" s="23" t="n">
        <x:f>IF(P48&lt;&gt;"OK",1,0)+IF(Q48&lt;&gt;"OK",1,0)+IF(OR(R48="OK",R48="Not Tested"),0,1)+IF(S48&lt;&gt;"OK",1,0)+IF(T48&lt;&gt;"OK",1,0)+IF(U48&lt;&gt;"OK",1,0)</x:f>
        <x:v>3</x:v>
      </x:c>
      <x:c r="W48" s="23" t="str">
        <x:f>IF(V48=0,"Ready",IF(OR(P48&lt;&gt;"OK",Q48&lt;&gt;"OK"),"High Priority Review","Review"))</x:f>
        <x:v>Review</x:v>
      </x:c>
      <x:c r="X48" s="23" t="str">
        <x:f>IF(P48&lt;&gt;"OK","Verify tracking ID using carrier portal",IF(Q48&lt;&gt;"OK","Confirm approved carrier",IF(R48&lt;&gt;"OK","Verify carrier SLA and shipment dates",IF(S48&lt;&gt;"OK","Send written delivery escalation",IF(T48&lt;&gt;"OK","Request proof of delivery",IF(U48&lt;&gt;"OK","Request written tracking update","No action required"))))))</x:f>
        <x:v>Verify carrier SLA and shipment dates</x:v>
      </x:c>
    </x:row>
    <x:row r="49">
      <x:c r="A49" s="21" t="n">
        <x:v>49</x:v>
      </x:c>
      <x:c r="B49" s="21" t="str">
        <x:f>IF('Raw Shipments'!A49="","",'Raw Shipments'!A49)</x:f>
        <x:v>SHP-0046</x:v>
      </x:c>
      <x:c r="C49" s="21" t="str">
        <x:f>IF('Raw Shipments'!B49="","",'Raw Shipments'!B49)</x:f>
        <x:v>TRK-02046</x:v>
      </x:c>
      <x:c r="D49" s="21" t="n">
        <x:f>COUNTIF('Raw Shipments'!$B$4:$B$53,C49)</x:f>
        <x:v>1</x:v>
      </x:c>
      <x:c r="E49" s="21" t="str">
        <x:f>IF('Raw Shipments'!C49="","",'Raw Shipments'!C49)</x:f>
        <x:v>SwiftShip</x:v>
      </x:c>
      <x:c r="F49" s="21" t="str">
        <x:f>IF('Raw Shipments'!D49="","",'Raw Shipments'!D49)</x:f>
        <x:v>Jakarta</x:v>
      </x:c>
      <x:c r="G49" s="21" t="str">
        <x:f>IF('Raw Shipments'!E49="","",'Raw Shipments'!E49)</x:f>
        <x:v>Medan</x:v>
      </x:c>
      <x:c r="H49" s="21" t="str">
        <x:f>IF('Raw Shipments'!F49="","",'Raw Shipments'!F49)</x:f>
        <x:v>Express</x:v>
      </x:c>
      <x:c r="I49" s="22" t="n">
        <x:f>IF('Raw Shipments'!G49="","",'Raw Shipments'!G49)</x:f>
        <x:v>46244</x:v>
      </x:c>
      <x:c r="J49" s="22" t="n">
        <x:f>IF('Raw Shipments'!H49="","",'Raw Shipments'!H49)</x:f>
        <x:v>46246</x:v>
      </x:c>
      <x:c r="K49" s="22" t="str">
        <x:f>IF('Raw Shipments'!I49="","",'Raw Shipments'!I49)</x:f>
        <x:v>Delivered</x:v>
      </x:c>
      <x:c r="L49" s="22" t="n">
        <x:f>IF('Raw Shipments'!J49="","",'Raw Shipments'!J49)</x:f>
        <x:v>46246</x:v>
      </x:c>
      <x:c r="M49" s="22" t="n">
        <x:f>IF('Raw Shipments'!K49="","",'Raw Shipments'!K49)</x:f>
        <x:v>46249</x:v>
      </x:c>
      <x:c r="N49" s="21" t="str">
        <x:f>IF('Raw Shipments'!L49="","",'Raw Shipments'!L49)</x:f>
        <x:v>Received</x:v>
      </x:c>
      <x:c r="O49" s="21" t="n">
        <x:f>IF('Raw Shipments'!M49="","",'Raw Shipments'!M49)</x:f>
        <x:v>7</x:v>
      </x:c>
      <x:c r="P49" s="21" t="str">
        <x:f>IF(D49&gt;1,"Duplicate Tracking ID","OK")</x:f>
        <x:v>OK</x:v>
      </x:c>
      <x:c r="Q49" s="21" t="str">
        <x:f>IF(E49="Unknown Carrier","Invalid Carrier","OK")</x:f>
        <x:v>OK</x:v>
      </x:c>
      <x:c r="R49" s="21" t="str">
        <x:f>IF(Q49&lt;&gt;"OK","Not Tested",IF(OR(J49&lt;&gt;I49+IF(H49="Standard",VLOOKUP(E49,'SLA Reference'!$A$5:$C$7,2,FALSE),VLOOKUP(E49,'SLA Reference'!$A$5:$C$7,3,FALSE)),AND(L49&lt;&gt;"",L49&lt;I49)),"Invalid SLA / Date","OK"))</x:f>
        <x:v>OK</x:v>
      </x:c>
      <x:c r="S49" s="21" t="str">
        <x:f>IF(AND(K49="Delivered",L49&gt;J49),"Late Delivery",IF(AND(K49="In Transit",J49&lt;DATE(2026,8,17)),"Overdue In Transit","OK"))</x:f>
        <x:v>OK</x:v>
      </x:c>
      <x:c r="T49" s="21" t="str">
        <x:f>IF(AND(K49="Delivered",N49&lt;&gt;"Received"),"Missing POD","OK")</x:f>
        <x:v>OK</x:v>
      </x:c>
      <x:c r="U49" s="21" t="str">
        <x:f>IF(AND(K49="In Transit",DATE(2026,8,17)-M49&gt;2),"Stale Update","OK")</x:f>
        <x:v>OK</x:v>
      </x:c>
      <x:c r="V49" s="21" t="n">
        <x:f>IF(P49&lt;&gt;"OK",1,0)+IF(Q49&lt;&gt;"OK",1,0)+IF(OR(R49="OK",R49="Not Tested"),0,1)+IF(S49&lt;&gt;"OK",1,0)+IF(T49&lt;&gt;"OK",1,0)+IF(U49&lt;&gt;"OK",1,0)</x:f>
        <x:v>0</x:v>
      </x:c>
      <x:c r="W49" s="21" t="str">
        <x:f>IF(V49=0,"Ready",IF(OR(P49&lt;&gt;"OK",Q49&lt;&gt;"OK"),"High Priority Review","Review"))</x:f>
        <x:v>Ready</x:v>
      </x:c>
      <x:c r="X49" s="21" t="str">
        <x:f>IF(P49&lt;&gt;"OK","Verify tracking ID using carrier portal",IF(Q49&lt;&gt;"OK","Confirm approved carrier",IF(R49&lt;&gt;"OK","Verify carrier SLA and shipment dates",IF(S49&lt;&gt;"OK","Send written delivery escalation",IF(T49&lt;&gt;"OK","Request proof of delivery",IF(U49&lt;&gt;"OK","Request written tracking update","No action required"))))))</x:f>
        <x:v>No action required</x:v>
      </x:c>
    </x:row>
    <x:row r="50">
      <x:c r="A50" s="21" t="n">
        <x:v>50</x:v>
      </x:c>
      <x:c r="B50" s="21" t="str">
        <x:f>IF('Raw Shipments'!A50="","",'Raw Shipments'!A50)</x:f>
        <x:v>SHP-0047</x:v>
      </x:c>
      <x:c r="C50" s="21" t="str">
        <x:f>IF('Raw Shipments'!B50="","",'Raw Shipments'!B50)</x:f>
        <x:v>TRK-02047</x:v>
      </x:c>
      <x:c r="D50" s="21" t="n">
        <x:f>COUNTIF('Raw Shipments'!$B$4:$B$53,C50)</x:f>
        <x:v>1</x:v>
      </x:c>
      <x:c r="E50" s="21" t="str">
        <x:f>IF('Raw Shipments'!C50="","",'Raw Shipments'!C50)</x:f>
        <x:v>Nusa Express</x:v>
      </x:c>
      <x:c r="F50" s="21" t="str">
        <x:f>IF('Raw Shipments'!D50="","",'Raw Shipments'!D50)</x:f>
        <x:v>Bandung</x:v>
      </x:c>
      <x:c r="G50" s="21" t="str">
        <x:f>IF('Raw Shipments'!E50="","",'Raw Shipments'!E50)</x:f>
        <x:v>Makassar</x:v>
      </x:c>
      <x:c r="H50" s="21" t="str">
        <x:f>IF('Raw Shipments'!F50="","",'Raw Shipments'!F50)</x:f>
        <x:v>Standard</x:v>
      </x:c>
      <x:c r="I50" s="22" t="n">
        <x:f>IF('Raw Shipments'!G50="","",'Raw Shipments'!G50)</x:f>
        <x:v>46245</x:v>
      </x:c>
      <x:c r="J50" s="22" t="n">
        <x:f>IF('Raw Shipments'!H50="","",'Raw Shipments'!H50)</x:f>
        <x:v>46249</x:v>
      </x:c>
      <x:c r="K50" s="22" t="str">
        <x:f>IF('Raw Shipments'!I50="","",'Raw Shipments'!I50)</x:f>
        <x:v>Delivered</x:v>
      </x:c>
      <x:c r="L50" s="22" t="n">
        <x:f>IF('Raw Shipments'!J50="","",'Raw Shipments'!J50)</x:f>
        <x:v>46249</x:v>
      </x:c>
      <x:c r="M50" s="22" t="n">
        <x:f>IF('Raw Shipments'!K50="","",'Raw Shipments'!K50)</x:f>
        <x:v>46250</x:v>
      </x:c>
      <x:c r="N50" s="21" t="str">
        <x:f>IF('Raw Shipments'!L50="","",'Raw Shipments'!L50)</x:f>
        <x:v>Received</x:v>
      </x:c>
      <x:c r="O50" s="21" t="n">
        <x:f>IF('Raw Shipments'!M50="","",'Raw Shipments'!M50)</x:f>
        <x:v>8</x:v>
      </x:c>
      <x:c r="P50" s="21" t="str">
        <x:f>IF(D50&gt;1,"Duplicate Tracking ID","OK")</x:f>
        <x:v>OK</x:v>
      </x:c>
      <x:c r="Q50" s="21" t="str">
        <x:f>IF(E50="Unknown Carrier","Invalid Carrier","OK")</x:f>
        <x:v>OK</x:v>
      </x:c>
      <x:c r="R50" s="21" t="str">
        <x:f>IF(Q50&lt;&gt;"OK","Not Tested",IF(OR(J50&lt;&gt;I50+IF(H50="Standard",VLOOKUP(E50,'SLA Reference'!$A$5:$C$7,2,FALSE),VLOOKUP(E50,'SLA Reference'!$A$5:$C$7,3,FALSE)),AND(L50&lt;&gt;"",L50&lt;I50)),"Invalid SLA / Date","OK"))</x:f>
        <x:v>OK</x:v>
      </x:c>
      <x:c r="S50" s="21" t="str">
        <x:f>IF(AND(K50="Delivered",L50&gt;J50),"Late Delivery",IF(AND(K50="In Transit",J50&lt;DATE(2026,8,17)),"Overdue In Transit","OK"))</x:f>
        <x:v>OK</x:v>
      </x:c>
      <x:c r="T50" s="21" t="str">
        <x:f>IF(AND(K50="Delivered",N50&lt;&gt;"Received"),"Missing POD","OK")</x:f>
        <x:v>OK</x:v>
      </x:c>
      <x:c r="U50" s="21" t="str">
        <x:f>IF(AND(K50="In Transit",DATE(2026,8,17)-M50&gt;2),"Stale Update","OK")</x:f>
        <x:v>OK</x:v>
      </x:c>
      <x:c r="V50" s="21" t="n">
        <x:f>IF(P50&lt;&gt;"OK",1,0)+IF(Q50&lt;&gt;"OK",1,0)+IF(OR(R50="OK",R50="Not Tested"),0,1)+IF(S50&lt;&gt;"OK",1,0)+IF(T50&lt;&gt;"OK",1,0)+IF(U50&lt;&gt;"OK",1,0)</x:f>
        <x:v>0</x:v>
      </x:c>
      <x:c r="W50" s="21" t="str">
        <x:f>IF(V50=0,"Ready",IF(OR(P50&lt;&gt;"OK",Q50&lt;&gt;"OK"),"High Priority Review","Review"))</x:f>
        <x:v>Ready</x:v>
      </x:c>
      <x:c r="X50" s="21" t="str">
        <x:f>IF(P50&lt;&gt;"OK","Verify tracking ID using carrier portal",IF(Q50&lt;&gt;"OK","Confirm approved carrier",IF(R50&lt;&gt;"OK","Verify carrier SLA and shipment dates",IF(S50&lt;&gt;"OK","Send written delivery escalation",IF(T50&lt;&gt;"OK","Request proof of delivery",IF(U50&lt;&gt;"OK","Request written tracking update","No action required"))))))</x:f>
        <x:v>No action required</x:v>
      </x:c>
    </x:row>
    <x:row r="51">
      <x:c r="A51" s="23" t="n">
        <x:v>51</x:v>
      </x:c>
      <x:c r="B51" s="23" t="str">
        <x:f>IF('Raw Shipments'!A51="","",'Raw Shipments'!A51)</x:f>
        <x:v>SHP-0048</x:v>
      </x:c>
      <x:c r="C51" s="23" t="str">
        <x:f>IF('Raw Shipments'!B51="","",'Raw Shipments'!B51)</x:f>
        <x:v>TRK-02048</x:v>
      </x:c>
      <x:c r="D51" s="23" t="n">
        <x:f>COUNTIF('Raw Shipments'!$B$4:$B$53,C51)</x:f>
        <x:v>1</x:v>
      </x:c>
      <x:c r="E51" s="23" t="str">
        <x:f>IF('Raw Shipments'!C51="","",'Raw Shipments'!C51)</x:f>
        <x:v>Archipelago Cargo</x:v>
      </x:c>
      <x:c r="F51" s="23" t="str">
        <x:f>IF('Raw Shipments'!D51="","",'Raw Shipments'!D51)</x:f>
        <x:v>Surabaya</x:v>
      </x:c>
      <x:c r="G51" s="23" t="str">
        <x:f>IF('Raw Shipments'!E51="","",'Raw Shipments'!E51)</x:f>
        <x:v>Semarang</x:v>
      </x:c>
      <x:c r="H51" s="23" t="str">
        <x:f>IF('Raw Shipments'!F51="","",'Raw Shipments'!F51)</x:f>
        <x:v>Express</x:v>
      </x:c>
      <x:c r="I51" s="24" t="n">
        <x:f>IF('Raw Shipments'!G51="","",'Raw Shipments'!G51)</x:f>
        <x:v>46246</x:v>
      </x:c>
      <x:c r="J51" s="24" t="n">
        <x:f>IF('Raw Shipments'!H51="","",'Raw Shipments'!H51)</x:f>
        <x:v>46248</x:v>
      </x:c>
      <x:c r="K51" s="24" t="str">
        <x:f>IF('Raw Shipments'!I51="","",'Raw Shipments'!I51)</x:f>
        <x:v>Delivered</x:v>
      </x:c>
      <x:c r="L51" s="24" t="n">
        <x:f>IF('Raw Shipments'!J51="","",'Raw Shipments'!J51)</x:f>
        <x:v>46248</x:v>
      </x:c>
      <x:c r="M51" s="24" t="n">
        <x:f>IF('Raw Shipments'!K51="","",'Raw Shipments'!K51)</x:f>
        <x:v>46248</x:v>
      </x:c>
      <x:c r="N51" s="23" t="str">
        <x:f>IF('Raw Shipments'!L51="","",'Raw Shipments'!L51)</x:f>
        <x:v>Received</x:v>
      </x:c>
      <x:c r="O51" s="23" t="n">
        <x:f>IF('Raw Shipments'!M51="","",'Raw Shipments'!M51)</x:f>
        <x:v>1</x:v>
      </x:c>
      <x:c r="P51" s="23" t="str">
        <x:f>IF(D51&gt;1,"Duplicate Tracking ID","OK")</x:f>
        <x:v>OK</x:v>
      </x:c>
      <x:c r="Q51" s="23" t="str">
        <x:f>IF(E51="Unknown Carrier","Invalid Carrier","OK")</x:f>
        <x:v>OK</x:v>
      </x:c>
      <x:c r="R51" s="23" t="str">
        <x:f>IF(Q51&lt;&gt;"OK","Not Tested",IF(OR(J51&lt;&gt;I51+IF(H51="Standard",VLOOKUP(E51,'SLA Reference'!$A$5:$C$7,2,FALSE),VLOOKUP(E51,'SLA Reference'!$A$5:$C$7,3,FALSE)),AND(L51&lt;&gt;"",L51&lt;I51)),"Invalid SLA / Date","OK"))</x:f>
        <x:v>Invalid SLA / Date</x:v>
      </x:c>
      <x:c r="S51" s="23" t="str">
        <x:f>IF(AND(K51="Delivered",L51&gt;J51),"Late Delivery",IF(AND(K51="In Transit",J51&lt;DATE(2026,8,17)),"Overdue In Transit","OK"))</x:f>
        <x:v>OK</x:v>
      </x:c>
      <x:c r="T51" s="23" t="str">
        <x:f>IF(AND(K51="Delivered",N51&lt;&gt;"Received"),"Missing POD","OK")</x:f>
        <x:v>OK</x:v>
      </x:c>
      <x:c r="U51" s="23" t="str">
        <x:f>IF(AND(K51="In Transit",DATE(2026,8,17)-M51&gt;2),"Stale Update","OK")</x:f>
        <x:v>OK</x:v>
      </x:c>
      <x:c r="V51" s="23" t="n">
        <x:f>IF(P51&lt;&gt;"OK",1,0)+IF(Q51&lt;&gt;"OK",1,0)+IF(OR(R51="OK",R51="Not Tested"),0,1)+IF(S51&lt;&gt;"OK",1,0)+IF(T51&lt;&gt;"OK",1,0)+IF(U51&lt;&gt;"OK",1,0)</x:f>
        <x:v>1</x:v>
      </x:c>
      <x:c r="W51" s="23" t="str">
        <x:f>IF(V51=0,"Ready",IF(OR(P51&lt;&gt;"OK",Q51&lt;&gt;"OK"),"High Priority Review","Review"))</x:f>
        <x:v>Review</x:v>
      </x:c>
      <x:c r="X51" s="23" t="str">
        <x:f>IF(P51&lt;&gt;"OK","Verify tracking ID using carrier portal",IF(Q51&lt;&gt;"OK","Confirm approved carrier",IF(R51&lt;&gt;"OK","Verify carrier SLA and shipment dates",IF(S51&lt;&gt;"OK","Send written delivery escalation",IF(T51&lt;&gt;"OK","Request proof of delivery",IF(U51&lt;&gt;"OK","Request written tracking update","No action required"))))))</x:f>
        <x:v>Verify carrier SLA and shipment dates</x:v>
      </x:c>
    </x:row>
    <x:row r="52">
      <x:c r="A52" s="23" t="n">
        <x:v>52</x:v>
      </x:c>
      <x:c r="B52" s="23" t="str">
        <x:f>IF('Raw Shipments'!A52="","",'Raw Shipments'!A52)</x:f>
        <x:v>SHP-0049</x:v>
      </x:c>
      <x:c r="C52" s="23" t="str">
        <x:f>IF('Raw Shipments'!B52="","",'Raw Shipments'!B52)</x:f>
        <x:v>TRK-02049</x:v>
      </x:c>
      <x:c r="D52" s="23" t="n">
        <x:f>COUNTIF('Raw Shipments'!$B$4:$B$53,C52)</x:f>
        <x:v>1</x:v>
      </x:c>
      <x:c r="E52" s="23" t="str">
        <x:f>IF('Raw Shipments'!C52="","",'Raw Shipments'!C52)</x:f>
        <x:v>SwiftShip</x:v>
      </x:c>
      <x:c r="F52" s="23" t="str">
        <x:f>IF('Raw Shipments'!D52="","",'Raw Shipments'!D52)</x:f>
        <x:v>Jakarta</x:v>
      </x:c>
      <x:c r="G52" s="23" t="str">
        <x:f>IF('Raw Shipments'!E52="","",'Raw Shipments'!E52)</x:f>
        <x:v>Denpasar</x:v>
      </x:c>
      <x:c r="H52" s="23" t="str">
        <x:f>IF('Raw Shipments'!F52="","",'Raw Shipments'!F52)</x:f>
        <x:v>Standard</x:v>
      </x:c>
      <x:c r="I52" s="24" t="n">
        <x:f>IF('Raw Shipments'!G52="","",'Raw Shipments'!G52)</x:f>
        <x:v>46235</x:v>
      </x:c>
      <x:c r="J52" s="24" t="n">
        <x:f>IF('Raw Shipments'!H52="","",'Raw Shipments'!H52)</x:f>
        <x:v>46239</x:v>
      </x:c>
      <x:c r="K52" s="24" t="str">
        <x:f>IF('Raw Shipments'!I52="","",'Raw Shipments'!I52)</x:f>
        <x:v>Delivered</x:v>
      </x:c>
      <x:c r="L52" s="24" t="n">
        <x:f>IF('Raw Shipments'!J52="","",'Raw Shipments'!J52)</x:f>
        <x:v>46241</x:v>
      </x:c>
      <x:c r="M52" s="24" t="n">
        <x:f>IF('Raw Shipments'!K52="","",'Raw Shipments'!K52)</x:f>
        <x:v>46249</x:v>
      </x:c>
      <x:c r="N52" s="23" t="str">
        <x:f>IF('Raw Shipments'!L52="","",'Raw Shipments'!L52)</x:f>
        <x:v>Received</x:v>
      </x:c>
      <x:c r="O52" s="23" t="n">
        <x:f>IF('Raw Shipments'!M52="","",'Raw Shipments'!M52)</x:f>
        <x:v>2</x:v>
      </x:c>
      <x:c r="P52" s="23" t="str">
        <x:f>IF(D52&gt;1,"Duplicate Tracking ID","OK")</x:f>
        <x:v>OK</x:v>
      </x:c>
      <x:c r="Q52" s="23" t="str">
        <x:f>IF(E52="Unknown Carrier","Invalid Carrier","OK")</x:f>
        <x:v>OK</x:v>
      </x:c>
      <x:c r="R52" s="23" t="str">
        <x:f>IF(Q52&lt;&gt;"OK","Not Tested",IF(OR(J52&lt;&gt;I52+IF(H52="Standard",VLOOKUP(E52,'SLA Reference'!$A$5:$C$7,2,FALSE),VLOOKUP(E52,'SLA Reference'!$A$5:$C$7,3,FALSE)),AND(L52&lt;&gt;"",L52&lt;I52)),"Invalid SLA / Date","OK"))</x:f>
        <x:v>OK</x:v>
      </x:c>
      <x:c r="S52" s="23" t="str">
        <x:f>IF(AND(K52="Delivered",L52&gt;J52),"Late Delivery",IF(AND(K52="In Transit",J52&lt;DATE(2026,8,17)),"Overdue In Transit","OK"))</x:f>
        <x:v>Late Delivery</x:v>
      </x:c>
      <x:c r="T52" s="23" t="str">
        <x:f>IF(AND(K52="Delivered",N52&lt;&gt;"Received"),"Missing POD","OK")</x:f>
        <x:v>OK</x:v>
      </x:c>
      <x:c r="U52" s="23" t="str">
        <x:f>IF(AND(K52="In Transit",DATE(2026,8,17)-M52&gt;2),"Stale Update","OK")</x:f>
        <x:v>OK</x:v>
      </x:c>
      <x:c r="V52" s="23" t="n">
        <x:f>IF(P52&lt;&gt;"OK",1,0)+IF(Q52&lt;&gt;"OK",1,0)+IF(OR(R52="OK",R52="Not Tested"),0,1)+IF(S52&lt;&gt;"OK",1,0)+IF(T52&lt;&gt;"OK",1,0)+IF(U52&lt;&gt;"OK",1,0)</x:f>
        <x:v>1</x:v>
      </x:c>
      <x:c r="W52" s="23" t="str">
        <x:f>IF(V52=0,"Ready",IF(OR(P52&lt;&gt;"OK",Q52&lt;&gt;"OK"),"High Priority Review","Review"))</x:f>
        <x:v>Review</x:v>
      </x:c>
      <x:c r="X52" s="23" t="str">
        <x:f>IF(P52&lt;&gt;"OK","Verify tracking ID using carrier portal",IF(Q52&lt;&gt;"OK","Confirm approved carrier",IF(R52&lt;&gt;"OK","Verify carrier SLA and shipment dates",IF(S52&lt;&gt;"OK","Send written delivery escalation",IF(T52&lt;&gt;"OK","Request proof of delivery",IF(U52&lt;&gt;"OK","Request written tracking update","No action required"))))))</x:f>
        <x:v>Send written delivery escalation</x:v>
      </x:c>
    </x:row>
    <x:row r="53">
      <x:c r="A53" s="23" t="n">
        <x:v>53</x:v>
      </x:c>
      <x:c r="B53" s="23" t="str">
        <x:f>IF('Raw Shipments'!A53="","",'Raw Shipments'!A53)</x:f>
        <x:v>SHP-0050</x:v>
      </x:c>
      <x:c r="C53" s="23" t="str">
        <x:f>IF('Raw Shipments'!B53="","",'Raw Shipments'!B53)</x:f>
        <x:v>TRK-02050</x:v>
      </x:c>
      <x:c r="D53" s="23" t="n">
        <x:f>COUNTIF('Raw Shipments'!$B$4:$B$53,C53)</x:f>
        <x:v>1</x:v>
      </x:c>
      <x:c r="E53" s="23" t="str">
        <x:f>IF('Raw Shipments'!C53="","",'Raw Shipments'!C53)</x:f>
        <x:v>Nusa Express</x:v>
      </x:c>
      <x:c r="F53" s="23" t="str">
        <x:f>IF('Raw Shipments'!D53="","",'Raw Shipments'!D53)</x:f>
        <x:v>Bandung</x:v>
      </x:c>
      <x:c r="G53" s="23" t="str">
        <x:f>IF('Raw Shipments'!E53="","",'Raw Shipments'!E53)</x:f>
        <x:v>Yogyakarta</x:v>
      </x:c>
      <x:c r="H53" s="23" t="str">
        <x:f>IF('Raw Shipments'!F53="","",'Raw Shipments'!F53)</x:f>
        <x:v>Express</x:v>
      </x:c>
      <x:c r="I53" s="24" t="n">
        <x:f>IF('Raw Shipments'!G53="","",'Raw Shipments'!G53)</x:f>
        <x:v>46236</x:v>
      </x:c>
      <x:c r="J53" s="24" t="n">
        <x:f>IF('Raw Shipments'!H53="","",'Raw Shipments'!H53)</x:f>
        <x:v>46238</x:v>
      </x:c>
      <x:c r="K53" s="24" t="str">
        <x:f>IF('Raw Shipments'!I53="","",'Raw Shipments'!I53)</x:f>
        <x:v>In Transit</x:v>
      </x:c>
      <x:c r="L53" s="24" t="str">
        <x:f>IF('Raw Shipments'!J53="","",'Raw Shipments'!J53)</x:f>
      </x:c>
      <x:c r="M53" s="24" t="n">
        <x:f>IF('Raw Shipments'!K53="","",'Raw Shipments'!K53)</x:f>
        <x:v>46250</x:v>
      </x:c>
      <x:c r="N53" s="23" t="str">
        <x:f>IF('Raw Shipments'!L53="","",'Raw Shipments'!L53)</x:f>
        <x:v>Pending</x:v>
      </x:c>
      <x:c r="O53" s="23" t="n">
        <x:f>IF('Raw Shipments'!M53="","",'Raw Shipments'!M53)</x:f>
        <x:v>3</x:v>
      </x:c>
      <x:c r="P53" s="23" t="str">
        <x:f>IF(D53&gt;1,"Duplicate Tracking ID","OK")</x:f>
        <x:v>OK</x:v>
      </x:c>
      <x:c r="Q53" s="23" t="str">
        <x:f>IF(E53="Unknown Carrier","Invalid Carrier","OK")</x:f>
        <x:v>OK</x:v>
      </x:c>
      <x:c r="R53" s="23" t="str">
        <x:f>IF(Q53&lt;&gt;"OK","Not Tested",IF(OR(J53&lt;&gt;I53+IF(H53="Standard",VLOOKUP(E53,'SLA Reference'!$A$5:$C$7,2,FALSE),VLOOKUP(E53,'SLA Reference'!$A$5:$C$7,3,FALSE)),AND(L53&lt;&gt;"",L53&lt;I53)),"Invalid SLA / Date","OK"))</x:f>
        <x:v>OK</x:v>
      </x:c>
      <x:c r="S53" s="23" t="str">
        <x:f>IF(AND(K53="Delivered",L53&gt;J53),"Late Delivery",IF(AND(K53="In Transit",J53&lt;DATE(2026,8,17)),"Overdue In Transit","OK"))</x:f>
        <x:v>Overdue In Transit</x:v>
      </x:c>
      <x:c r="T53" s="23" t="str">
        <x:f>IF(AND(K53="Delivered",N53&lt;&gt;"Received"),"Missing POD","OK")</x:f>
        <x:v>OK</x:v>
      </x:c>
      <x:c r="U53" s="23" t="str">
        <x:f>IF(AND(K53="In Transit",DATE(2026,8,17)-M53&gt;2),"Stale Update","OK")</x:f>
        <x:v>OK</x:v>
      </x:c>
      <x:c r="V53" s="23" t="n">
        <x:f>IF(P53&lt;&gt;"OK",1,0)+IF(Q53&lt;&gt;"OK",1,0)+IF(OR(R53="OK",R53="Not Tested"),0,1)+IF(S53&lt;&gt;"OK",1,0)+IF(T53&lt;&gt;"OK",1,0)+IF(U53&lt;&gt;"OK",1,0)</x:f>
        <x:v>1</x:v>
      </x:c>
      <x:c r="W53" s="23" t="str">
        <x:f>IF(V53=0,"Ready",IF(OR(P53&lt;&gt;"OK",Q53&lt;&gt;"OK"),"High Priority Review","Review"))</x:f>
        <x:v>Review</x:v>
      </x:c>
      <x:c r="X53" s="23" t="str">
        <x:f>IF(P53&lt;&gt;"OK","Verify tracking ID using carrier portal",IF(Q53&lt;&gt;"OK","Confirm approved carrier",IF(R53&lt;&gt;"OK","Verify carrier SLA and shipment dates",IF(S53&lt;&gt;"OK","Send written delivery escalation",IF(T53&lt;&gt;"OK","Request proof of delivery",IF(U53&lt;&gt;"OK","Request written tracking update","No action required"))))))</x:f>
        <x:v>Send written delivery escalation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</x:cols>
  <x:sheetData>
    <x:row r="1" ht="36" customHeight="1">
      <x:c r="A1" s="3" t="str">
        <x:v>PROJ-007 | QA SUMMARY</x:v>
      </x:c>
      <x:c r="B1" s="3"/>
      <x:c r="C1" s="3"/>
      <x:c r="D1" s="3"/>
    </x:row>
    <x:row r="2" ht="25" customHeight="1">
      <x:c r="A2" s="6" t="str">
        <x:v>Shipment integrity • delivery SLA • POD and tracking exception totals</x:v>
      </x:c>
      <x:c r="B2" s="6"/>
      <x:c r="C2" s="6"/>
      <x:c r="D2" s="6"/>
    </x:row>
    <x:row r="4" ht="32" customHeight="1">
      <x:c r="A4" s="12" t="str">
        <x:v>CONTROL</x:v>
      </x:c>
      <x:c r="B4" s="12" t="str">
        <x:v>RESULT</x:v>
      </x:c>
    </x:row>
    <x:row r="5">
      <x:c r="A5" s="27" t="str">
        <x:v>Total shipments</x:v>
      </x:c>
      <x:c r="B5" s="29" t="n">
        <x:f>COUNTA('Shipment Validation'!$B$4:$B$53)</x:f>
        <x:v>50</x:v>
      </x:c>
    </x:row>
    <x:row r="6">
      <x:c r="A6" s="27" t="str">
        <x:v>Ready shipments</x:v>
      </x:c>
      <x:c r="B6" s="29" t="n">
        <x:f>COUNTIF('Shipment Validation'!$W$4:$W$53,"Ready")</x:f>
        <x:v>19</x:v>
      </x:c>
    </x:row>
    <x:row r="7">
      <x:c r="A7" s="27" t="str">
        <x:v>Rows requiring review</x:v>
      </x:c>
      <x:c r="B7" s="29" t="n">
        <x:f>COUNTIF('Shipment Validation'!$V$4:$V$53,"&gt;0")</x:f>
        <x:v>31</x:v>
      </x:c>
    </x:row>
    <x:row r="8">
      <x:c r="A8" s="27" t="str">
        <x:v>High priority rows</x:v>
      </x:c>
      <x:c r="B8" s="29" t="n">
        <x:f>COUNTIF('Shipment Validation'!$W$4:$W$53,"High Priority Review")</x:f>
        <x:v>3</x:v>
      </x:c>
    </x:row>
    <x:row r="9">
      <x:c r="A9" s="27" t="str">
        <x:v>Duplicate tracking rows</x:v>
      </x:c>
      <x:c r="B9" s="29" t="n">
        <x:f>COUNTIF('Shipment Validation'!$P$4:$P$53,"Duplicate Tracking ID")</x:f>
        <x:v>2</x:v>
      </x:c>
    </x:row>
    <x:row r="10">
      <x:c r="A10" s="27" t="str">
        <x:v>Invalid carriers</x:v>
      </x:c>
      <x:c r="B10" s="29" t="n">
        <x:f>COUNTIF('Shipment Validation'!$Q$4:$Q$53,"Invalid Carrier")</x:f>
        <x:v>1</x:v>
      </x:c>
    </x:row>
    <x:row r="11">
      <x:c r="A11" s="27" t="str">
        <x:v>SLA / date mismatches</x:v>
      </x:c>
      <x:c r="B11" s="29" t="n">
        <x:f>COUNTIF('Shipment Validation'!$R$4:$R$53,"Invalid SLA / Date")</x:f>
        <x:v>16</x:v>
      </x:c>
    </x:row>
    <x:row r="12">
      <x:c r="A12" s="27" t="str">
        <x:v>Late / overdue shipments</x:v>
      </x:c>
      <x:c r="B12" s="29" t="n">
        <x:f>COUNTIF('Shipment Validation'!$S$4:$S$53,"&lt;&gt;OK")</x:f>
        <x:v>16</x:v>
      </x:c>
    </x:row>
    <x:row r="13">
      <x:c r="A13" s="27" t="str">
        <x:v>Missing POD</x:v>
      </x:c>
      <x:c r="B13" s="29" t="n">
        <x:f>COUNTIF('Shipment Validation'!$T$4:$T$53,"Missing POD")</x:f>
        <x:v>4</x:v>
      </x:c>
    </x:row>
    <x:row r="14">
      <x:c r="A14" s="27" t="str">
        <x:v>Stale tracking updates</x:v>
      </x:c>
      <x:c r="B14" s="29" t="n">
        <x:f>COUNTIF('Shipment Validation'!$U$4:$U$53,"Stale Update")</x:f>
        <x:v>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6" customHeight="1">
      <x:c r="A1" s="3" t="str">
        <x:v>PROJ-007 | LOGISTICS SHIPPING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6" t="str">
        <x:v>Delivery performance • exception control • written-first escalation workflow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48" t="str">
        <x:f>"TOTAL SHIPMENTS"&amp;CHAR(10)&amp;TEXT('QA Summary'!B5,"#,##0")</x:f>
        <x:v>TOTAL SHIPMENTS
50</x:v>
      </x:c>
      <x:c r="B4" s="49"/>
      <x:c r="C4" s="73" t="str">
        <x:f>"READY"&amp;CHAR(10)&amp;TEXT('QA Summary'!B6,"#,##0")</x:f>
        <x:v>READY
19</x:v>
      </x:c>
      <x:c r="D4" s="74"/>
      <x:c r="E4" s="98" t="str">
        <x:f>"REVIEW"&amp;CHAR(10)&amp;TEXT('QA Summary'!B7,"#,##0")</x:f>
        <x:v>REVIEW
31</x:v>
      </x:c>
      <x:c r="F4" s="99"/>
      <x:c r="G4" s="123" t="str">
        <x:f>"HIGH PRIORITY"&amp;CHAR(10)&amp;TEXT('QA Summary'!B8,"#,##0")</x:f>
        <x:v>HIGH PRIORITY
3</x:v>
      </x:c>
      <x:c r="H4" s="124"/>
      <x:c r="I4" s="157" t="str">
        <x:f>"LATE / OVERDUE"&amp;CHAR(10)&amp;TEXT('QA Summary'!B12,"#,##0")</x:f>
        <x:v>LATE / OVERDUE
16</x:v>
      </x:c>
      <x:c r="J4" s="158"/>
      <x:c r="K4" s="159"/>
    </x:row>
    <x:row r="5">
      <x:c r="A5" s="50"/>
      <x:c r="B5" s="51"/>
      <x:c r="C5" s="75"/>
      <x:c r="D5" s="76"/>
      <x:c r="E5" s="100"/>
      <x:c r="F5" s="101"/>
      <x:c r="G5" s="125"/>
      <x:c r="H5" s="126"/>
      <x:c r="I5" s="160"/>
      <x:c r="J5" s="161"/>
      <x:c r="K5" s="162"/>
    </x:row>
    <x:row r="6">
      <x:c r="A6" s="52"/>
      <x:c r="B6" s="53"/>
      <x:c r="C6" s="77"/>
      <x:c r="D6" s="78"/>
      <x:c r="E6" s="102"/>
      <x:c r="F6" s="103"/>
      <x:c r="G6" s="127"/>
      <x:c r="H6" s="128"/>
      <x:c r="I6" s="163"/>
      <x:c r="J6" s="164"/>
      <x:c r="K6" s="165"/>
    </x:row>
    <x:row r="8" ht="32" customHeight="1">
      <x:c r="A8" s="12" t="str">
        <x:v>EXCEPTION TYPE</x:v>
      </x:c>
      <x:c r="B8" s="12" t="str">
        <x:v>COUNT</x:v>
      </x:c>
    </x:row>
    <x:row r="9">
      <x:c r="A9" s="27" t="str">
        <x:v>Duplicate tracking</x:v>
      </x:c>
      <x:c r="B9" s="167" t="n">
        <x:f>'QA Summary'!B9</x:f>
        <x:v>2</x:v>
      </x:c>
    </x:row>
    <x:row r="10">
      <x:c r="A10" s="27" t="str">
        <x:v>Invalid carrier</x:v>
      </x:c>
      <x:c r="B10" s="167" t="n">
        <x:f>'QA Summary'!B10</x:f>
        <x:v>1</x:v>
      </x:c>
    </x:row>
    <x:row r="11">
      <x:c r="A11" s="27" t="str">
        <x:v>SLA / date mismatch</x:v>
      </x:c>
      <x:c r="B11" s="167" t="n">
        <x:f>'QA Summary'!B11</x:f>
        <x:v>16</x:v>
      </x:c>
    </x:row>
    <x:row r="12">
      <x:c r="A12" s="27" t="str">
        <x:v>Late / overdue</x:v>
      </x:c>
      <x:c r="B12" s="167" t="n">
        <x:f>'QA Summary'!B12</x:f>
        <x:v>16</x:v>
      </x:c>
    </x:row>
    <x:row r="13">
      <x:c r="A13" s="27" t="str">
        <x:v>Missing POD</x:v>
      </x:c>
      <x:c r="B13" s="167" t="n">
        <x:f>'QA Summary'!B13</x:f>
        <x:v>4</x:v>
      </x:c>
    </x:row>
    <x:row r="14">
      <x:c r="A14" s="27" t="str">
        <x:v>Stale update</x:v>
      </x:c>
      <x:c r="B14" s="167" t="n">
        <x:f>'QA Summary'!B14</x:f>
        <x:v>3</x:v>
      </x:c>
    </x:row>
    <x:row r="18">
      <x:c r="A18" s="197" t="str">
        <x:v>EXCEPTION TYPE</x:v>
      </x:c>
      <x:c r="B18" s="197" t="str">
        <x:v>COUNT</x:v>
      </x:c>
    </x:row>
    <x:row r="19">
      <x:c r="A19" s="197" t="str">
        <x:f>A9</x:f>
        <x:v>Duplicate tracking</x:v>
      </x:c>
      <x:c r="B19" s="197" t="n">
        <x:f>B9</x:f>
        <x:v>2</x:v>
      </x:c>
    </x:row>
    <x:row r="20">
      <x:c r="A20" s="197" t="str">
        <x:f>A10</x:f>
        <x:v>Invalid carrier</x:v>
      </x:c>
      <x:c r="B20" s="197" t="n">
        <x:f>B10</x:f>
        <x:v>1</x:v>
      </x:c>
    </x:row>
    <x:row r="21">
      <x:c r="A21" s="197" t="str">
        <x:f>A11</x:f>
        <x:v>SLA / date mismatch</x:v>
      </x:c>
      <x:c r="B21" s="197" t="n">
        <x:f>B11</x:f>
        <x:v>16</x:v>
      </x:c>
    </x:row>
    <x:row r="22">
      <x:c r="A22" s="197" t="str">
        <x:f>A12</x:f>
        <x:v>Late / overdue</x:v>
      </x:c>
      <x:c r="B22" s="197" t="n">
        <x:f>B12</x:f>
        <x:v>16</x:v>
      </x:c>
    </x:row>
    <x:row r="23">
      <x:c r="A23" s="197" t="str">
        <x:f>A13</x:f>
        <x:v>Missing POD</x:v>
      </x:c>
      <x:c r="B23" s="197" t="n">
        <x:f>B13</x:f>
        <x:v>4</x:v>
      </x:c>
    </x:row>
    <x:row r="24">
      <x:c r="A24" s="197" t="str">
        <x:f>A14</x:f>
        <x:v>Stale update</x:v>
      </x:c>
      <x:c r="B24" s="197" t="n">
        <x:f>B14</x:f>
        <x:v>3</x:v>
      </x:c>
    </x:row>
    <x:row r="29">
      <x:c r="D29" s="181" t="str">
        <x:v>CARRIER PERFORMANCE</x:v>
      </x:c>
      <x:c r="E29" s="181"/>
      <x:c r="F29" s="181"/>
      <x:c r="G29" s="181"/>
      <x:c r="H29" s="181"/>
    </x:row>
    <x:row r="30">
      <x:c r="D30" s="182" t="str">
        <x:v>Carrier</x:v>
      </x:c>
      <x:c r="E30" s="182" t="str">
        <x:v>Shipments</x:v>
      </x:c>
      <x:c r="F30" s="182" t="str">
        <x:v>Delivered</x:v>
      </x:c>
      <x:c r="G30" s="182" t="str">
        <x:v>On Time</x:v>
      </x:c>
      <x:c r="H30" s="182" t="str">
        <x:v>On-Time Rate</x:v>
      </x:c>
    </x:row>
    <x:row r="31">
      <x:c r="D31" s="184" t="str">
        <x:v>SwiftShip</x:v>
      </x:c>
      <x:c r="E31" s="186" t="n">
        <x:f>COUNTIF('Shipment Validation'!$E$4:$E$53,D31)</x:f>
        <x:v>16</x:v>
      </x:c>
      <x:c r="F31" s="186" t="n">
        <x:f>COUNTIFS('Shipment Validation'!$E$4:$E$53,D31,'Shipment Validation'!$K$4:$K$53,"Delivered")</x:f>
        <x:v>13</x:v>
      </x:c>
      <x:c r="G31" s="186" t="n">
        <x:f>COUNTIFS('Shipment Validation'!$E$4:$E$53,D31,'Shipment Validation'!$K$4:$K$53,"Delivered",'Shipment Validation'!$S$4:$S$53,"OK")</x:f>
        <x:v>10</x:v>
      </x:c>
      <x:c r="H31" s="187" t="n">
        <x:f>IF(F31=0,0,G31/F31)</x:f>
        <x:v>0.7692307692307693</x:v>
      </x:c>
    </x:row>
    <x:row r="32">
      <x:c r="D32" s="184" t="str">
        <x:v>Nusa Express</x:v>
      </x:c>
      <x:c r="E32" s="186" t="n">
        <x:f>COUNTIF('Shipment Validation'!$E$4:$E$53,D32)</x:f>
        <x:v>17</x:v>
      </x:c>
      <x:c r="F32" s="186" t="n">
        <x:f>COUNTIFS('Shipment Validation'!$E$4:$E$53,D32,'Shipment Validation'!$K$4:$K$53,"Delivered")</x:f>
        <x:v>13</x:v>
      </x:c>
      <x:c r="G32" s="186" t="n">
        <x:f>COUNTIFS('Shipment Validation'!$E$4:$E$53,D32,'Shipment Validation'!$K$4:$K$53,"Delivered",'Shipment Validation'!$S$4:$S$53,"OK")</x:f>
        <x:v>12</x:v>
      </x:c>
      <x:c r="H32" s="187" t="n">
        <x:f>IF(F32=0,0,G32/F32)</x:f>
        <x:v>0.9230769230769231</x:v>
      </x:c>
    </x:row>
    <x:row r="33">
      <x:c r="D33" s="184" t="str">
        <x:v>Archipelago Cargo</x:v>
      </x:c>
      <x:c r="E33" s="186" t="n">
        <x:f>COUNTIF('Shipment Validation'!$E$4:$E$53,D33)</x:f>
        <x:v>16</x:v>
      </x:c>
      <x:c r="F33" s="186" t="n">
        <x:f>COUNTIFS('Shipment Validation'!$E$4:$E$53,D33,'Shipment Validation'!$K$4:$K$53,"Delivered")</x:f>
        <x:v>13</x:v>
      </x:c>
      <x:c r="G33" s="186" t="n">
        <x:f>COUNTIFS('Shipment Validation'!$E$4:$E$53,D33,'Shipment Validation'!$K$4:$K$53,"Delivered",'Shipment Validation'!$S$4:$S$53,"OK")</x:f>
        <x:v>11</x:v>
      </x:c>
      <x:c r="H33" s="187" t="n">
        <x:f>IF(F33=0,0,G33/F33)</x:f>
        <x:v>0.8461538461538461</x:v>
      </x:c>
    </x:row>
  </x:sheetData>
  <x:mergeCells>
    <x:mergeCell ref="A1:K1"/>
    <x:mergeCell ref="A2:K2"/>
    <x:mergeCell ref="A4:B6"/>
    <x:mergeCell ref="C4:D6"/>
    <x:mergeCell ref="E4:F6"/>
    <x:mergeCell ref="G4:H6"/>
    <x:mergeCell ref="I4:K6"/>
    <x:mergeCell ref="D29:H29"/>
  </x:mergeCells>
  <x:pageMargins left="0.7" right="0.7" top="0.75" bottom="0.75" header="0.3" footer="0.3"/>
  <x:drawing xmlns:r="http://schemas.openxmlformats.org/officeDocument/2006/relationships" r:id="Rbaa49679624f4d7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8" hidden="0" customWidth="1"/>
    <x:col min="10" max="10" width="30" hidden="0" customWidth="1"/>
    <x:col min="11" max="11" width="18" hidden="0" customWidth="1"/>
    <x:col min="12" max="12" width="20" hidden="0" customWidth="1"/>
  </x:cols>
  <x:sheetData>
    <x:row r="1" ht="36" customHeight="1">
      <x:c r="A1" s="3" t="str">
        <x:v>PROJ-007 | EXCEPTION ACTION QUEUE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Traceable shipment-level review • owner • priority • written follow-up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73" t="str">
        <x:v>Shipment ID</x:v>
      </x:c>
      <x:c r="B4" s="173" t="str">
        <x:v>Tracking ID</x:v>
      </x:c>
      <x:c r="C4" s="173" t="str">
        <x:v>Carrier</x:v>
      </x:c>
      <x:c r="D4" s="173" t="str">
        <x:v>Exception Summary</x:v>
      </x:c>
      <x:c r="E4" s="173" t="str">
        <x:v>Priority</x:v>
      </x:c>
      <x:c r="F4" s="173" t="str">
        <x:v>Owner</x:v>
      </x:c>
      <x:c r="G4" s="173" t="str">
        <x:v>Status</x:v>
      </x:c>
      <x:c r="H4" s="173" t="str">
        <x:v>Due Date</x:v>
      </x:c>
      <x:c r="I4" s="173" t="str">
        <x:v>Written Action</x:v>
      </x:c>
      <x:c r="J4" s="173" t="str">
        <x:v>Resolution Note</x:v>
      </x:c>
      <x:c r="K4" s="173" t="str">
        <x:v>Resolution Date</x:v>
      </x:c>
      <x:c r="L4" s="173" t="str">
        <x:v>Verified By</x:v>
      </x:c>
    </x:row>
    <x:row r="5">
      <x:c r="A5" s="14" t="str">
        <x:f>'Shipment Validation'!B6</x:f>
        <x:v>SHP-0003</x:v>
      </x:c>
      <x:c r="B5" s="14" t="str">
        <x:f>'Shipment Validation'!C6</x:f>
        <x:v>TRK-02003</x:v>
      </x:c>
      <x:c r="C5" s="14" t="str">
        <x:f>'Shipment Validation'!E6</x:f>
        <x:v>Archipelago Cargo</x:v>
      </x:c>
      <x:c r="D5" s="14" t="str">
        <x:f>TEXTJOIN("; ",TRUE,IF('Shipment Validation'!P6&lt;&gt;"OK",'Shipment Validation'!P6,""),IF('Shipment Validation'!Q6&lt;&gt;"OK",'Shipment Validation'!Q6,""),IF(AND('Shipment Validation'!R6&lt;&gt;"OK",'Shipment Validation'!R6&lt;&gt;"Not Tested"),'Shipment Validation'!R6,""),IF('Shipment Validation'!S6&lt;&gt;"OK",'Shipment Validation'!S6,""),IF('Shipment Validation'!T6&lt;&gt;"OK",'Shipment Validation'!T6,""),IF('Shipment Validation'!U6&lt;&gt;"OK",'Shipment Validation'!U6,""))</x:f>
        <x:v>Invalid SLA / Date</x:v>
      </x:c>
      <x:c r="E5" s="14" t="str">
        <x:f>IF('Shipment Validation'!W6="High Priority Review","High","Medium")</x:f>
        <x:v>Medium</x:v>
      </x:c>
      <x:c r="F5" s="14" t="str">
        <x:v>Logistics Admin</x:v>
      </x:c>
      <x:c r="G5" s="14" t="str">
        <x:v>Open</x:v>
      </x:c>
      <x:c r="H5" s="17" t="n">
        <x:f>DATE(2026,8,17)+IF(E5="High",1,3)</x:f>
        <x:v>46254</x:v>
      </x:c>
      <x:c r="I5" s="14" t="str">
        <x:f>'Shipment Validation'!X6</x:f>
        <x:v>Verify carrier SLA and shipment dates</x:v>
      </x:c>
      <x:c r="J5" s="14" t="str"/>
      <x:c r="K5" s="20"/>
      <x:c r="L5"/>
    </x:row>
    <x:row r="6">
      <x:c r="A6" s="16" t="str">
        <x:f>'Shipment Validation'!B8</x:f>
        <x:v>SHP-0005</x:v>
      </x:c>
      <x:c r="B6" s="16" t="str">
        <x:f>'Shipment Validation'!C8</x:f>
        <x:v>TRK-02005</x:v>
      </x:c>
      <x:c r="C6" s="16" t="str">
        <x:f>'Shipment Validation'!E8</x:f>
        <x:v>Nusa Express</x:v>
      </x:c>
      <x:c r="D6" s="16" t="str">
        <x:f>TEXTJOIN("; ",TRUE,IF('Shipment Validation'!P8&lt;&gt;"OK",'Shipment Validation'!P8,""),IF('Shipment Validation'!Q8&lt;&gt;"OK",'Shipment Validation'!Q8,""),IF(AND('Shipment Validation'!R8&lt;&gt;"OK",'Shipment Validation'!R8&lt;&gt;"Not Tested"),'Shipment Validation'!R8,""),IF('Shipment Validation'!S8&lt;&gt;"OK",'Shipment Validation'!S8,""),IF('Shipment Validation'!T8&lt;&gt;"OK",'Shipment Validation'!T8,""),IF('Shipment Validation'!U8&lt;&gt;"OK",'Shipment Validation'!U8,""))</x:f>
        <x:v>Overdue In Transit</x:v>
      </x:c>
      <x:c r="E6" s="16" t="str">
        <x:f>IF('Shipment Validation'!W8="High Priority Review","High","Medium")</x:f>
        <x:v>Medium</x:v>
      </x:c>
      <x:c r="F6" s="16" t="str">
        <x:v>Logistics Admin</x:v>
      </x:c>
      <x:c r="G6" s="16" t="str">
        <x:v>Open</x:v>
      </x:c>
      <x:c r="H6" s="18" t="n">
        <x:f>DATE(2026,8,17)+IF(E6="High",1,3)</x:f>
        <x:v>46254</x:v>
      </x:c>
      <x:c r="I6" s="16" t="str">
        <x:f>'Shipment Validation'!X8</x:f>
        <x:v>Send written delivery escalation</x:v>
      </x:c>
      <x:c r="J6" s="16" t="str"/>
      <x:c r="K6" s="20"/>
      <x:c r="L6"/>
    </x:row>
    <x:row r="7">
      <x:c r="A7" s="14" t="str">
        <x:f>'Shipment Validation'!B9</x:f>
        <x:v>SHP-0006</x:v>
      </x:c>
      <x:c r="B7" s="14" t="str">
        <x:f>'Shipment Validation'!C9</x:f>
        <x:v>TRK-02006</x:v>
      </x:c>
      <x:c r="C7" s="14" t="str">
        <x:f>'Shipment Validation'!E9</x:f>
        <x:v>Archipelago Cargo</x:v>
      </x:c>
      <x:c r="D7" s="14" t="str">
        <x:f>TEXTJOIN("; ",TRUE,IF('Shipment Validation'!P9&lt;&gt;"OK",'Shipment Validation'!P9,""),IF('Shipment Validation'!Q9&lt;&gt;"OK",'Shipment Validation'!Q9,""),IF(AND('Shipment Validation'!R9&lt;&gt;"OK",'Shipment Validation'!R9&lt;&gt;"Not Tested"),'Shipment Validation'!R9,""),IF('Shipment Validation'!S9&lt;&gt;"OK",'Shipment Validation'!S9,""),IF('Shipment Validation'!T9&lt;&gt;"OK",'Shipment Validation'!T9,""),IF('Shipment Validation'!U9&lt;&gt;"OK",'Shipment Validation'!U9,""))</x:f>
        <x:v>Invalid SLA / Date</x:v>
      </x:c>
      <x:c r="E7" s="14" t="str">
        <x:f>IF('Shipment Validation'!W9="High Priority Review","High","Medium")</x:f>
        <x:v>Medium</x:v>
      </x:c>
      <x:c r="F7" s="14" t="str">
        <x:v>Logistics Admin</x:v>
      </x:c>
      <x:c r="G7" s="14" t="str">
        <x:v>Open</x:v>
      </x:c>
      <x:c r="H7" s="17" t="n">
        <x:f>DATE(2026,8,17)+IF(E7="High",1,3)</x:f>
        <x:v>46254</x:v>
      </x:c>
      <x:c r="I7" s="14" t="str">
        <x:f>'Shipment Validation'!X9</x:f>
        <x:v>Verify carrier SLA and shipment dates</x:v>
      </x:c>
      <x:c r="J7" s="14" t="str"/>
      <x:c r="K7" s="20"/>
      <x:c r="L7"/>
    </x:row>
    <x:row r="8">
      <x:c r="A8" s="16" t="str">
        <x:f>'Shipment Validation'!B10</x:f>
        <x:v>SHP-0007</x:v>
      </x:c>
      <x:c r="B8" s="16" t="str">
        <x:f>'Shipment Validation'!C10</x:f>
        <x:v>TRK-02007</x:v>
      </x:c>
      <x:c r="C8" s="16" t="str">
        <x:f>'Shipment Validation'!E10</x:f>
        <x:v>SwiftShip</x:v>
      </x:c>
      <x:c r="D8" s="16" t="str">
        <x:f>TEXTJOIN("; ",TRUE,IF('Shipment Validation'!P10&lt;&gt;"OK",'Shipment Validation'!P10,""),IF('Shipment Validation'!Q10&lt;&gt;"OK",'Shipment Validation'!Q10,""),IF(AND('Shipment Validation'!R10&lt;&gt;"OK",'Shipment Validation'!R10&lt;&gt;"Not Tested"),'Shipment Validation'!R10,""),IF('Shipment Validation'!S10&lt;&gt;"OK",'Shipment Validation'!S10,""),IF('Shipment Validation'!T10&lt;&gt;"OK",'Shipment Validation'!T10,""),IF('Shipment Validation'!U10&lt;&gt;"OK",'Shipment Validation'!U10,""))</x:f>
        <x:v>Late Delivery</x:v>
      </x:c>
      <x:c r="E8" s="16" t="str">
        <x:f>IF('Shipment Validation'!W10="High Priority Review","High","Medium")</x:f>
        <x:v>Medium</x:v>
      </x:c>
      <x:c r="F8" s="16" t="str">
        <x:v>Logistics Admin</x:v>
      </x:c>
      <x:c r="G8" s="16" t="str">
        <x:v>Open</x:v>
      </x:c>
      <x:c r="H8" s="18" t="n">
        <x:f>DATE(2026,8,17)+IF(E8="High",1,3)</x:f>
        <x:v>46254</x:v>
      </x:c>
      <x:c r="I8" s="16" t="str">
        <x:f>'Shipment Validation'!X10</x:f>
        <x:v>Send written delivery escalation</x:v>
      </x:c>
      <x:c r="J8" s="16" t="str"/>
      <x:c r="K8" s="20"/>
      <x:c r="L8"/>
    </x:row>
    <x:row r="9">
      <x:c r="A9" s="14" t="str">
        <x:f>'Shipment Validation'!B12</x:f>
        <x:v>SHP-0009</x:v>
      </x:c>
      <x:c r="B9" s="14" t="str">
        <x:f>'Shipment Validation'!C12</x:f>
        <x:v>TRK-02009</x:v>
      </x:c>
      <x:c r="C9" s="14" t="str">
        <x:f>'Shipment Validation'!E12</x:f>
        <x:v>Archipelago Cargo</x:v>
      </x:c>
      <x:c r="D9" s="14" t="str">
        <x:f>TEXTJOIN("; ",TRUE,IF('Shipment Validation'!P12&lt;&gt;"OK",'Shipment Validation'!P12,""),IF('Shipment Validation'!Q12&lt;&gt;"OK",'Shipment Validation'!Q12,""),IF(AND('Shipment Validation'!R12&lt;&gt;"OK",'Shipment Validation'!R12&lt;&gt;"Not Tested"),'Shipment Validation'!R12,""),IF('Shipment Validation'!S12&lt;&gt;"OK",'Shipment Validation'!S12,""),IF('Shipment Validation'!T12&lt;&gt;"OK",'Shipment Validation'!T12,""),IF('Shipment Validation'!U12&lt;&gt;"OK",'Shipment Validation'!U12,""))</x:f>
        <x:v>Invalid SLA / Date</x:v>
      </x:c>
      <x:c r="E9" s="14" t="str">
        <x:f>IF('Shipment Validation'!W12="High Priority Review","High","Medium")</x:f>
        <x:v>Medium</x:v>
      </x:c>
      <x:c r="F9" s="14" t="str">
        <x:v>Logistics Admin</x:v>
      </x:c>
      <x:c r="G9" s="14" t="str">
        <x:v>Open</x:v>
      </x:c>
      <x:c r="H9" s="17" t="n">
        <x:f>DATE(2026,8,17)+IF(E9="High",1,3)</x:f>
        <x:v>46254</x:v>
      </x:c>
      <x:c r="I9" s="14" t="str">
        <x:f>'Shipment Validation'!X12</x:f>
        <x:v>Verify carrier SLA and shipment dates</x:v>
      </x:c>
      <x:c r="J9" s="14" t="str"/>
      <x:c r="K9" s="20"/>
      <x:c r="L9"/>
    </x:row>
    <x:row r="10">
      <x:c r="A10" s="16" t="str">
        <x:f>'Shipment Validation'!B13</x:f>
        <x:v>SHP-0010</x:v>
      </x:c>
      <x:c r="B10" s="16" t="str">
        <x:f>'Shipment Validation'!C13</x:f>
        <x:v>TRK-02010</x:v>
      </x:c>
      <x:c r="C10" s="16" t="str">
        <x:f>'Shipment Validation'!E13</x:f>
        <x:v>SwiftShip</x:v>
      </x:c>
      <x:c r="D10" s="16" t="str">
        <x:f>TEXTJOIN("; ",TRUE,IF('Shipment Validation'!P13&lt;&gt;"OK",'Shipment Validation'!P13,""),IF('Shipment Validation'!Q13&lt;&gt;"OK",'Shipment Validation'!Q13,""),IF(AND('Shipment Validation'!R13&lt;&gt;"OK",'Shipment Validation'!R13&lt;&gt;"Not Tested"),'Shipment Validation'!R13,""),IF('Shipment Validation'!S13&lt;&gt;"OK",'Shipment Validation'!S13,""),IF('Shipment Validation'!T13&lt;&gt;"OK",'Shipment Validation'!T13,""),IF('Shipment Validation'!U13&lt;&gt;"OK",'Shipment Validation'!U13,""))</x:f>
        <x:v>Overdue In Transit</x:v>
      </x:c>
      <x:c r="E10" s="16" t="str">
        <x:f>IF('Shipment Validation'!W13="High Priority Review","High","Medium")</x:f>
        <x:v>Medium</x:v>
      </x:c>
      <x:c r="F10" s="16" t="str">
        <x:v>Logistics Admin</x:v>
      </x:c>
      <x:c r="G10" s="16" t="str">
        <x:v>Open</x:v>
      </x:c>
      <x:c r="H10" s="18" t="n">
        <x:f>DATE(2026,8,17)+IF(E10="High",1,3)</x:f>
        <x:v>46254</x:v>
      </x:c>
      <x:c r="I10" s="16" t="str">
        <x:f>'Shipment Validation'!X13</x:f>
        <x:v>Send written delivery escalation</x:v>
      </x:c>
      <x:c r="J10" s="16" t="str"/>
      <x:c r="K10" s="20"/>
      <x:c r="L10"/>
    </x:row>
    <x:row r="11">
      <x:c r="A11" s="14" t="str">
        <x:f>'Shipment Validation'!B14</x:f>
        <x:v>SHP-0011</x:v>
      </x:c>
      <x:c r="B11" s="14" t="str">
        <x:f>'Shipment Validation'!C14</x:f>
        <x:v>TRK-02011</x:v>
      </x:c>
      <x:c r="C11" s="14" t="str">
        <x:f>'Shipment Validation'!E14</x:f>
        <x:v>Nusa Express</x:v>
      </x:c>
      <x:c r="D11" s="14" t="str">
        <x:f>TEXTJOIN("; ",TRUE,IF('Shipment Validation'!P14&lt;&gt;"OK",'Shipment Validation'!P14,""),IF('Shipment Validation'!Q14&lt;&gt;"OK",'Shipment Validation'!Q14,""),IF(AND('Shipment Validation'!R14&lt;&gt;"OK",'Shipment Validation'!R14&lt;&gt;"Not Tested"),'Shipment Validation'!R14,""),IF('Shipment Validation'!S14&lt;&gt;"OK",'Shipment Validation'!S14,""),IF('Shipment Validation'!T14&lt;&gt;"OK",'Shipment Validation'!T14,""),IF('Shipment Validation'!U14&lt;&gt;"OK",'Shipment Validation'!U14,""))</x:f>
        <x:v>Missing POD</x:v>
      </x:c>
      <x:c r="E11" s="14" t="str">
        <x:f>IF('Shipment Validation'!W14="High Priority Review","High","Medium")</x:f>
        <x:v>Medium</x:v>
      </x:c>
      <x:c r="F11" s="14" t="str">
        <x:v>Logistics Admin</x:v>
      </x:c>
      <x:c r="G11" s="14" t="str">
        <x:v>Open</x:v>
      </x:c>
      <x:c r="H11" s="17" t="n">
        <x:f>DATE(2026,8,17)+IF(E11="High",1,3)</x:f>
        <x:v>46254</x:v>
      </x:c>
      <x:c r="I11" s="14" t="str">
        <x:f>'Shipment Validation'!X14</x:f>
        <x:v>Request proof of delivery</x:v>
      </x:c>
      <x:c r="J11" s="14" t="str"/>
      <x:c r="K11" s="20"/>
      <x:c r="L11"/>
    </x:row>
    <x:row r="12">
      <x:c r="A12" s="16" t="str">
        <x:f>'Shipment Validation'!B15</x:f>
        <x:v>SHP-0012</x:v>
      </x:c>
      <x:c r="B12" s="16" t="str">
        <x:f>'Shipment Validation'!C15</x:f>
        <x:v>TRK-02012</x:v>
      </x:c>
      <x:c r="C12" s="16" t="str">
        <x:f>'Shipment Validation'!E15</x:f>
        <x:v>Archipelago Cargo</x:v>
      </x:c>
      <x:c r="D12" s="16" t="str">
        <x:f>TEXTJOIN("; ",TRUE,IF('Shipment Validation'!P15&lt;&gt;"OK",'Shipment Validation'!P15,""),IF('Shipment Validation'!Q15&lt;&gt;"OK",'Shipment Validation'!Q15,""),IF(AND('Shipment Validation'!R15&lt;&gt;"OK",'Shipment Validation'!R15&lt;&gt;"Not Tested"),'Shipment Validation'!R15,""),IF('Shipment Validation'!S15&lt;&gt;"OK",'Shipment Validation'!S15,""),IF('Shipment Validation'!T15&lt;&gt;"OK",'Shipment Validation'!T15,""),IF('Shipment Validation'!U15&lt;&gt;"OK",'Shipment Validation'!U15,""))</x:f>
        <x:v>Invalid SLA / Date</x:v>
      </x:c>
      <x:c r="E12" s="16" t="str">
        <x:f>IF('Shipment Validation'!W15="High Priority Review","High","Medium")</x:f>
        <x:v>Medium</x:v>
      </x:c>
      <x:c r="F12" s="16" t="str">
        <x:v>Logistics Admin</x:v>
      </x:c>
      <x:c r="G12" s="16" t="str">
        <x:v>Open</x:v>
      </x:c>
      <x:c r="H12" s="18" t="n">
        <x:f>DATE(2026,8,17)+IF(E12="High",1,3)</x:f>
        <x:v>46254</x:v>
      </x:c>
      <x:c r="I12" s="16" t="str">
        <x:f>'Shipment Validation'!X15</x:f>
        <x:v>Verify carrier SLA and shipment dates</x:v>
      </x:c>
      <x:c r="J12" s="16" t="str"/>
      <x:c r="K12" s="20"/>
      <x:c r="L12"/>
    </x:row>
    <x:row r="13">
      <x:c r="A13" s="14" t="str">
        <x:f>'Shipment Validation'!B17</x:f>
        <x:v>SHP-0014</x:v>
      </x:c>
      <x:c r="B13" s="14" t="str">
        <x:f>'Shipment Validation'!C17</x:f>
        <x:v>TRK-02014</x:v>
      </x:c>
      <x:c r="C13" s="14" t="str">
        <x:f>'Shipment Validation'!E17</x:f>
        <x:v>Nusa Express</x:v>
      </x:c>
      <x:c r="D13" s="14" t="str">
        <x:f>TEXTJOIN("; ",TRUE,IF('Shipment Validation'!P17&lt;&gt;"OK",'Shipment Validation'!P17,""),IF('Shipment Validation'!Q17&lt;&gt;"OK",'Shipment Validation'!Q17,""),IF(AND('Shipment Validation'!R17&lt;&gt;"OK",'Shipment Validation'!R17&lt;&gt;"Not Tested"),'Shipment Validation'!R17,""),IF('Shipment Validation'!S17&lt;&gt;"OK",'Shipment Validation'!S17,""),IF('Shipment Validation'!T17&lt;&gt;"OK",'Shipment Validation'!T17,""),IF('Shipment Validation'!U17&lt;&gt;"OK",'Shipment Validation'!U17,""))</x:f>
        <x:v>Late Delivery</x:v>
      </x:c>
      <x:c r="E13" s="14" t="str">
        <x:f>IF('Shipment Validation'!W17="High Priority Review","High","Medium")</x:f>
        <x:v>Medium</x:v>
      </x:c>
      <x:c r="F13" s="14" t="str">
        <x:v>Logistics Admin</x:v>
      </x:c>
      <x:c r="G13" s="14" t="str">
        <x:v>Open</x:v>
      </x:c>
      <x:c r="H13" s="17" t="n">
        <x:f>DATE(2026,8,17)+IF(E13="High",1,3)</x:f>
        <x:v>46254</x:v>
      </x:c>
      <x:c r="I13" s="14" t="str">
        <x:f>'Shipment Validation'!X17</x:f>
        <x:v>Send written delivery escalation</x:v>
      </x:c>
      <x:c r="J13" s="14" t="str"/>
      <x:c r="K13" s="20"/>
      <x:c r="L13"/>
    </x:row>
    <x:row r="14">
      <x:c r="A14" s="16" t="str">
        <x:f>'Shipment Validation'!B18</x:f>
        <x:v>SHP-0015</x:v>
      </x:c>
      <x:c r="B14" s="16" t="str">
        <x:f>'Shipment Validation'!C18</x:f>
        <x:v>TRK-02015</x:v>
      </x:c>
      <x:c r="C14" s="16" t="str">
        <x:f>'Shipment Validation'!E18</x:f>
        <x:v>Archipelago Cargo</x:v>
      </x:c>
      <x:c r="D14" s="16" t="str">
        <x:f>TEXTJOIN("; ",TRUE,IF('Shipment Validation'!P18&lt;&gt;"OK",'Shipment Validation'!P18,""),IF('Shipment Validation'!Q18&lt;&gt;"OK",'Shipment Validation'!Q18,""),IF(AND('Shipment Validation'!R18&lt;&gt;"OK",'Shipment Validation'!R18&lt;&gt;"Not Tested"),'Shipment Validation'!R18,""),IF('Shipment Validation'!S18&lt;&gt;"OK",'Shipment Validation'!S18,""),IF('Shipment Validation'!T18&lt;&gt;"OK",'Shipment Validation'!T18,""),IF('Shipment Validation'!U18&lt;&gt;"OK",'Shipment Validation'!U18,""))</x:f>
        <x:v>Duplicate Tracking ID; Invalid SLA / Date; Overdue In Transit; Stale Update</x:v>
      </x:c>
      <x:c r="E14" s="16" t="str">
        <x:f>IF('Shipment Validation'!W18="High Priority Review","High","Medium")</x:f>
        <x:v>High</x:v>
      </x:c>
      <x:c r="F14" s="16" t="str">
        <x:v>Logistics Admin</x:v>
      </x:c>
      <x:c r="G14" s="16" t="str">
        <x:v>Open</x:v>
      </x:c>
      <x:c r="H14" s="18" t="n">
        <x:f>DATE(2026,8,17)+IF(E14="High",1,3)</x:f>
        <x:v>46252</x:v>
      </x:c>
      <x:c r="I14" s="16" t="str">
        <x:f>'Shipment Validation'!X18</x:f>
        <x:v>Verify tracking ID using carrier portal</x:v>
      </x:c>
      <x:c r="J14" s="16" t="str"/>
      <x:c r="K14" s="20"/>
      <x:c r="L14"/>
    </x:row>
    <x:row r="15">
      <x:c r="A15" s="14" t="str">
        <x:f>'Shipment Validation'!B19</x:f>
        <x:v>SHP-0016</x:v>
      </x:c>
      <x:c r="B15" s="14" t="str">
        <x:f>'Shipment Validation'!C19</x:f>
        <x:v>TRK-02015</x:v>
      </x:c>
      <x:c r="C15" s="14" t="str">
        <x:f>'Shipment Validation'!E19</x:f>
        <x:v>SwiftShip</x:v>
      </x:c>
      <x:c r="D15" s="14" t="str">
        <x:f>TEXTJOIN("; ",TRUE,IF('Shipment Validation'!P19&lt;&gt;"OK",'Shipment Validation'!P19,""),IF('Shipment Validation'!Q19&lt;&gt;"OK",'Shipment Validation'!Q19,""),IF(AND('Shipment Validation'!R19&lt;&gt;"OK",'Shipment Validation'!R19&lt;&gt;"Not Tested"),'Shipment Validation'!R19,""),IF('Shipment Validation'!S19&lt;&gt;"OK",'Shipment Validation'!S19,""),IF('Shipment Validation'!T19&lt;&gt;"OK",'Shipment Validation'!T19,""),IF('Shipment Validation'!U19&lt;&gt;"OK",'Shipment Validation'!U19,""))</x:f>
        <x:v>Duplicate Tracking ID</x:v>
      </x:c>
      <x:c r="E15" s="14" t="str">
        <x:f>IF('Shipment Validation'!W19="High Priority Review","High","Medium")</x:f>
        <x:v>High</x:v>
      </x:c>
      <x:c r="F15" s="14" t="str">
        <x:v>Logistics Admin</x:v>
      </x:c>
      <x:c r="G15" s="14" t="str">
        <x:v>Open</x:v>
      </x:c>
      <x:c r="H15" s="17" t="n">
        <x:f>DATE(2026,8,17)+IF(E15="High",1,3)</x:f>
        <x:v>46252</x:v>
      </x:c>
      <x:c r="I15" s="14" t="str">
        <x:f>'Shipment Validation'!X19</x:f>
        <x:v>Verify tracking ID using carrier portal</x:v>
      </x:c>
      <x:c r="J15" s="14" t="str"/>
      <x:c r="K15" s="20"/>
      <x:c r="L15"/>
    </x:row>
    <x:row r="16">
      <x:c r="A16" s="16" t="str">
        <x:f>'Shipment Validation'!B21</x:f>
        <x:v>SHP-0018</x:v>
      </x:c>
      <x:c r="B16" s="16" t="str">
        <x:f>'Shipment Validation'!C21</x:f>
        <x:v>TRK-02018</x:v>
      </x:c>
      <x:c r="C16" s="16" t="str">
        <x:f>'Shipment Validation'!E21</x:f>
        <x:v>Archipelago Cargo</x:v>
      </x:c>
      <x:c r="D16" s="16" t="str">
        <x:f>TEXTJOIN("; ",TRUE,IF('Shipment Validation'!P21&lt;&gt;"OK",'Shipment Validation'!P21,""),IF('Shipment Validation'!Q21&lt;&gt;"OK",'Shipment Validation'!Q21,""),IF(AND('Shipment Validation'!R21&lt;&gt;"OK",'Shipment Validation'!R21&lt;&gt;"Not Tested"),'Shipment Validation'!R21,""),IF('Shipment Validation'!S21&lt;&gt;"OK",'Shipment Validation'!S21,""),IF('Shipment Validation'!T21&lt;&gt;"OK",'Shipment Validation'!T21,""),IF('Shipment Validation'!U21&lt;&gt;"OK",'Shipment Validation'!U21,""))</x:f>
        <x:v>Invalid SLA / Date</x:v>
      </x:c>
      <x:c r="E16" s="16" t="str">
        <x:f>IF('Shipment Validation'!W21="High Priority Review","High","Medium")</x:f>
        <x:v>Medium</x:v>
      </x:c>
      <x:c r="F16" s="16" t="str">
        <x:v>Logistics Admin</x:v>
      </x:c>
      <x:c r="G16" s="16" t="str">
        <x:v>Open</x:v>
      </x:c>
      <x:c r="H16" s="18" t="n">
        <x:f>DATE(2026,8,17)+IF(E16="High",1,3)</x:f>
        <x:v>46254</x:v>
      </x:c>
      <x:c r="I16" s="16" t="str">
        <x:f>'Shipment Validation'!X21</x:f>
        <x:v>Verify carrier SLA and shipment dates</x:v>
      </x:c>
      <x:c r="J16" s="16" t="str"/>
      <x:c r="K16" s="20"/>
      <x:c r="L16"/>
    </x:row>
    <x:row r="17">
      <x:c r="A17" s="14" t="str">
        <x:f>'Shipment Validation'!B23</x:f>
        <x:v>SHP-0020</x:v>
      </x:c>
      <x:c r="B17" s="14" t="str">
        <x:f>'Shipment Validation'!C23</x:f>
        <x:v>TRK-02020</x:v>
      </x:c>
      <x:c r="C17" s="14" t="str">
        <x:f>'Shipment Validation'!E23</x:f>
        <x:v>Nusa Express</x:v>
      </x:c>
      <x:c r="D17" s="14" t="str">
        <x:f>TEXTJOIN("; ",TRUE,IF('Shipment Validation'!P23&lt;&gt;"OK",'Shipment Validation'!P23,""),IF('Shipment Validation'!Q23&lt;&gt;"OK",'Shipment Validation'!Q23,""),IF(AND('Shipment Validation'!R23&lt;&gt;"OK",'Shipment Validation'!R23&lt;&gt;"Not Tested"),'Shipment Validation'!R23,""),IF('Shipment Validation'!S23&lt;&gt;"OK",'Shipment Validation'!S23,""),IF('Shipment Validation'!T23&lt;&gt;"OK",'Shipment Validation'!T23,""),IF('Shipment Validation'!U23&lt;&gt;"OK",'Shipment Validation'!U23,""))</x:f>
        <x:v>Overdue In Transit</x:v>
      </x:c>
      <x:c r="E17" s="14" t="str">
        <x:f>IF('Shipment Validation'!W23="High Priority Review","High","Medium")</x:f>
        <x:v>Medium</x:v>
      </x:c>
      <x:c r="F17" s="14" t="str">
        <x:v>Logistics Admin</x:v>
      </x:c>
      <x:c r="G17" s="14" t="str">
        <x:v>Open</x:v>
      </x:c>
      <x:c r="H17" s="17" t="n">
        <x:f>DATE(2026,8,17)+IF(E17="High",1,3)</x:f>
        <x:v>46254</x:v>
      </x:c>
      <x:c r="I17" s="14" t="str">
        <x:f>'Shipment Validation'!X23</x:f>
        <x:v>Send written delivery escalation</x:v>
      </x:c>
      <x:c r="J17" s="14" t="str"/>
      <x:c r="K17" s="20"/>
      <x:c r="L17"/>
    </x:row>
    <x:row r="18">
      <x:c r="A18" s="16" t="str">
        <x:f>'Shipment Validation'!B24</x:f>
        <x:v>SHP-0021</x:v>
      </x:c>
      <x:c r="B18" s="16" t="str">
        <x:f>'Shipment Validation'!C24</x:f>
        <x:v>TRK-02021</x:v>
      </x:c>
      <x:c r="C18" s="16" t="str">
        <x:f>'Shipment Validation'!E24</x:f>
        <x:v>Archipelago Cargo</x:v>
      </x:c>
      <x:c r="D18" s="16" t="str">
        <x:f>TEXTJOIN("; ",TRUE,IF('Shipment Validation'!P24&lt;&gt;"OK",'Shipment Validation'!P24,""),IF('Shipment Validation'!Q24&lt;&gt;"OK",'Shipment Validation'!Q24,""),IF(AND('Shipment Validation'!R24&lt;&gt;"OK",'Shipment Validation'!R24&lt;&gt;"Not Tested"),'Shipment Validation'!R24,""),IF('Shipment Validation'!S24&lt;&gt;"OK",'Shipment Validation'!S24,""),IF('Shipment Validation'!T24&lt;&gt;"OK",'Shipment Validation'!T24,""),IF('Shipment Validation'!U24&lt;&gt;"OK",'Shipment Validation'!U24,""))</x:f>
        <x:v>Invalid SLA / Date; Late Delivery</x:v>
      </x:c>
      <x:c r="E18" s="16" t="str">
        <x:f>IF('Shipment Validation'!W24="High Priority Review","High","Medium")</x:f>
        <x:v>Medium</x:v>
      </x:c>
      <x:c r="F18" s="16" t="str">
        <x:v>Logistics Admin</x:v>
      </x:c>
      <x:c r="G18" s="16" t="str">
        <x:v>Open</x:v>
      </x:c>
      <x:c r="H18" s="18" t="n">
        <x:f>DATE(2026,8,17)+IF(E18="High",1,3)</x:f>
        <x:v>46254</x:v>
      </x:c>
      <x:c r="I18" s="16" t="str">
        <x:f>'Shipment Validation'!X24</x:f>
        <x:v>Verify carrier SLA and shipment dates</x:v>
      </x:c>
      <x:c r="J18" s="16" t="str"/>
      <x:c r="K18" s="20"/>
      <x:c r="L18"/>
    </x:row>
    <x:row r="19">
      <x:c r="A19" s="14" t="str">
        <x:f>'Shipment Validation'!B25</x:f>
        <x:v>SHP-0022</x:v>
      </x:c>
      <x:c r="B19" s="14" t="str">
        <x:f>'Shipment Validation'!C25</x:f>
        <x:v>TRK-02022</x:v>
      </x:c>
      <x:c r="C19" s="14" t="str">
        <x:f>'Shipment Validation'!E25</x:f>
        <x:v>Unknown Carrier</x:v>
      </x:c>
      <x:c r="D19" s="14" t="str">
        <x:f>TEXTJOIN("; ",TRUE,IF('Shipment Validation'!P25&lt;&gt;"OK",'Shipment Validation'!P25,""),IF('Shipment Validation'!Q25&lt;&gt;"OK",'Shipment Validation'!Q25,""),IF(AND('Shipment Validation'!R25&lt;&gt;"OK",'Shipment Validation'!R25&lt;&gt;"Not Tested"),'Shipment Validation'!R25,""),IF('Shipment Validation'!S25&lt;&gt;"OK",'Shipment Validation'!S25,""),IF('Shipment Validation'!T25&lt;&gt;"OK",'Shipment Validation'!T25,""),IF('Shipment Validation'!U25&lt;&gt;"OK",'Shipment Validation'!U25,""))</x:f>
        <x:v>Invalid Carrier; Missing POD</x:v>
      </x:c>
      <x:c r="E19" s="14" t="str">
        <x:f>IF('Shipment Validation'!W25="High Priority Review","High","Medium")</x:f>
        <x:v>High</x:v>
      </x:c>
      <x:c r="F19" s="14" t="str">
        <x:v>Logistics Admin</x:v>
      </x:c>
      <x:c r="G19" s="14" t="str">
        <x:v>Open</x:v>
      </x:c>
      <x:c r="H19" s="17" t="n">
        <x:f>DATE(2026,8,17)+IF(E19="High",1,3)</x:f>
        <x:v>46252</x:v>
      </x:c>
      <x:c r="I19" s="14" t="str">
        <x:f>'Shipment Validation'!X25</x:f>
        <x:v>Confirm approved carrier</x:v>
      </x:c>
      <x:c r="J19" s="14" t="str"/>
      <x:c r="K19" s="20"/>
      <x:c r="L19"/>
    </x:row>
    <x:row r="20">
      <x:c r="A20" s="16" t="str">
        <x:f>'Shipment Validation'!B27</x:f>
        <x:v>SHP-0024</x:v>
      </x:c>
      <x:c r="B20" s="16" t="str">
        <x:f>'Shipment Validation'!C27</x:f>
        <x:v>TRK-02024</x:v>
      </x:c>
      <x:c r="C20" s="16" t="str">
        <x:f>'Shipment Validation'!E27</x:f>
        <x:v>Archipelago Cargo</x:v>
      </x:c>
      <x:c r="D20" s="16" t="str">
        <x:f>TEXTJOIN("; ",TRUE,IF('Shipment Validation'!P27&lt;&gt;"OK",'Shipment Validation'!P27,""),IF('Shipment Validation'!Q27&lt;&gt;"OK",'Shipment Validation'!Q27,""),IF(AND('Shipment Validation'!R27&lt;&gt;"OK",'Shipment Validation'!R27&lt;&gt;"Not Tested"),'Shipment Validation'!R27,""),IF('Shipment Validation'!S27&lt;&gt;"OK",'Shipment Validation'!S27,""),IF('Shipment Validation'!T27&lt;&gt;"OK",'Shipment Validation'!T27,""),IF('Shipment Validation'!U27&lt;&gt;"OK",'Shipment Validation'!U27,""))</x:f>
        <x:v>Invalid SLA / Date</x:v>
      </x:c>
      <x:c r="E20" s="16" t="str">
        <x:f>IF('Shipment Validation'!W27="High Priority Review","High","Medium")</x:f>
        <x:v>Medium</x:v>
      </x:c>
      <x:c r="F20" s="16" t="str">
        <x:v>Logistics Admin</x:v>
      </x:c>
      <x:c r="G20" s="16" t="str">
        <x:v>Open</x:v>
      </x:c>
      <x:c r="H20" s="18" t="n">
        <x:f>DATE(2026,8,17)+IF(E20="High",1,3)</x:f>
        <x:v>46254</x:v>
      </x:c>
      <x:c r="I20" s="16" t="str">
        <x:f>'Shipment Validation'!X27</x:f>
        <x:v>Verify carrier SLA and shipment dates</x:v>
      </x:c>
      <x:c r="J20" s="16" t="str"/>
      <x:c r="K20" s="20"/>
      <x:c r="L20"/>
    </x:row>
    <x:row r="21">
      <x:c r="A21" s="14" t="str">
        <x:f>'Shipment Validation'!B28</x:f>
        <x:v>SHP-0025</x:v>
      </x:c>
      <x:c r="B21" s="14" t="str">
        <x:f>'Shipment Validation'!C28</x:f>
        <x:v>TRK-02025</x:v>
      </x:c>
      <x:c r="C21" s="14" t="str">
        <x:f>'Shipment Validation'!E28</x:f>
        <x:v>SwiftShip</x:v>
      </x:c>
      <x:c r="D21" s="14" t="str">
        <x:f>TEXTJOIN("; ",TRUE,IF('Shipment Validation'!P28&lt;&gt;"OK",'Shipment Validation'!P28,""),IF('Shipment Validation'!Q28&lt;&gt;"OK",'Shipment Validation'!Q28,""),IF(AND('Shipment Validation'!R28&lt;&gt;"OK",'Shipment Validation'!R28&lt;&gt;"Not Tested"),'Shipment Validation'!R28,""),IF('Shipment Validation'!S28&lt;&gt;"OK",'Shipment Validation'!S28,""),IF('Shipment Validation'!T28&lt;&gt;"OK",'Shipment Validation'!T28,""),IF('Shipment Validation'!U28&lt;&gt;"OK",'Shipment Validation'!U28,""))</x:f>
        <x:v>Overdue In Transit</x:v>
      </x:c>
      <x:c r="E21" s="14" t="str">
        <x:f>IF('Shipment Validation'!W28="High Priority Review","High","Medium")</x:f>
        <x:v>Medium</x:v>
      </x:c>
      <x:c r="F21" s="14" t="str">
        <x:v>Logistics Admin</x:v>
      </x:c>
      <x:c r="G21" s="14" t="str">
        <x:v>Open</x:v>
      </x:c>
      <x:c r="H21" s="17" t="n">
        <x:f>DATE(2026,8,17)+IF(E21="High",1,3)</x:f>
        <x:v>46254</x:v>
      </x:c>
      <x:c r="I21" s="14" t="str">
        <x:f>'Shipment Validation'!X28</x:f>
        <x:v>Send written delivery escalation</x:v>
      </x:c>
      <x:c r="J21" s="14" t="str"/>
      <x:c r="K21" s="20"/>
      <x:c r="L21"/>
    </x:row>
    <x:row r="22">
      <x:c r="A22" s="16" t="str">
        <x:f>'Shipment Validation'!B30</x:f>
        <x:v>SHP-0027</x:v>
      </x:c>
      <x:c r="B22" s="16" t="str">
        <x:f>'Shipment Validation'!C30</x:f>
        <x:v>TRK-02027</x:v>
      </x:c>
      <x:c r="C22" s="16" t="str">
        <x:f>'Shipment Validation'!E30</x:f>
        <x:v>Archipelago Cargo</x:v>
      </x:c>
      <x:c r="D22" s="16" t="str">
        <x:f>TEXTJOIN("; ",TRUE,IF('Shipment Validation'!P30&lt;&gt;"OK",'Shipment Validation'!P30,""),IF('Shipment Validation'!Q30&lt;&gt;"OK",'Shipment Validation'!Q30,""),IF(AND('Shipment Validation'!R30&lt;&gt;"OK",'Shipment Validation'!R30&lt;&gt;"Not Tested"),'Shipment Validation'!R30,""),IF('Shipment Validation'!S30&lt;&gt;"OK",'Shipment Validation'!S30,""),IF('Shipment Validation'!T30&lt;&gt;"OK",'Shipment Validation'!T30,""),IF('Shipment Validation'!U30&lt;&gt;"OK",'Shipment Validation'!U30,""))</x:f>
        <x:v>Invalid SLA / Date</x:v>
      </x:c>
      <x:c r="E22" s="16" t="str">
        <x:f>IF('Shipment Validation'!W30="High Priority Review","High","Medium")</x:f>
        <x:v>Medium</x:v>
      </x:c>
      <x:c r="F22" s="16" t="str">
        <x:v>Logistics Admin</x:v>
      </x:c>
      <x:c r="G22" s="16" t="str">
        <x:v>Open</x:v>
      </x:c>
      <x:c r="H22" s="18" t="n">
        <x:f>DATE(2026,8,17)+IF(E22="High",1,3)</x:f>
        <x:v>46254</x:v>
      </x:c>
      <x:c r="I22" s="16" t="str">
        <x:f>'Shipment Validation'!X30</x:f>
        <x:v>Verify carrier SLA and shipment dates</x:v>
      </x:c>
      <x:c r="J22" s="16" t="str"/>
      <x:c r="K22" s="20"/>
      <x:c r="L22"/>
    </x:row>
    <x:row r="23">
      <x:c r="A23" s="14" t="str">
        <x:f>'Shipment Validation'!B31</x:f>
        <x:v>SHP-0028</x:v>
      </x:c>
      <x:c r="B23" s="14" t="str">
        <x:f>'Shipment Validation'!C31</x:f>
        <x:v>TRK-02028</x:v>
      </x:c>
      <x:c r="C23" s="14" t="str">
        <x:f>'Shipment Validation'!E31</x:f>
        <x:v>SwiftShip</x:v>
      </x:c>
      <x:c r="D23" s="14" t="str">
        <x:f>TEXTJOIN("; ",TRUE,IF('Shipment Validation'!P31&lt;&gt;"OK",'Shipment Validation'!P31,""),IF('Shipment Validation'!Q31&lt;&gt;"OK",'Shipment Validation'!Q31,""),IF(AND('Shipment Validation'!R31&lt;&gt;"OK",'Shipment Validation'!R31&lt;&gt;"Not Tested"),'Shipment Validation'!R31,""),IF('Shipment Validation'!S31&lt;&gt;"OK",'Shipment Validation'!S31,""),IF('Shipment Validation'!T31&lt;&gt;"OK",'Shipment Validation'!T31,""),IF('Shipment Validation'!U31&lt;&gt;"OK",'Shipment Validation'!U31,""))</x:f>
        <x:v>Late Delivery</x:v>
      </x:c>
      <x:c r="E23" s="14" t="str">
        <x:f>IF('Shipment Validation'!W31="High Priority Review","High","Medium")</x:f>
        <x:v>Medium</x:v>
      </x:c>
      <x:c r="F23" s="14" t="str">
        <x:v>Logistics Admin</x:v>
      </x:c>
      <x:c r="G23" s="14" t="str">
        <x:v>Open</x:v>
      </x:c>
      <x:c r="H23" s="17" t="n">
        <x:f>DATE(2026,8,17)+IF(E23="High",1,3)</x:f>
        <x:v>46254</x:v>
      </x:c>
      <x:c r="I23" s="14" t="str">
        <x:f>'Shipment Validation'!X31</x:f>
        <x:v>Send written delivery escalation</x:v>
      </x:c>
      <x:c r="J23" s="14" t="str"/>
      <x:c r="K23" s="20"/>
      <x:c r="L23"/>
    </x:row>
    <x:row r="24">
      <x:c r="A24" s="16" t="str">
        <x:f>'Shipment Validation'!B33</x:f>
        <x:v>SHP-0030</x:v>
      </x:c>
      <x:c r="B24" s="16" t="str">
        <x:f>'Shipment Validation'!C33</x:f>
        <x:v>TRK-02030</x:v>
      </x:c>
      <x:c r="C24" s="16" t="str">
        <x:f>'Shipment Validation'!E33</x:f>
        <x:v>Archipelago Cargo</x:v>
      </x:c>
      <x:c r="D24" s="16" t="str">
        <x:f>TEXTJOIN("; ",TRUE,IF('Shipment Validation'!P33&lt;&gt;"OK",'Shipment Validation'!P33,""),IF('Shipment Validation'!Q33&lt;&gt;"OK",'Shipment Validation'!Q33,""),IF(AND('Shipment Validation'!R33&lt;&gt;"OK",'Shipment Validation'!R33&lt;&gt;"Not Tested"),'Shipment Validation'!R33,""),IF('Shipment Validation'!S33&lt;&gt;"OK",'Shipment Validation'!S33,""),IF('Shipment Validation'!T33&lt;&gt;"OK",'Shipment Validation'!T33,""),IF('Shipment Validation'!U33&lt;&gt;"OK",'Shipment Validation'!U33,""))</x:f>
        <x:v>Invalid SLA / Date; Overdue In Transit; Stale Update</x:v>
      </x:c>
      <x:c r="E24" s="16" t="str">
        <x:f>IF('Shipment Validation'!W33="High Priority Review","High","Medium")</x:f>
        <x:v>Medium</x:v>
      </x:c>
      <x:c r="F24" s="16" t="str">
        <x:v>Logistics Admin</x:v>
      </x:c>
      <x:c r="G24" s="16" t="str">
        <x:v>Open</x:v>
      </x:c>
      <x:c r="H24" s="18" t="n">
        <x:f>DATE(2026,8,17)+IF(E24="High",1,3)</x:f>
        <x:v>46254</x:v>
      </x:c>
      <x:c r="I24" s="16" t="str">
        <x:f>'Shipment Validation'!X33</x:f>
        <x:v>Verify carrier SLA and shipment dates</x:v>
      </x:c>
      <x:c r="J24" s="16" t="str"/>
      <x:c r="K24" s="20"/>
      <x:c r="L24"/>
    </x:row>
    <x:row r="25">
      <x:c r="A25" s="14" t="str">
        <x:f>'Shipment Validation'!B36</x:f>
        <x:v>SHP-0033</x:v>
      </x:c>
      <x:c r="B25" s="14" t="str">
        <x:f>'Shipment Validation'!C36</x:f>
        <x:v>TRK-02033</x:v>
      </x:c>
      <x:c r="C25" s="14" t="str">
        <x:f>'Shipment Validation'!E36</x:f>
        <x:v>Archipelago Cargo</x:v>
      </x:c>
      <x:c r="D25" s="14" t="str">
        <x:f>TEXTJOIN("; ",TRUE,IF('Shipment Validation'!P36&lt;&gt;"OK",'Shipment Validation'!P36,""),IF('Shipment Validation'!Q36&lt;&gt;"OK",'Shipment Validation'!Q36,""),IF(AND('Shipment Validation'!R36&lt;&gt;"OK",'Shipment Validation'!R36&lt;&gt;"Not Tested"),'Shipment Validation'!R36,""),IF('Shipment Validation'!S36&lt;&gt;"OK",'Shipment Validation'!S36,""),IF('Shipment Validation'!T36&lt;&gt;"OK",'Shipment Validation'!T36,""),IF('Shipment Validation'!U36&lt;&gt;"OK",'Shipment Validation'!U36,""))</x:f>
        <x:v>Invalid SLA / Date; Missing POD</x:v>
      </x:c>
      <x:c r="E25" s="14" t="str">
        <x:f>IF('Shipment Validation'!W36="High Priority Review","High","Medium")</x:f>
        <x:v>Medium</x:v>
      </x:c>
      <x:c r="F25" s="14" t="str">
        <x:v>Logistics Admin</x:v>
      </x:c>
      <x:c r="G25" s="14" t="str">
        <x:v>Open</x:v>
      </x:c>
      <x:c r="H25" s="17" t="n">
        <x:f>DATE(2026,8,17)+IF(E25="High",1,3)</x:f>
        <x:v>46254</x:v>
      </x:c>
      <x:c r="I25" s="14" t="str">
        <x:f>'Shipment Validation'!X36</x:f>
        <x:v>Verify carrier SLA and shipment dates</x:v>
      </x:c>
      <x:c r="J25" s="14" t="str"/>
      <x:c r="K25" s="20"/>
      <x:c r="L25"/>
    </x:row>
    <x:row r="26">
      <x:c r="A26" s="16" t="str">
        <x:f>'Shipment Validation'!B38</x:f>
        <x:v>SHP-0035</x:v>
      </x:c>
      <x:c r="B26" s="16" t="str">
        <x:f>'Shipment Validation'!C38</x:f>
        <x:v>TRK-02035</x:v>
      </x:c>
      <x:c r="C26" s="16" t="str">
        <x:f>'Shipment Validation'!E38</x:f>
        <x:v>Nusa Express</x:v>
      </x:c>
      <x:c r="D26" s="16" t="str">
        <x:f>TEXTJOIN("; ",TRUE,IF('Shipment Validation'!P38&lt;&gt;"OK",'Shipment Validation'!P38,""),IF('Shipment Validation'!Q38&lt;&gt;"OK",'Shipment Validation'!Q38,""),IF(AND('Shipment Validation'!R38&lt;&gt;"OK",'Shipment Validation'!R38&lt;&gt;"Not Tested"),'Shipment Validation'!R38,""),IF('Shipment Validation'!S38&lt;&gt;"OK",'Shipment Validation'!S38,""),IF('Shipment Validation'!T38&lt;&gt;"OK",'Shipment Validation'!T38,""),IF('Shipment Validation'!U38&lt;&gt;"OK",'Shipment Validation'!U38,""))</x:f>
        <x:v>Overdue In Transit</x:v>
      </x:c>
      <x:c r="E26" s="16" t="str">
        <x:f>IF('Shipment Validation'!W38="High Priority Review","High","Medium")</x:f>
        <x:v>Medium</x:v>
      </x:c>
      <x:c r="F26" s="16" t="str">
        <x:v>Logistics Admin</x:v>
      </x:c>
      <x:c r="G26" s="16" t="str">
        <x:v>Open</x:v>
      </x:c>
      <x:c r="H26" s="18" t="n">
        <x:f>DATE(2026,8,17)+IF(E26="High",1,3)</x:f>
        <x:v>46254</x:v>
      </x:c>
      <x:c r="I26" s="16" t="str">
        <x:f>'Shipment Validation'!X38</x:f>
        <x:v>Send written delivery escalation</x:v>
      </x:c>
      <x:c r="J26" s="16" t="str"/>
      <x:c r="K26" s="20"/>
      <x:c r="L26"/>
    </x:row>
    <x:row r="27">
      <x:c r="A27" s="14" t="str">
        <x:f>'Shipment Validation'!B39</x:f>
        <x:v>SHP-0036</x:v>
      </x:c>
      <x:c r="B27" s="14" t="str">
        <x:f>'Shipment Validation'!C39</x:f>
        <x:v>TRK-02036</x:v>
      </x:c>
      <x:c r="C27" s="14" t="str">
        <x:f>'Shipment Validation'!E39</x:f>
        <x:v>Archipelago Cargo</x:v>
      </x:c>
      <x:c r="D27" s="14" t="str">
        <x:f>TEXTJOIN("; ",TRUE,IF('Shipment Validation'!P39&lt;&gt;"OK",'Shipment Validation'!P39,""),IF('Shipment Validation'!Q39&lt;&gt;"OK",'Shipment Validation'!Q39,""),IF(AND('Shipment Validation'!R39&lt;&gt;"OK",'Shipment Validation'!R39&lt;&gt;"Not Tested"),'Shipment Validation'!R39,""),IF('Shipment Validation'!S39&lt;&gt;"OK",'Shipment Validation'!S39,""),IF('Shipment Validation'!T39&lt;&gt;"OK",'Shipment Validation'!T39,""),IF('Shipment Validation'!U39&lt;&gt;"OK",'Shipment Validation'!U39,""))</x:f>
        <x:v>Invalid SLA / Date</x:v>
      </x:c>
      <x:c r="E27" s="14" t="str">
        <x:f>IF('Shipment Validation'!W39="High Priority Review","High","Medium")</x:f>
        <x:v>Medium</x:v>
      </x:c>
      <x:c r="F27" s="14" t="str">
        <x:v>Logistics Admin</x:v>
      </x:c>
      <x:c r="G27" s="14" t="str">
        <x:v>Open</x:v>
      </x:c>
      <x:c r="H27" s="17" t="n">
        <x:f>DATE(2026,8,17)+IF(E27="High",1,3)</x:f>
        <x:v>46254</x:v>
      </x:c>
      <x:c r="I27" s="14" t="str">
        <x:f>'Shipment Validation'!X39</x:f>
        <x:v>Verify carrier SLA and shipment dates</x:v>
      </x:c>
      <x:c r="J27" s="14" t="str"/>
      <x:c r="K27" s="20"/>
      <x:c r="L27"/>
    </x:row>
    <x:row r="28">
      <x:c r="A28" s="16" t="str">
        <x:f>'Shipment Validation'!B42</x:f>
        <x:v>SHP-0039</x:v>
      </x:c>
      <x:c r="B28" s="16" t="str">
        <x:f>'Shipment Validation'!C42</x:f>
        <x:v>TRK-02039</x:v>
      </x:c>
      <x:c r="C28" s="16" t="str">
        <x:f>'Shipment Validation'!E42</x:f>
        <x:v>Archipelago Cargo</x:v>
      </x:c>
      <x:c r="D28" s="16" t="str">
        <x:f>TEXTJOIN("; ",TRUE,IF('Shipment Validation'!P42&lt;&gt;"OK",'Shipment Validation'!P42,""),IF('Shipment Validation'!Q42&lt;&gt;"OK",'Shipment Validation'!Q42,""),IF(AND('Shipment Validation'!R42&lt;&gt;"OK",'Shipment Validation'!R42&lt;&gt;"Not Tested"),'Shipment Validation'!R42,""),IF('Shipment Validation'!S42&lt;&gt;"OK",'Shipment Validation'!S42,""),IF('Shipment Validation'!T42&lt;&gt;"OK",'Shipment Validation'!T42,""),IF('Shipment Validation'!U42&lt;&gt;"OK",'Shipment Validation'!U42,""))</x:f>
        <x:v>Invalid SLA / Date</x:v>
      </x:c>
      <x:c r="E28" s="16" t="str">
        <x:f>IF('Shipment Validation'!W42="High Priority Review","High","Medium")</x:f>
        <x:v>Medium</x:v>
      </x:c>
      <x:c r="F28" s="16" t="str">
        <x:v>Logistics Admin</x:v>
      </x:c>
      <x:c r="G28" s="16" t="str">
        <x:v>Open</x:v>
      </x:c>
      <x:c r="H28" s="18" t="n">
        <x:f>DATE(2026,8,17)+IF(E28="High",1,3)</x:f>
        <x:v>46254</x:v>
      </x:c>
      <x:c r="I28" s="16" t="str">
        <x:f>'Shipment Validation'!X42</x:f>
        <x:v>Verify carrier SLA and shipment dates</x:v>
      </x:c>
      <x:c r="J28" s="16" t="str"/>
      <x:c r="K28" s="20"/>
      <x:c r="L28"/>
    </x:row>
    <x:row r="29">
      <x:c r="A29" s="14" t="str">
        <x:f>'Shipment Validation'!B43</x:f>
        <x:v>SHP-0040</x:v>
      </x:c>
      <x:c r="B29" s="14" t="str">
        <x:f>'Shipment Validation'!C43</x:f>
        <x:v>TRK-02040</x:v>
      </x:c>
      <x:c r="C29" s="14" t="str">
        <x:f>'Shipment Validation'!E43</x:f>
        <x:v>SwiftShip</x:v>
      </x:c>
      <x:c r="D29" s="14" t="str">
        <x:f>TEXTJOIN("; ",TRUE,IF('Shipment Validation'!P43&lt;&gt;"OK",'Shipment Validation'!P43,""),IF('Shipment Validation'!Q43&lt;&gt;"OK",'Shipment Validation'!Q43,""),IF(AND('Shipment Validation'!R43&lt;&gt;"OK",'Shipment Validation'!R43&lt;&gt;"Not Tested"),'Shipment Validation'!R43,""),IF('Shipment Validation'!S43&lt;&gt;"OK",'Shipment Validation'!S43,""),IF('Shipment Validation'!T43&lt;&gt;"OK",'Shipment Validation'!T43,""),IF('Shipment Validation'!U43&lt;&gt;"OK",'Shipment Validation'!U43,""))</x:f>
        <x:v>Overdue In Transit</x:v>
      </x:c>
      <x:c r="E29" s="14" t="str">
        <x:f>IF('Shipment Validation'!W43="High Priority Review","High","Medium")</x:f>
        <x:v>Medium</x:v>
      </x:c>
      <x:c r="F29" s="14" t="str">
        <x:v>Logistics Admin</x:v>
      </x:c>
      <x:c r="G29" s="14" t="str">
        <x:v>Open</x:v>
      </x:c>
      <x:c r="H29" s="17" t="n">
        <x:f>DATE(2026,8,17)+IF(E29="High",1,3)</x:f>
        <x:v>46254</x:v>
      </x:c>
      <x:c r="I29" s="14" t="str">
        <x:f>'Shipment Validation'!X43</x:f>
        <x:v>Send written delivery escalation</x:v>
      </x:c>
      <x:c r="J29" s="14" t="str"/>
      <x:c r="K29" s="20"/>
      <x:c r="L29"/>
    </x:row>
    <x:row r="30">
      <x:c r="A30" s="16" t="str">
        <x:f>'Shipment Validation'!B45</x:f>
        <x:v>SHP-0042</x:v>
      </x:c>
      <x:c r="B30" s="16" t="str">
        <x:f>'Shipment Validation'!C45</x:f>
        <x:v>TRK-02042</x:v>
      </x:c>
      <x:c r="C30" s="16" t="str">
        <x:f>'Shipment Validation'!E45</x:f>
        <x:v>Archipelago Cargo</x:v>
      </x:c>
      <x:c r="D30" s="16" t="str">
        <x:f>TEXTJOIN("; ",TRUE,IF('Shipment Validation'!P45&lt;&gt;"OK",'Shipment Validation'!P45,""),IF('Shipment Validation'!Q45&lt;&gt;"OK",'Shipment Validation'!Q45,""),IF(AND('Shipment Validation'!R45&lt;&gt;"OK",'Shipment Validation'!R45&lt;&gt;"Not Tested"),'Shipment Validation'!R45,""),IF('Shipment Validation'!S45&lt;&gt;"OK",'Shipment Validation'!S45,""),IF('Shipment Validation'!T45&lt;&gt;"OK",'Shipment Validation'!T45,""),IF('Shipment Validation'!U45&lt;&gt;"OK",'Shipment Validation'!U45,""))</x:f>
        <x:v>Invalid SLA / Date; Late Delivery</x:v>
      </x:c>
      <x:c r="E30" s="16" t="str">
        <x:f>IF('Shipment Validation'!W45="High Priority Review","High","Medium")</x:f>
        <x:v>Medium</x:v>
      </x:c>
      <x:c r="F30" s="16" t="str">
        <x:v>Logistics Admin</x:v>
      </x:c>
      <x:c r="G30" s="16" t="str">
        <x:v>Open</x:v>
      </x:c>
      <x:c r="H30" s="18" t="n">
        <x:f>DATE(2026,8,17)+IF(E30="High",1,3)</x:f>
        <x:v>46254</x:v>
      </x:c>
      <x:c r="I30" s="16" t="str">
        <x:f>'Shipment Validation'!X45</x:f>
        <x:v>Verify carrier SLA and shipment dates</x:v>
      </x:c>
      <x:c r="J30" s="16" t="str"/>
      <x:c r="K30" s="20"/>
      <x:c r="L30"/>
    </x:row>
    <x:row r="31">
      <x:c r="A31" s="14" t="str">
        <x:f>'Shipment Validation'!B47</x:f>
        <x:v>SHP-0044</x:v>
      </x:c>
      <x:c r="B31" s="14" t="str">
        <x:f>'Shipment Validation'!C47</x:f>
        <x:v>TRK-02044</x:v>
      </x:c>
      <x:c r="C31" s="14" t="str">
        <x:f>'Shipment Validation'!E47</x:f>
        <x:v>Nusa Express</x:v>
      </x:c>
      <x:c r="D31" s="14" t="str">
        <x:f>TEXTJOIN("; ",TRUE,IF('Shipment Validation'!P47&lt;&gt;"OK",'Shipment Validation'!P47,""),IF('Shipment Validation'!Q47&lt;&gt;"OK",'Shipment Validation'!Q47,""),IF(AND('Shipment Validation'!R47&lt;&gt;"OK",'Shipment Validation'!R47&lt;&gt;"Not Tested"),'Shipment Validation'!R47,""),IF('Shipment Validation'!S47&lt;&gt;"OK",'Shipment Validation'!S47,""),IF('Shipment Validation'!T47&lt;&gt;"OK",'Shipment Validation'!T47,""),IF('Shipment Validation'!U47&lt;&gt;"OK",'Shipment Validation'!U47,""))</x:f>
        <x:v>Missing POD</x:v>
      </x:c>
      <x:c r="E31" s="14" t="str">
        <x:f>IF('Shipment Validation'!W47="High Priority Review","High","Medium")</x:f>
        <x:v>Medium</x:v>
      </x:c>
      <x:c r="F31" s="14" t="str">
        <x:v>Logistics Admin</x:v>
      </x:c>
      <x:c r="G31" s="14" t="str">
        <x:v>Open</x:v>
      </x:c>
      <x:c r="H31" s="17" t="n">
        <x:f>DATE(2026,8,17)+IF(E31="High",1,3)</x:f>
        <x:v>46254</x:v>
      </x:c>
      <x:c r="I31" s="14" t="str">
        <x:f>'Shipment Validation'!X47</x:f>
        <x:v>Request proof of delivery</x:v>
      </x:c>
      <x:c r="J31" s="14" t="str"/>
      <x:c r="K31" s="20"/>
      <x:c r="L31"/>
    </x:row>
    <x:row r="32">
      <x:c r="A32" s="16" t="str">
        <x:f>'Shipment Validation'!B48</x:f>
        <x:v>SHP-0045</x:v>
      </x:c>
      <x:c r="B32" s="16" t="str">
        <x:f>'Shipment Validation'!C48</x:f>
        <x:v>TRK-02045</x:v>
      </x:c>
      <x:c r="C32" s="16" t="str">
        <x:f>'Shipment Validation'!E48</x:f>
        <x:v>Archipelago Cargo</x:v>
      </x:c>
      <x:c r="D32" s="16" t="str">
        <x:f>TEXTJOIN("; ",TRUE,IF('Shipment Validation'!P48&lt;&gt;"OK",'Shipment Validation'!P48,""),IF('Shipment Validation'!Q48&lt;&gt;"OK",'Shipment Validation'!Q48,""),IF(AND('Shipment Validation'!R48&lt;&gt;"OK",'Shipment Validation'!R48&lt;&gt;"Not Tested"),'Shipment Validation'!R48,""),IF('Shipment Validation'!S48&lt;&gt;"OK",'Shipment Validation'!S48,""),IF('Shipment Validation'!T48&lt;&gt;"OK",'Shipment Validation'!T48,""),IF('Shipment Validation'!U48&lt;&gt;"OK",'Shipment Validation'!U48,""))</x:f>
        <x:v>Invalid SLA / Date; Overdue In Transit; Stale Update</x:v>
      </x:c>
      <x:c r="E32" s="16" t="str">
        <x:f>IF('Shipment Validation'!W48="High Priority Review","High","Medium")</x:f>
        <x:v>Medium</x:v>
      </x:c>
      <x:c r="F32" s="16" t="str">
        <x:v>Logistics Admin</x:v>
      </x:c>
      <x:c r="G32" s="16" t="str">
        <x:v>Open</x:v>
      </x:c>
      <x:c r="H32" s="18" t="n">
        <x:f>DATE(2026,8,17)+IF(E32="High",1,3)</x:f>
        <x:v>46254</x:v>
      </x:c>
      <x:c r="I32" s="16" t="str">
        <x:f>'Shipment Validation'!X48</x:f>
        <x:v>Verify carrier SLA and shipment dates</x:v>
      </x:c>
      <x:c r="J32" s="16" t="str"/>
      <x:c r="K32" s="20"/>
      <x:c r="L32"/>
    </x:row>
    <x:row r="33">
      <x:c r="A33" s="14" t="str">
        <x:f>'Shipment Validation'!B51</x:f>
        <x:v>SHP-0048</x:v>
      </x:c>
      <x:c r="B33" s="14" t="str">
        <x:f>'Shipment Validation'!C51</x:f>
        <x:v>TRK-02048</x:v>
      </x:c>
      <x:c r="C33" s="14" t="str">
        <x:f>'Shipment Validation'!E51</x:f>
        <x:v>Archipelago Cargo</x:v>
      </x:c>
      <x:c r="D33" s="14" t="str">
        <x:f>TEXTJOIN("; ",TRUE,IF('Shipment Validation'!P51&lt;&gt;"OK",'Shipment Validation'!P51,""),IF('Shipment Validation'!Q51&lt;&gt;"OK",'Shipment Validation'!Q51,""),IF(AND('Shipment Validation'!R51&lt;&gt;"OK",'Shipment Validation'!R51&lt;&gt;"Not Tested"),'Shipment Validation'!R51,""),IF('Shipment Validation'!S51&lt;&gt;"OK",'Shipment Validation'!S51,""),IF('Shipment Validation'!T51&lt;&gt;"OK",'Shipment Validation'!T51,""),IF('Shipment Validation'!U51&lt;&gt;"OK",'Shipment Validation'!U51,""))</x:f>
        <x:v>Invalid SLA / Date</x:v>
      </x:c>
      <x:c r="E33" s="14" t="str">
        <x:f>IF('Shipment Validation'!W51="High Priority Review","High","Medium")</x:f>
        <x:v>Medium</x:v>
      </x:c>
      <x:c r="F33" s="14" t="str">
        <x:v>Logistics Admin</x:v>
      </x:c>
      <x:c r="G33" s="14" t="str">
        <x:v>Open</x:v>
      </x:c>
      <x:c r="H33" s="17" t="n">
        <x:f>DATE(2026,8,17)+IF(E33="High",1,3)</x:f>
        <x:v>46254</x:v>
      </x:c>
      <x:c r="I33" s="14" t="str">
        <x:f>'Shipment Validation'!X51</x:f>
        <x:v>Verify carrier SLA and shipment dates</x:v>
      </x:c>
      <x:c r="J33" s="14" t="str"/>
      <x:c r="K33" s="20"/>
      <x:c r="L33"/>
    </x:row>
    <x:row r="34">
      <x:c r="A34" s="16" t="str">
        <x:f>'Shipment Validation'!B52</x:f>
        <x:v>SHP-0049</x:v>
      </x:c>
      <x:c r="B34" s="16" t="str">
        <x:f>'Shipment Validation'!C52</x:f>
        <x:v>TRK-02049</x:v>
      </x:c>
      <x:c r="C34" s="16" t="str">
        <x:f>'Shipment Validation'!E52</x:f>
        <x:v>SwiftShip</x:v>
      </x:c>
      <x:c r="D34" s="16" t="str">
        <x:f>TEXTJOIN("; ",TRUE,IF('Shipment Validation'!P52&lt;&gt;"OK",'Shipment Validation'!P52,""),IF('Shipment Validation'!Q52&lt;&gt;"OK",'Shipment Validation'!Q52,""),IF(AND('Shipment Validation'!R52&lt;&gt;"OK",'Shipment Validation'!R52&lt;&gt;"Not Tested"),'Shipment Validation'!R52,""),IF('Shipment Validation'!S52&lt;&gt;"OK",'Shipment Validation'!S52,""),IF('Shipment Validation'!T52&lt;&gt;"OK",'Shipment Validation'!T52,""),IF('Shipment Validation'!U52&lt;&gt;"OK",'Shipment Validation'!U52,""))</x:f>
        <x:v>Late Delivery</x:v>
      </x:c>
      <x:c r="E34" s="16" t="str">
        <x:f>IF('Shipment Validation'!W52="High Priority Review","High","Medium")</x:f>
        <x:v>Medium</x:v>
      </x:c>
      <x:c r="F34" s="16" t="str">
        <x:v>Logistics Admin</x:v>
      </x:c>
      <x:c r="G34" s="16" t="str">
        <x:v>Open</x:v>
      </x:c>
      <x:c r="H34" s="18" t="n">
        <x:f>DATE(2026,8,17)+IF(E34="High",1,3)</x:f>
        <x:v>46254</x:v>
      </x:c>
      <x:c r="I34" s="16" t="str">
        <x:f>'Shipment Validation'!X52</x:f>
        <x:v>Send written delivery escalation</x:v>
      </x:c>
      <x:c r="J34" s="16" t="str"/>
      <x:c r="K34" s="20"/>
      <x:c r="L34"/>
    </x:row>
    <x:row r="35">
      <x:c r="A35" s="14" t="str">
        <x:f>'Shipment Validation'!B53</x:f>
        <x:v>SHP-0050</x:v>
      </x:c>
      <x:c r="B35" s="14" t="str">
        <x:f>'Shipment Validation'!C53</x:f>
        <x:v>TRK-02050</x:v>
      </x:c>
      <x:c r="C35" s="14" t="str">
        <x:f>'Shipment Validation'!E53</x:f>
        <x:v>Nusa Express</x:v>
      </x:c>
      <x:c r="D35" s="14" t="str">
        <x:f>TEXTJOIN("; ",TRUE,IF('Shipment Validation'!P53&lt;&gt;"OK",'Shipment Validation'!P53,""),IF('Shipment Validation'!Q53&lt;&gt;"OK",'Shipment Validation'!Q53,""),IF(AND('Shipment Validation'!R53&lt;&gt;"OK",'Shipment Validation'!R53&lt;&gt;"Not Tested"),'Shipment Validation'!R53,""),IF('Shipment Validation'!S53&lt;&gt;"OK",'Shipment Validation'!S53,""),IF('Shipment Validation'!T53&lt;&gt;"OK",'Shipment Validation'!T53,""),IF('Shipment Validation'!U53&lt;&gt;"OK",'Shipment Validation'!U53,""))</x:f>
        <x:v>Overdue In Transit</x:v>
      </x:c>
      <x:c r="E35" s="14" t="str">
        <x:f>IF('Shipment Validation'!W53="High Priority Review","High","Medium")</x:f>
        <x:v>Medium</x:v>
      </x:c>
      <x:c r="F35" s="14" t="str">
        <x:v>Logistics Admin</x:v>
      </x:c>
      <x:c r="G35" s="14" t="str">
        <x:v>Open</x:v>
      </x:c>
      <x:c r="H35" s="17" t="n">
        <x:f>DATE(2026,8,17)+IF(E35="High",1,3)</x:f>
        <x:v>46254</x:v>
      </x:c>
      <x:c r="I35" s="14" t="str">
        <x:f>'Shipment Validation'!X53</x:f>
        <x:v>Send written delivery escalation</x:v>
      </x:c>
      <x:c r="J35" s="14" t="str"/>
      <x:c r="K35" s="20"/>
      <x:c r="L35"/>
    </x:row>
  </x:sheetData>
  <x:mergeCells>
    <x:mergeCell ref="A1:L1"/>
    <x:mergeCell ref="A2:L2"/>
  </x:mergeCells>
  <x:dataValidations count="3">
    <x:dataValidation type="list" sqref="E5:E35">
      <x:formula1>"High,Medium,Low"</x:formula1>
    </x:dataValidation>
    <x:dataValidation type="list" sqref="F5:F35">
      <x:formula1>"Logistics Admin,Carrier Coordinator,Warehouse Admin"</x:formula1>
    </x:dataValidation>
    <x:dataValidation type="list" sqref="G5:G35">
      <x:formula1>"Open,In Progress,Waiting,Resolved"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72" hidden="0" customWidth="1"/>
    <x:col min="5" max="5" width="26" hidden="0" customWidth="1"/>
    <x:col min="6" max="6" width="36" hidden="0" customWidth="1"/>
  </x:cols>
  <x:sheetData>
    <x:row r="1" ht="36" customHeight="1">
      <x:c r="A1" s="3" t="str">
        <x:v>PROJ-007 | WRITTEN COMMUNICATION TEMPLATES</x:v>
      </x:c>
      <x:c r="B1" s="3"/>
      <x:c r="C1" s="3"/>
      <x:c r="D1" s="3"/>
      <x:c r="E1" s="3"/>
      <x:c r="F1" s="3"/>
    </x:row>
    <x:row r="2" ht="25" customHeight="1">
      <x:c r="A2" s="6" t="str">
        <x:v>No cold calling • email and task-based logistics follow-up</x:v>
      </x:c>
      <x:c r="B2" s="6"/>
      <x:c r="C2" s="6"/>
      <x:c r="D2" s="6"/>
      <x:c r="E2" s="6"/>
      <x:c r="F2" s="6"/>
    </x:row>
    <x:row r="4" ht="32" customHeight="1">
      <x:c r="A4" s="12" t="str">
        <x:v>Scenario</x:v>
      </x:c>
      <x:c r="B4" s="12" t="str">
        <x:v>Channel</x:v>
      </x:c>
      <x:c r="C4" s="12" t="str">
        <x:v>Subject / Task</x:v>
      </x:c>
      <x:c r="D4" s="12" t="str">
        <x:v>Message Template</x:v>
      </x:c>
      <x:c r="E4" s="12" t="str">
        <x:v>Evidence</x:v>
      </x:c>
      <x:c r="F4" s="12" t="str">
        <x:v>Escalation Rule</x:v>
      </x:c>
    </x:row>
    <x:row r="5" ht="42" customHeight="1">
      <x:c r="A5" s="168" t="str">
        <x:v>Late delivery</x:v>
      </x:c>
      <x:c r="B5" s="168" t="str">
        <x:v>Email / task</x:v>
      </x:c>
      <x:c r="C5" s="168" t="str">
        <x:v>Delivery status request — [Shipment ID]</x:v>
      </x:c>
      <x:c r="D5" s="168" t="str">
        <x:v>Please confirm the current delivery status, reason for delay, and revised ETA in writing.</x:v>
      </x:c>
      <x:c r="E5" s="168" t="str">
        <x:v>Carrier response</x:v>
      </x:c>
      <x:c r="F5" s="168" t="str">
        <x:v>Escalate after 1 business day</x:v>
      </x:c>
    </x:row>
    <x:row r="6" ht="42" customHeight="1">
      <x:c r="A6" s="169" t="str">
        <x:v>Stale tracking</x:v>
      </x:c>
      <x:c r="B6" s="169" t="str">
        <x:v>Carrier portal / email</x:v>
      </x:c>
      <x:c r="C6" s="169" t="str">
        <x:v>Tracking update required — [Tracking ID]</x:v>
      </x:c>
      <x:c r="D6" s="169" t="str">
        <x:v>Please provide the latest scan location and next expected movement.</x:v>
      </x:c>
      <x:c r="E6" s="169" t="str">
        <x:v>Written tracking update</x:v>
      </x:c>
      <x:c r="F6" s="169" t="str">
        <x:v>Escalate when no update &gt;2 days</x:v>
      </x:c>
    </x:row>
    <x:row r="7" ht="42" customHeight="1">
      <x:c r="A7" s="168" t="str">
        <x:v>Missing POD</x:v>
      </x:c>
      <x:c r="B7" s="168" t="str">
        <x:v>Email / secure task</x:v>
      </x:c>
      <x:c r="C7" s="168" t="str">
        <x:v>Proof of delivery request — [Shipment ID]</x:v>
      </x:c>
      <x:c r="D7" s="168" t="str">
        <x:v>Please provide the approved proof-of-delivery document through the secure channel.</x:v>
      </x:c>
      <x:c r="E7" s="168" t="str">
        <x:v>POD file</x:v>
      </x:c>
      <x:c r="F7" s="168" t="str">
        <x:v>Escalate after due date</x:v>
      </x:c>
    </x:row>
    <x:row r="8" ht="42" customHeight="1">
      <x:c r="A8" s="169" t="str">
        <x:v>Duplicate tracking</x:v>
      </x:c>
      <x:c r="B8" s="169" t="str">
        <x:v>Internal task</x:v>
      </x:c>
      <x:c r="C8" s="169" t="str">
        <x:v>Tracking ID verification</x:v>
      </x:c>
      <x:c r="D8" s="169" t="str">
        <x:v>Please verify the correct tracking ID against the carrier booking record.</x:v>
      </x:c>
      <x:c r="E8" s="169" t="str">
        <x:v>Booking record</x:v>
      </x:c>
      <x:c r="F8" s="169" t="str">
        <x:v>Do not overwrite source</x:v>
      </x:c>
    </x:row>
    <x:row r="9" ht="42" customHeight="1">
      <x:c r="A9" s="168" t="str">
        <x:v>Invalid carrier</x:v>
      </x:c>
      <x:c r="B9" s="168" t="str">
        <x:v>Internal task</x:v>
      </x:c>
      <x:c r="C9" s="168" t="str">
        <x:v>Carrier master confirmation</x:v>
      </x:c>
      <x:c r="D9" s="168" t="str">
        <x:v>Please confirm the approved carrier name using the controlled reference.</x:v>
      </x:c>
      <x:c r="E9" s="168" t="str">
        <x:v>Carrier master</x:v>
      </x:c>
      <x:c r="F9" s="168" t="str">
        <x:v>Correct only from approved source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6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6" customHeight="1">
      <x:c r="A1" s="3" t="str">
        <x:v>PROJ-007 | LOGISTICS ADMIN SOP</x:v>
      </x:c>
      <x:c r="B1" s="3"/>
      <x:c r="C1" s="3"/>
      <x:c r="D1" s="3"/>
      <x:c r="E1" s="3"/>
      <x:c r="F1" s="3"/>
    </x:row>
    <x:row r="2" ht="25" customHeight="1">
      <x:c r="A2" s="6" t="str">
        <x:v>Accurate remote shipment monitoring with privacy-aware written escalation</x:v>
      </x:c>
      <x:c r="B2" s="6"/>
      <x:c r="C2" s="6"/>
      <x:c r="D2" s="6"/>
      <x:c r="E2" s="6"/>
      <x:c r="F2" s="6"/>
    </x:row>
    <x:row r="4" ht="32" customHeight="1">
      <x:c r="A4" s="12" t="str">
        <x:v>Step</x:v>
      </x:c>
      <x:c r="B4" s="12" t="str">
        <x:v>Control</x:v>
      </x:c>
      <x:c r="C4" s="12" t="str">
        <x:v>Procedure</x:v>
      </x:c>
      <x:c r="D4" s="12" t="str">
        <x:v>Evidence</x:v>
      </x:c>
      <x:c r="E4" s="12" t="str">
        <x:v>Owner</x:v>
      </x:c>
      <x:c r="F4" s="12" t="str">
        <x:v>Completion Standard</x:v>
      </x:c>
    </x:row>
    <x:row r="5">
      <x:c r="A5" s="170" t="n">
        <x:v>1</x:v>
      </x:c>
      <x:c r="B5" s="14" t="str">
        <x:v>Preserve shipment intake</x:v>
      </x:c>
      <x:c r="C5" s="14" t="str">
        <x:v>Keep original carrier export unchanged</x:v>
      </x:c>
      <x:c r="D5" s="14" t="str">
        <x:v>Raw register</x:v>
      </x:c>
      <x:c r="E5" s="14" t="str">
        <x:v>Logistics Admin</x:v>
      </x:c>
      <x:c r="F5" s="14" t="str">
        <x:v>Source retained</x:v>
      </x:c>
    </x:row>
    <x:row r="6">
      <x:c r="A6" s="171" t="n">
        <x:v>2</x:v>
      </x:c>
      <x:c r="B6" s="16" t="str">
        <x:v>Validate IDs</x:v>
      </x:c>
      <x:c r="C6" s="16" t="str">
        <x:v>Check Shipment ID and Tracking ID uniqueness</x:v>
      </x:c>
      <x:c r="D6" s="16" t="str">
        <x:v>Validation sheet</x:v>
      </x:c>
      <x:c r="E6" s="16" t="str">
        <x:v>Logistics Admin</x:v>
      </x:c>
      <x:c r="F6" s="16" t="str">
        <x:v>No silent merge</x:v>
      </x:c>
    </x:row>
    <x:row r="7">
      <x:c r="A7" s="170" t="n">
        <x:v>3</x:v>
      </x:c>
      <x:c r="B7" s="14" t="str">
        <x:v>Validate carrier</x:v>
      </x:c>
      <x:c r="C7" s="14" t="str">
        <x:v>Use approved carrier reference</x:v>
      </x:c>
      <x:c r="D7" s="14" t="str">
        <x:v>SLA Reference</x:v>
      </x:c>
      <x:c r="E7" s="14" t="str">
        <x:v>Logistics Admin</x:v>
      </x:c>
      <x:c r="F7" s="14" t="str">
        <x:v>Controlled carrier name</x:v>
      </x:c>
    </x:row>
    <x:row r="8">
      <x:c r="A8" s="171" t="n">
        <x:v>4</x:v>
      </x:c>
      <x:c r="B8" s="16" t="str">
        <x:v>Check dates</x:v>
      </x:c>
      <x:c r="C8" s="16" t="str">
        <x:v>Confirm ship, promised and actual delivery chronology</x:v>
      </x:c>
      <x:c r="D8" s="16" t="str">
        <x:v>Shipment record</x:v>
      </x:c>
      <x:c r="E8" s="16" t="str">
        <x:v>Logistics Admin</x:v>
      </x:c>
      <x:c r="F8" s="16" t="str">
        <x:v>Dates are logical</x:v>
      </x:c>
    </x:row>
    <x:row r="9">
      <x:c r="A9" s="170" t="n">
        <x:v>5</x:v>
      </x:c>
      <x:c r="B9" s="14" t="str">
        <x:v>Review SLA</x:v>
      </x:c>
      <x:c r="C9" s="14" t="str">
        <x:v>Compare actual status with promised date</x:v>
      </x:c>
      <x:c r="D9" s="14" t="str">
        <x:v>QA Summary</x:v>
      </x:c>
      <x:c r="E9" s="14" t="str">
        <x:v>Logistics Admin</x:v>
      </x:c>
      <x:c r="F9" s="14" t="str">
        <x:v>Late items identified</x:v>
      </x:c>
    </x:row>
    <x:row r="10">
      <x:c r="A10" s="171" t="n">
        <x:v>6</x:v>
      </x:c>
      <x:c r="B10" s="16" t="str">
        <x:v>Check POD</x:v>
      </x:c>
      <x:c r="C10" s="16" t="str">
        <x:v>Confirm delivered shipments have proof of delivery</x:v>
      </x:c>
      <x:c r="D10" s="16" t="str">
        <x:v>POD status</x:v>
      </x:c>
      <x:c r="E10" s="16" t="str">
        <x:v>Logistics Admin</x:v>
      </x:c>
      <x:c r="F10" s="16" t="str">
        <x:v>Missing POD queued</x:v>
      </x:c>
    </x:row>
    <x:row r="11">
      <x:c r="A11" s="170" t="n">
        <x:v>7</x:v>
      </x:c>
      <x:c r="B11" s="14" t="str">
        <x:v>Monitor scans</x:v>
      </x:c>
      <x:c r="C11" s="14" t="str">
        <x:v>Identify in-transit shipments without recent update</x:v>
      </x:c>
      <x:c r="D11" s="14" t="str">
        <x:v>Last update</x:v>
      </x:c>
      <x:c r="E11" s="14" t="str">
        <x:v>Logistics Admin</x:v>
      </x:c>
      <x:c r="F11" s="14" t="str">
        <x:v>Stale items queued</x:v>
      </x:c>
    </x:row>
    <x:row r="12">
      <x:c r="A12" s="171" t="n">
        <x:v>8</x:v>
      </x:c>
      <x:c r="B12" s="16" t="str">
        <x:v>Escalate in writing</x:v>
      </x:c>
      <x:c r="C12" s="16" t="str">
        <x:v>Use email or task and record due date</x:v>
      </x:c>
      <x:c r="D12" s="16" t="str">
        <x:v>Exception Queue</x:v>
      </x:c>
      <x:c r="E12" s="16" t="str">
        <x:v>Logistics Admin</x:v>
      </x:c>
      <x:c r="F12" s="16" t="str">
        <x:v>Traceable follow-up</x:v>
      </x:c>
    </x:row>
    <x:row r="13">
      <x:c r="A13" s="170" t="n">
        <x:v>9</x:v>
      </x:c>
      <x:c r="B13" s="14" t="str">
        <x:v>Final QA</x:v>
      </x:c>
      <x:c r="C13" s="14" t="str">
        <x:v>Reconcile validation, queue and dashboard</x:v>
      </x:c>
      <x:c r="D13" s="14" t="str">
        <x:v>Dashboard</x:v>
      </x:c>
      <x:c r="E13" s="14" t="str">
        <x:v>Logistics Admin</x:v>
      </x:c>
      <x:c r="F13" s="14" t="str">
        <x:v>No formula errors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4" hidden="0" customWidth="1"/>
  </x:cols>
  <x:sheetData>
    <x:row r="1" ht="36" customHeight="1">
      <x:c r="A1" s="3" t="str">
        <x:v>PROJ-007 | PROJECT NOTES</x:v>
      </x:c>
      <x:c r="B1" s="3"/>
    </x:row>
    <x:row r="2" ht="25" customHeight="1">
      <x:c r="A2" s="6" t="str">
        <x:v>Portfolio scope • simulated data • written-first logistics administration</x:v>
      </x:c>
      <x:c r="B2" s="6"/>
    </x:row>
    <x:row r="4" ht="32" customHeight="1">
      <x:c r="A4" s="12" t="str">
        <x:v>Item</x:v>
      </x:c>
      <x:c r="B4" s="12" t="str">
        <x:v>Detail</x:v>
      </x:c>
    </x:row>
    <x:row r="5">
      <x:c r="A5" s="172" t="str">
        <x:v>Classification</x:v>
      </x:c>
      <x:c r="B5" s="19" t="str">
        <x:v>Independent portfolio project with fictional carrier and shipment data</x:v>
      </x:c>
    </x:row>
    <x:row r="6">
      <x:c r="A6" s="172" t="str">
        <x:v>Purpose</x:v>
      </x:c>
      <x:c r="B6" s="19" t="str">
        <x:v>Shipment tracking, SLA monitoring, POD control and written exception follow-up</x:v>
      </x:c>
    </x:row>
    <x:row r="7">
      <x:c r="A7" s="172" t="str">
        <x:v>Privacy</x:v>
      </x:c>
      <x:c r="B7" s="19" t="str">
        <x:v>No real customer names, addresses, phone numbers or delivery documents</x:v>
      </x:c>
    </x:row>
    <x:row r="8">
      <x:c r="A8" s="172" t="str">
        <x:v>Primary skills</x:v>
      </x:c>
      <x:c r="B8" s="19" t="str">
        <x:v>Logistics data entry, validation, monitoring, reconciliation and escalation</x:v>
      </x:c>
    </x:row>
    <x:row r="9">
      <x:c r="A9" s="172" t="str">
        <x:v>Communication</x:v>
      </x:c>
      <x:c r="B9" s="19" t="str">
        <x:v>Email, carrier portal, chat and task tracker</x:v>
      </x:c>
    </x:row>
    <x:row r="10">
      <x:c r="A10" s="172" t="str">
        <x:v>Out of scope</x:v>
      </x:c>
      <x:c r="B10" s="19" t="str">
        <x:v>Phone support, dispatch operations, rate negotiation and live carrier system changes</x:v>
      </x:c>
    </x:row>
    <x:row r="11">
      <x:c r="A11" s="172" t="str">
        <x:v>Impact boundary</x:v>
      </x:c>
      <x:c r="B11" s="19" t="str">
        <x:v>No claims about real cost savings, delivery improvement or client results</x:v>
      </x:c>
    </x:row>
    <x:row r="12">
      <x:c r="A12" s="172" t="str">
        <x:v>Records</x:v>
      </x:c>
      <x:c r="B12" s="19" t="str">
        <x:v>50 simulated shipment rows</x:v>
      </x:c>
    </x:row>
    <x:row r="13">
      <x:c r="A13" s="172" t="str">
        <x:v>Work model</x:v>
      </x:c>
      <x:c r="B13" s="19" t="str">
        <x:v>Written-first remote administration; no cold calling required</x:v>
      </x:c>
    </x:row>
  </x:sheetData>
  <x:mergeCells>
    <x:mergeCell ref="A1:B1"/>
    <x:mergeCell ref="A2:B2"/>
  </x:mergeCells>
  <x:pageMargins left="0.7" right="0.7" top="0.75" bottom="0.75" header="0.3" footer="0.3"/>
</x:worksheet>
</file>