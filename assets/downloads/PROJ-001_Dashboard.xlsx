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f833955a0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f949d7f4494a22"/>
    <x:sheet xmlns:r="http://schemas.openxmlformats.org/officeDocument/2006/relationships" name="Data Source (Reference)" sheetId="2" r:id="Rc74dda39486d479e"/>
  </x:sheets>
</x:workbook>
</file>

<file path=xl/sharedStrings.xml><?xml version="1.0" encoding="utf-8"?>
<x:sst xmlns:x="http://schemas.openxmlformats.org/spreadsheetml/2006/main">
  <x:si>
    <x:t xml:space="preserve">PROJ-001 — Product Catalog: Marketplace Readiness Dashboard</x:t>
  </x:si>
  <x:si>
    <x:t xml:space="preserve">Amara Modest Co. — Independent Portfolio Project · Source: Cleaned_Data.xlsx (unmodified)</x:t>
  </x:si>
  <x:si>
    <x:t xml:space="preserve">Business question: Is the catalog ready for marketplace listing, and what needs to be fixed before launch?</x:t>
  </x:si>
  <x:si>
    <x:t xml:space="preserve">Total Products Processed</x:t>
  </x:si>
  <x:si>
    <x:t xml:space="preserve">Ready to List</x:t>
  </x:si>
  <x:si>
    <x:t xml:space="preserve">Needs Review</x:t>
  </x:si>
  <x:si>
    <x:t xml:space="preserve">Incomplete</x:t>
  </x:si>
  <x:si>
    <x:t xml:space="preserve">Data Quality Issues by Type</x:t>
  </x:si>
  <x:si>
    <x:t xml:space="preserve">Issue Type</x:t>
  </x:si>
  <x:si>
    <x:t xml:space="preserve">Count</x:t>
  </x:si>
  <x:si>
    <x:t xml:space="preserve">Missing SKU</x:t>
  </x:si>
  <x:si>
    <x:t xml:space="preserve">Missing Product Name</x:t>
  </x:si>
  <x:si>
    <x:t xml:space="preserve">Duplicate SKU (rows flagged)</x:t>
  </x:si>
  <x:si>
    <x:t xml:space="preserve">Invalid Category (not mapped)</x:t>
  </x:si>
  <x:si>
    <x:t xml:space="preserve">Invalid Size (not mapped)</x:t>
  </x:si>
  <x:si>
    <x:t xml:space="preserve">Invalid Price</x:t>
  </x:si>
  <x:si>
    <x:t xml:space="preserve">Invalid Stock Quantity</x:t>
  </x:si>
  <x:si>
    <x:t xml:space="preserve">Row #</x:t>
  </x:si>
  <x:si>
    <x:t xml:space="preserve">SKU</x:t>
  </x:si>
  <x:si>
    <x:t xml:space="preserve">Product Name</x:t>
  </x:si>
  <x:si>
    <x:t xml:space="preserve">Marketplace Status</x:t>
  </x:si>
  <x:si>
    <x:t xml:space="preserve">Issue / Reason</x:t>
  </x:si>
  <x:si>
    <x:t xml:space="preserve">Reference copy of Cleaned_Data.xlsx &gt; 'Cleaned Catalog' (resolved values, read-only) — Cleaned_Data.xlsx itself was not modified</x:t>
  </x:si>
  <x:si>
    <x:t xml:space="preserve">Raw Row #</x:t>
  </x:si>
  <x:si>
    <x:t xml:space="preserve">Duplicate SKU Flag</x:t>
  </x:si>
  <x:si>
    <x:t xml:space="preserve">Category (Raw)</x:t>
  </x:si>
  <x:si>
    <x:t xml:space="preserve">Category (Standardized)</x:t>
  </x:si>
  <x:si>
    <x:t xml:space="preserve">Color (Raw)</x:t>
  </x:si>
  <x:si>
    <x:t xml:space="preserve">Color (Standardized)</x:t>
  </x:si>
  <x:si>
    <x:t xml:space="preserve">Size (Raw)</x:t>
  </x:si>
  <x:si>
    <x:t xml:space="preserve">Size (Standardized)</x:t>
  </x:si>
  <x:si>
    <x:t xml:space="preserve">Price</x:t>
  </x:si>
  <x:si>
    <x:t xml:space="preserve">Price Check</x:t>
  </x:si>
  <x:si>
    <x:t xml:space="preserve">Stock Quantity</x:t>
  </x:si>
  <x:si>
    <x:t xml:space="preserve">Stock Check</x:t>
  </x:si>
  <x:si>
    <x:t xml:space="preserve">Issue Count</x:t>
  </x:si>
  <x:si>
    <x:t xml:space="preserve">Action Rank (helper)</x:t>
  </x:si>
  <x:si>
    <x:t xml:space="preserve">AMC-127</x:t>
  </x:si>
  <x:si>
    <x:t xml:space="preserve">Abaya Nida Basic</x:t>
  </x:si>
  <x:si>
    <x:t xml:space="preserve">ABAYA</x:t>
  </x:si>
  <x:si>
    <x:t xml:space="preserve">Abaya</x:t>
  </x:si>
  <x:si>
    <x:t xml:space="preserve">NAVY</x:t>
  </x:si>
  <x:si>
    <x:t xml:space="preserve">Navy</x:t>
  </x:si>
  <x:si>
    <x:t xml:space="preserve"> M</x:t>
  </x:si>
  <x:si>
    <x:t xml:space="preserve">M</x:t>
  </x:si>
  <x:si>
    <x:t xml:space="preserve">OK</x:t>
  </x:si>
  <x:si>
    <x:t xml:space="preserve">AMC-136</x:t>
  </x:si>
  <x:si>
    <x:t xml:space="preserve">Sajadah Travel Roll</x:t>
  </x:si>
  <x:si>
    <x:t xml:space="preserve">prayer set</x:t>
  </x:si>
  <x:si>
    <x:t xml:space="preserve">Prayer Set</x:t>
  </x:si>
  <x:si>
    <x:t xml:space="preserve">navy</x:t>
  </x:si>
  <x:si>
    <x:t xml:space="preserve">All Size</x:t>
  </x:si>
  <x:si>
    <x:t xml:space="preserve">Missing</x:t>
  </x:si>
  <x:si>
    <x:t xml:space="preserve">Invalid Stock (Missing)</x:t>
  </x:si>
  <x:si>
    <x:t xml:space="preserve">AMC-122</x:t>
  </x:si>
  <x:si>
    <x:t xml:space="preserve">Duplicate SKU</x:t>
  </x:si>
  <x:si>
    <x:t xml:space="preserve">Pashmina Diamond Italiano</x:t>
  </x:si>
  <x:si>
    <x:t xml:space="preserve">Hijabs</x:t>
  </x:si>
  <x:si>
    <x:t xml:space="preserve">Hijab</x:t>
  </x:si>
  <x:si>
    <x:t xml:space="preserve">ivory</x:t>
  </x:si>
  <x:si>
    <x:t xml:space="preserve">Ivory</x:t>
  </x:si>
  <x:si>
    <x:t xml:space="preserve">All size</x:t>
  </x:si>
  <x:si>
    <x:t xml:space="preserve">AMC-145</x:t>
  </x:si>
  <x:si>
    <x:t xml:space="preserve">Manset Baju Kaos</x:t>
  </x:si>
  <x:si>
    <x:t xml:space="preserve">Accessories</x:t>
  </x:si>
  <x:si>
    <x:t xml:space="preserve">Black</x:t>
  </x:si>
  <x:si>
    <x:t xml:space="preserve">Free Size</x:t>
  </x:si>
  <x:si>
    <x:t xml:space="preserve">AMC-141</x:t>
  </x:si>
  <x:si>
    <x:t xml:space="preserve">sage green</x:t>
  </x:si>
  <x:si>
    <x:t xml:space="preserve">Sage Green</x:t>
  </x:si>
  <x:si>
    <x:t xml:space="preserve">AMC-108</x:t>
  </x:si>
  <x:si>
    <x:t xml:space="preserve">Khimar Jersey 2 Layer</x:t>
  </x:si>
  <x:si>
    <x:t xml:space="preserve">Abaya </x:t>
  </x:si>
  <x:si>
    <x:t xml:space="preserve"> Black</x:t>
  </x:si>
  <x:si>
    <x:t xml:space="preserve">AMC-103</x:t>
  </x:si>
  <x:si>
    <x:t xml:space="preserve">Pashmina Ceruty Premium</x:t>
  </x:si>
  <x:si>
    <x:t xml:space="preserve">Hijab </x:t>
  </x:si>
  <x:si>
    <x:t xml:space="preserve"> Navy Blue</x:t>
  </x:si>
  <x:si>
    <x:t xml:space="preserve">Navy Blue</x:t>
  </x:si>
  <x:si>
    <x:t xml:space="preserve">Invalid Price (Missing)</x:t>
  </x:si>
  <x:si>
    <x:t xml:space="preserve">AMC-113</x:t>
  </x:si>
  <x:si>
    <x:t xml:space="preserve">Abaya Embroidered Kimono</x:t>
  </x:si>
  <x:si>
    <x:t xml:space="preserve"> Dusty Blue</x:t>
  </x:si>
  <x:si>
    <x:t xml:space="preserve">Dusty Blue</x:t>
  </x:si>
  <x:si>
    <x:t xml:space="preserve">m</x:t>
  </x:si>
  <x:si>
    <x:t xml:space="preserve">AMC-114</x:t>
  </x:si>
  <x:si>
    <x:t xml:space="preserve">Mukena Katun Jepang</x:t>
  </x:si>
  <x:si>
    <x:t xml:space="preserve">Dusty Pink</x:t>
  </x:si>
  <x:si>
    <x:t xml:space="preserve">AllSize</x:t>
  </x:si>
  <x:si>
    <x:t xml:space="preserve">AMC-124</x:t>
  </x:si>
  <x:si>
    <x:t xml:space="preserve">Accesories</x:t>
  </x:si>
  <x:si>
    <x:t xml:space="preserve">Gold </x:t>
  </x:si>
  <x:si>
    <x:t xml:space="preserve">Gold</x:t>
  </x:si>
  <x:si>
    <x:t xml:space="preserve">AMC-117</x:t>
  </x:si>
  <x:si>
    <x:t xml:space="preserve">mukena rayon premium</x:t>
  </x:si>
  <x:si>
    <x:t xml:space="preserve">PrayerSet</x:t>
  </x:si>
  <x:si>
    <x:t xml:space="preserve">LAVENDER</x:t>
  </x:si>
  <x:si>
    <x:t xml:space="preserve">Lavender</x:t>
  </x:si>
  <x:si>
    <x:t xml:space="preserve">AMC-120</x:t>
  </x:si>
  <x:si>
    <x:t xml:space="preserve">Ciput Antem Rajut</x:t>
  </x:si>
  <x:si>
    <x:t xml:space="preserve">ALLSIZE</x:t>
  </x:si>
  <x:si>
    <x:t xml:space="preserve">AMC-115</x:t>
  </x:si>
  <x:si>
    <x:t xml:space="preserve">Open Abaya Cardigan Style</x:t>
  </x:si>
  <x:si>
    <x:t xml:space="preserve">Sand</x:t>
  </x:si>
  <x:si>
    <x:t xml:space="preserve">AMC-104</x:t>
  </x:si>
  <x:si>
    <x:t xml:space="preserve">Bergo Instan Ceruty</x:t>
  </x:si>
  <x:si>
    <x:t xml:space="preserve"> Hijab</x:t>
  </x:si>
  <x:si>
    <x:t xml:space="preserve">Black </x:t>
  </x:si>
  <x:si>
    <x:t xml:space="preserve">AMC-118</x:t>
  </x:si>
  <x:si>
    <x:t xml:space="preserve">Prayer set</x:t>
  </x:si>
  <x:si>
    <x:t xml:space="preserve"> Grey</x:t>
  </x:si>
  <x:si>
    <x:t xml:space="preserve">Grey</x:t>
  </x:si>
  <x:si>
    <x:t xml:space="preserve">Accessory</x:t>
  </x:si>
  <x:si>
    <x:t xml:space="preserve">NUDE</x:t>
  </x:si>
  <x:si>
    <x:t xml:space="preserve">Nude</x:t>
  </x:si>
  <x:si>
    <x:t xml:space="preserve">AMC-123</x:t>
  </x:si>
  <x:si>
    <x:t xml:space="preserve">ACCESSORIES</x:t>
  </x:si>
  <x:si>
    <x:t xml:space="preserve"> White</x:t>
  </x:si>
  <x:si>
    <x:t xml:space="preserve">White</x:t>
  </x:si>
  <x:si>
    <x:t xml:space="preserve">AMC-121</x:t>
  </x:si>
  <x:si>
    <x:t xml:space="preserve">accessories</x:t>
  </x:si>
  <x:si>
    <x:t xml:space="preserve">cream</x:t>
  </x:si>
  <x:si>
    <x:t xml:space="preserve">Cream</x:t>
  </x:si>
  <x:si>
    <x:t xml:space="preserve">AMC-131</x:t>
  </x:si>
  <x:si>
    <x:t xml:space="preserve">Bergo Rabbani Syari</x:t>
  </x:si>
  <x:si>
    <x:t xml:space="preserve">hijab</x:t>
  </x:si>
  <x:si>
    <x:t xml:space="preserve">brown</x:t>
  </x:si>
  <x:si>
    <x:t xml:space="preserve">Brown</x:t>
  </x:si>
  <x:si>
    <x:t xml:space="preserve"> XL</x:t>
  </x:si>
  <x:si>
    <x:t xml:space="preserve">XL</x:t>
  </x:si>
  <x:si>
    <x:t xml:space="preserve">Abayas</x:t>
  </x:si>
  <x:si>
    <x:t xml:space="preserve">Dusty Blue </x:t>
  </x:si>
  <x:si>
    <x:t xml:space="preserve">L </x:t>
  </x:si>
  <x:si>
    <x:t xml:space="preserve">L</x:t>
  </x:si>
  <x:si>
    <x:t xml:space="preserve">AMC-129</x:t>
  </x:si>
  <x:si>
    <x:t xml:space="preserve">Ivory </x:t>
  </x:si>
  <x:si>
    <x:t xml:space="preserve">AMC-144</x:t>
  </x:si>
  <x:si>
    <x:t xml:space="preserve">Inner Ninja Ciput</x:t>
  </x:si>
  <x:si>
    <x:t xml:space="preserve">Nude </x:t>
  </x:si>
  <x:si>
    <x:t xml:space="preserve">AMC-107</x:t>
  </x:si>
  <x:si>
    <x:t xml:space="preserve">Segiempat Katun Polos</x:t>
  </x:si>
  <x:si>
    <x:t xml:space="preserve">Misc</x:t>
  </x:si>
  <x:si>
    <x:t xml:space="preserve">NOT MAPPED - INVALID</x:t>
  </x:si>
  <x:si>
    <x:t xml:space="preserve">MUSTARD</x:t>
  </x:si>
  <x:si>
    <x:t xml:space="preserve">Mustard</x:t>
  </x:si>
  <x:si>
    <x:t xml:space="preserve">all size</x:t>
  </x:si>
  <x:si>
    <x:t xml:space="preserve">Invalid Category (Misc)</x:t>
  </x:si>
  <x:si>
    <x:t xml:space="preserve">AMC-143</x:t>
  </x:si>
  <x:si>
    <x:t xml:space="preserve"> Sage Green</x:t>
  </x:si>
  <x:si>
    <x:t xml:space="preserve">AMC-133</x:t>
  </x:si>
  <x:si>
    <x:t xml:space="preserve">Segiempat Voal Motif Polkadot</x:t>
  </x:si>
  <x:si>
    <x:t xml:space="preserve"> Blue</x:t>
  </x:si>
  <x:si>
    <x:t xml:space="preserve">Blue</x:t>
  </x:si>
  <x:si>
    <x:t xml:space="preserve">TBD</x:t>
  </x:si>
  <x:si>
    <x:t xml:space="preserve">Non-numeric</x:t>
  </x:si>
  <x:si>
    <x:t xml:space="preserve">Invalid Price (Non-numeric)</x:t>
  </x:si>
  <x:si>
    <x:t xml:space="preserve">AMC-101</x:t>
  </x:si>
  <x:si>
    <x:t xml:space="preserve">mocha brown</x:t>
  </x:si>
  <x:si>
    <x:t xml:space="preserve">Mocha Brown</x:t>
  </x:si>
  <x:si>
    <x:t xml:space="preserve">AMC-135</x:t>
  </x:si>
  <x:si>
    <x:t xml:space="preserve">AMC-116</x:t>
  </x:si>
  <x:si>
    <x:t xml:space="preserve">Invalid (&lt;=0)</x:t>
  </x:si>
  <x:si>
    <x:t xml:space="preserve">Invalid Price (Invalid (&lt;=0))</x:t>
  </x:si>
  <x:si>
    <x:t xml:space="preserve">AMC-126</x:t>
  </x:si>
  <x:si>
    <x:t xml:space="preserve">abaya</x:t>
  </x:si>
  <x:si>
    <x:t xml:space="preserve">olive</x:t>
  </x:si>
  <x:si>
    <x:t xml:space="preserve">Olive</x:t>
  </x:si>
  <x:si>
    <x:t xml:space="preserve">AMC-100</x:t>
  </x:si>
  <x:si>
    <x:t xml:space="preserve">pashmina diamond italiano</x:t>
  </x:si>
  <x:si>
    <x:t xml:space="preserve">AMC-138</x:t>
  </x:si>
  <x:si>
    <x:t xml:space="preserve">Bros Hijab Magnet Set</x:t>
  </x:si>
  <x:si>
    <x:t xml:space="preserve"> Silver</x:t>
  </x:si>
  <x:si>
    <x:t xml:space="preserve">Silver</x:t>
  </x:si>
  <x:si>
    <x:t xml:space="preserve">AMC-110</x:t>
  </x:si>
  <x:si>
    <x:t xml:space="preserve">M </x:t>
  </x:si>
  <x:si>
    <x:t xml:space="preserve">AMC-142</x:t>
  </x:si>
  <x:si>
    <x:t xml:space="preserve">AMC-125</x:t>
  </x:si>
  <x:si>
    <x:t xml:space="preserve">AMC-102</x:t>
  </x:si>
  <x:si>
    <x:t xml:space="preserve">HIJAB</x:t>
  </x:si>
  <x:si>
    <x:t xml:space="preserve">SAGE GREEN</x:t>
  </x:si>
  <x:si>
    <x:t xml:space="preserve">AMC-134</x:t>
  </x:si>
  <x:si>
    <x:t xml:space="preserve">open abaya cardigan style</x:t>
  </x:si>
  <x:si>
    <x:t xml:space="preserve">Charcoal </x:t>
  </x:si>
  <x:si>
    <x:t xml:space="preserve">Charcoal</x:t>
  </x:si>
  <x:si>
    <x:t xml:space="preserve">AMC-105</x:t>
  </x:si>
  <x:si>
    <x:t xml:space="preserve">Maroon</x:t>
  </x:si>
  <x:si>
    <x:t xml:space="preserve">AMC-109</x:t>
  </x:si>
  <x:si>
    <x:t xml:space="preserve">l</x:t>
  </x:si>
  <x:si>
    <x:t xml:space="preserve">AMC-119</x:t>
  </x:si>
  <x:si>
    <x:t xml:space="preserve">Tasbih Digital Counter</x:t>
  </x:si>
  <x:si>
    <x:t xml:space="preserve">Invalid (negative)</x:t>
  </x:si>
  <x:si>
    <x:t xml:space="preserve">Invalid Stock (Invalid (negative))</x:t>
  </x:si>
  <x:si>
    <x:t xml:space="preserve">AMC-128</x:t>
  </x:si>
  <x:si>
    <x:t xml:space="preserve"> Navy</x:t>
  </x:si>
  <x:si>
    <x:t xml:space="preserve">AMC-106</x:t>
  </x:si>
  <x:si>
    <x:t xml:space="preserve">Segiempat Voal Motif Bunga</x:t>
  </x:si>
  <x:si>
    <x:t xml:space="preserve">multicolor</x:t>
  </x:si>
  <x:si>
    <x:t xml:space="preserve">Multicolor</x:t>
  </x:si>
  <x:si>
    <x:t xml:space="preserve">Navy </x:t>
  </x:si>
  <x:si>
    <x:t xml:space="preserve"> L</x:t>
  </x:si>
  <x:si>
    <x:t xml:space="preserve">AMC-139</x:t>
  </x:si>
  <x:si>
    <x:t xml:space="preserve"> S</x:t>
  </x:si>
  <x:si>
    <x:t xml:space="preserve">S</x:t>
  </x:si>
  <x:si>
    <x:t xml:space="preserve">AMC-130</x:t>
  </x:si>
  <x:si>
    <x:t xml:space="preserve">New Arrival</x:t>
  </x:si>
  <x:si>
    <x:t xml:space="preserve">Peach</x:t>
  </x:si>
  <x:si>
    <x:t xml:space="preserve">Invalid Category (New Arrival)</x:t>
  </x:si>
  <x:si>
    <x:t xml:space="preserve">AMC-132</x:t>
  </x:si>
  <x:si>
    <x:t xml:space="preserve">BLACK</x:t>
  </x:si>
  <x:si>
    <x:t xml:space="preserve">AMC-111</x:t>
  </x:si>
  <x:si>
    <x:t xml:space="preserve">black</x:t>
  </x:si>
  <x:si>
    <x:t xml:space="preserve">AMC-112</x:t>
  </x:si>
  <x:si>
    <x:t xml:space="preserve">AMC-137</x:t>
  </x:si>
  <x:si>
    <x:t xml:space="preserve">SILVER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</x:si>
</x:sst>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20">
    <x:font>
      <x:sz val="11"/>
      <x:color theme="1"/>
      <x:name val="Calibri"/>
    </x:font>
    <x:font>
      <x:b/>
      <x:sz val="14"/>
      <x:color rgb="FF1E2124"/>
      <x:name val="Cambria"/>
    </x:font>
    <x:font>
      <x:i/>
      <x:sz val="9"/>
      <x:color rgb="FF6B7280"/>
      <x:name val="Cambria"/>
    </x:font>
    <x:font>
      <x:b/>
      <x:sz val="11"/>
      <x:color rgb="FFFFFFFF"/>
      <x:name val="Cambria"/>
    </x:font>
    <x:font>
      <x:b/>
      <x:sz val="11"/>
      <x:color rgb="FFB45309"/>
      <x:name val="Cambria"/>
    </x:font>
    <x:font>
      <x:sz val="11"/>
      <x:name val="Cambria"/>
    </x:font>
    <x:font>
      <x:b/>
      <x:sz val="13"/>
      <x:color rgb="FF2455C4"/>
      <x:name val="Cambria"/>
    </x:font>
    <x:font>
      <x:b/>
      <x:sz val="13"/>
      <x:color rgb="FF1F8A5F"/>
      <x:name val="Cambria"/>
    </x:font>
    <x:font>
      <x:sz val="11"/>
      <x:color rgb="FF6B7280"/>
      <x:name val="Cambria"/>
    </x:font>
    <x:font>
      <x:b/>
      <x:sz val="13"/>
      <x:color rgb="FFB45309"/>
      <x:name val="Cambria"/>
    </x:font>
    <x:font>
      <x:b/>
      <x:sz val="13"/>
      <x:color rgb="FFB3261E"/>
      <x:name val="Cambria"/>
    </x:font>
    <x:font>
      <x:b/>
      <x:sz val="11"/>
      <x:name val="Cambria"/>
    </x:font>
    <x:font>
      <x:b/>
      <x:sz val="10"/>
      <x:color rgb="FFFFFFFF"/>
      <x:name val="Calibri"/>
    </x:font>
    <x:font>
      <x:sz val="10"/>
      <x:name val="Cambria"/>
    </x:font>
    <x:font>
      <x:b/>
      <x:sz val="10"/>
      <x:color rgb="FF2455C4"/>
      <x:name val="Cambria"/>
    </x:font>
    <x:font>
      <x:sz val="9"/>
      <x:name val="Cambria"/>
    </x:font>
    <x:font>
      <x:sz val="9"/>
      <x:name val="Cambria"/>
    </x:font>
    <x:font>
      <x:sz val="9"/>
      <x:color rgb="FF6B7280"/>
      <x:name val="Cambria"/>
    </x:font>
    <x:font>
      <x:b/>
      <x:sz val="9"/>
      <x:color rgb="FF375623"/>
      <x:name val="Cambria"/>
    </x:font>
    <x:font>
      <x:b/>
      <x:sz val="11"/>
      <x:color rgb="FF375623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124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8DCE3"/>
      </x:left>
      <x:right style="thin">
        <x:color rgb="FFD8DCE3"/>
      </x:right>
      <x:top style="thin">
        <x:color rgb="FFD8DCE3"/>
      </x:top>
      <x:bottom style="thin">
        <x:color rgb="FFD8DCE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0" xfId="0" applyFont="1"/>
    <x:xf numFmtId="0" fontId="11" fillId="0" borderId="0" xfId="0" applyFont="1"/>
    <x:xf numFmtId="0" fontId="13" fillId="0" borderId="1" xfId="0" applyFont="1" applyBorder="1"/>
    <x:xf numFmtId="0" fontId="12" fillId="2" borderId="1" xfId="0" applyFont="1" applyFill="1" applyBorder="1" applyAlignment="1">
      <x:alignment horizontal="center" vertical="center" wrapText="1"/>
    </x:xf>
    <x:xf numFmtId="0" fontId="5" fillId="0" borderId="1" xfId="0" applyFont="1" applyBorder="1"/>
    <x:xf numFmtId="0" fontId="4" fillId="0" borderId="0" xfId="0" applyFont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6" fillId="0" borderId="1" xfId="0" applyFont="1" applyBorder="1" applyAlignment="1">
      <x:alignment horizontal="center"/>
    </x:xf>
    <x:xf numFmtId="0" fontId="7" fillId="0" borderId="1" xfId="0" applyFont="1" applyBorder="1" applyAlignment="1">
      <x:alignment horizontal="center"/>
    </x:xf>
    <x:xf numFmtId="164" fontId="8" fillId="0" borderId="1" xfId="0" applyNumberFormat="1" applyFont="1" applyBorder="1" applyAlignment="1">
      <x:alignment horizontal="center"/>
    </x:xf>
    <x:xf numFmtId="0" fontId="9" fillId="0" borderId="1" xfId="0" applyFont="1" applyBorder="1" applyAlignment="1">
      <x:alignment horizontal="center"/>
    </x:xf>
    <x:xf numFmtId="0" fontId="10" fillId="0" borderId="1" xfId="0" applyFont="1" applyBorder="1" applyAlignment="1">
      <x:alignment horizontal="center"/>
    </x:xf>
    <x:xf numFmtId="0" fontId="11" fillId="0" borderId="0" xfId="0" applyFont="1"/>
    <x:xf numFmtId="0" fontId="12" fillId="2" borderId="1" xfId="0" applyFont="1" applyFill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/>
    </x:xf>
    <x:xf numFmtId="0" fontId="15" fillId="0" borderId="1" xfId="0" applyFont="1" applyBorder="1" applyAlignment="1">
      <x:alignment horizontal="center"/>
    </x:xf>
    <x:xf numFmtId="0" fontId="15" fillId="0" borderId="1" xfId="0" applyFont="1" applyBorder="1" applyAlignment="1">
      <x:alignment horizontal="left"/>
    </x:xf>
    <x:xf numFmtId="0" fontId="15" fillId="0" borderId="1" xfId="0" applyFont="1" applyBorder="1" applyAlignment="1">
      <x:alignment horizontal="left" wrapText="1"/>
    </x:xf>
    <x:xf numFmtId="0" fontId="16" fillId="0" borderId="1" xfId="0" applyFont="1" applyBorder="1"/>
    <x:xf numFmtId="0" fontId="17" fillId="0" borderId="1" xfId="0" applyFont="1" applyBorder="1"/>
    <x:xf numFmtId="0" fontId="15" fillId="3" borderId="1" xfId="0" applyNumberFormat="1" applyFont="1" applyFill="1" applyBorder="1" applyAlignment="1">
      <x:alignment horizontal="center"/>
    </x:xf>
    <x:xf numFmtId="0" fontId="15" fillId="3" borderId="1" xfId="0" applyNumberFormat="1" applyFont="1" applyFill="1" applyBorder="1" applyAlignment="1">
      <x:alignment horizontal="left"/>
    </x:xf>
    <x:xf numFmtId="0" fontId="15" fillId="3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18" fillId="3" borderId="1" xfId="0" applyNumberFormat="1" applyFont="1" applyFill="1" applyBorder="1" applyAlignment="1">
      <x:alignment horizontal="center"/>
    </x:xf>
    <x:xf numFmtId="0" fontId="18" fillId="3" borderId="1" xfId="0" applyNumberFormat="1" applyFont="1" applyFill="1" applyBorder="1" applyAlignment="1">
      <x:alignment horizontal="left"/>
    </x:xf>
    <x:xf numFmtId="0" fontId="18" fillId="3" borderId="1" xfId="0" applyNumberFormat="1" applyFont="1" applyFill="1" applyBorder="1" applyAlignment="1">
      <x:alignment horizontal="left" wrapText="1"/>
    </x:xf>
    <x:xf numFmtId="0" fontId="19" fillId="3" borderId="0" xfId="0" applyNumberFormat="1" applyFont="1" applyFill="1" applyBorder="1"/>
    <x:xf numFmtId="0" fontId="18" fillId="3" borderId="1" xfId="0" applyNumberFormat="1" applyFont="1" applyFill="1" applyBorder="1" applyAlignment="1">
      <x:alignment horizontal="center" wrapText="1"/>
    </x:xf>
    <x:xf numFmtId="0" fontId="19" fillId="3" borderId="0" xfId="0" applyNumberFormat="1" applyFont="1" applyFill="1" applyBorder="1" applyAlignment="1">
      <x:alignment wrapText="1"/>
    </x:xf>
    <x:xf numFmtId="0" fontId="18" fillId="4" borderId="1" xfId="0" applyNumberFormat="1" applyFont="1" applyFill="1" applyBorder="1" applyAlignment="1">
      <x:alignment horizontal="center" wrapText="1"/>
    </x:xf>
    <x:xf numFmtId="0" fontId="18" fillId="4" borderId="1" xfId="0" applyNumberFormat="1" applyFont="1" applyFill="1" applyBorder="1" applyAlignment="1">
      <x:alignment horizontal="left" wrapText="1"/>
    </x:xf>
    <x:xf numFmtId="0" fontId="19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5309"/>
      </x:font>
    </x:dxf>
    <x:dxf>
      <x:font>
        <x:b/>
        <x:color rgb="FFB3261E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78787"/>
      <x:rgbColor rgb="FF9999FF"/>
      <x:rgbColor rgb="FFB45309"/>
      <x:rgbColor rgb="FFFFFFCC"/>
      <x:rgbColor rgb="FFCCFFFF"/>
      <x:rgbColor rgb="FF660066"/>
      <x:rgbColor rgb="FFFF8080"/>
      <x:rgbColor rgb="FF2455C4"/>
      <x:rgbColor rgb="FFD8DC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F81BD"/>
      <x:rgbColor rgb="FF33CCCC"/>
      <x:rgbColor rgb="FF99CC00"/>
      <x:rgbColor rgb="FFFFCC00"/>
      <x:rgbColor rgb="FFFF9900"/>
      <x:rgbColor rgb="FFFF6600"/>
      <x:rgbColor rgb="FF6B7280"/>
      <x:rgbColor rgb="FF969696"/>
      <x:rgbColor rgb="FF003366"/>
      <x:rgbColor rgb="FF1F8A5F"/>
      <x:rgbColor rgb="FF003300"/>
      <x:rgbColor rgb="FF333300"/>
      <x:rgbColor rgb="FFB3261E"/>
      <x:rgbColor rgb="FF993366"/>
      <x:rgbColor rgb="FF333399"/>
      <x:rgbColor rgb="FF1E2124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ff51ef0a54921" /><Relationship Type="http://schemas.openxmlformats.org/officeDocument/2006/relationships/theme" Target="/xl/theme/theme1.xml" Id="R898689d7ed764246" /><Relationship Type="http://schemas.openxmlformats.org/officeDocument/2006/relationships/sharedStrings" Target="/xl/sharedStrings.xml" Id="R79f633616f45485f" /><Relationship Type="http://schemas.openxmlformats.org/officeDocument/2006/relationships/worksheet" Target="/xl/worksheets/sheet1.xml" Id="R07f949d7f4494a22" /><Relationship Type="http://schemas.openxmlformats.org/officeDocument/2006/relationships/worksheet" Target="/xl/worksheets/sheet2.xml" Id="Rc74dda39486d47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4564ef9684400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Data Quality Issues by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</c:dLbls>
          <c:cat>
            <c:strRef>
              <c:f>Dashboard!$A$15:$A$21</c:f>
              <c:strCache>
                <c:ptCount val="7"/>
                <c:pt idx="0">
                  <c:v>Missing SKU</c:v>
                </c:pt>
                <c:pt idx="1">
                  <c:v>Missing Product Name</c:v>
                </c:pt>
                <c:pt idx="2">
                  <c:v>Duplicate SKU (rows flagged)</c:v>
                </c:pt>
                <c:pt idx="3">
                  <c:v>Invalid Category (not mapped)</c:v>
                </c:pt>
                <c:pt idx="4">
                  <c:v>Invalid Size (not mapped)</c:v>
                </c:pt>
                <c:pt idx="5">
                  <c:v>Invalid Price</c:v>
                </c:pt>
                <c:pt idx="6">
                  <c:v>Invalid Stock Quantity</c:v>
                </c:pt>
              </c:strCache>
            </c:strRef>
          </c:cat>
          <c:val>
            <c:numRef>
              <c:f>Dashboard!$C$15:$C$21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93194"/>
        <c:axId val="60615642"/>
      </c:barChart>
      <c:catAx>
        <c:axId val="77793194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Count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0615642"/>
        <c:crosses val="autoZero"/>
        <c:lblOffset val="100"/>
      </c:catAx>
      <c:valAx>
        <c:axId val="60615642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7793194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35944</xdr:colOff>
      <xdr:row>7</xdr:row>
      <xdr:rowOff>244865</xdr:rowOff>
    </xdr:from>
    <xdr:to>
      <xdr:col>9</xdr:col>
      <xdr:colOff>358504</xdr:colOff>
      <xdr:row>22</xdr:row>
      <xdr:rowOff>59387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4564ef968440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4318b793b64d99" /></Relationships>
</file>

<file path=xl/worksheets/sheet1.xml><?xml version="1.0" encoding="utf-8"?>
<x:worksheet xmlns:x="http://schemas.openxmlformats.org/spreadsheetml/2006/main">
  <x:sheetPr>
    <x:tabColor rgb="FF2455C4"/>
  </x:sheetPr>
  <x:sheetViews>
    <x:sheetView showGridLines="0" workbookViewId="0"/>
  </x:sheetViews>
  <x:sheetFormatPr defaultColWidth="8.7109375" defaultRowHeight="15"/>
  <x:cols>
    <x:col min="1" max="1" width="13" customWidth="1"/>
    <x:col min="2" max="2" width="27" customWidth="1"/>
    <x:col min="3" max="3" width="26" customWidth="1"/>
    <x:col min="4" max="4" width="19" customWidth="1"/>
    <x:col min="5" max="5" width="42" customWidth="1"/>
    <x:col min="6" max="6" width="4" customWidth="1"/>
  </x:cols>
  <x:sheetData>
    <x:row r="1" ht="25.5" customHeight="1">
      <x:c r="A1" s="9" t="s">
        <x:v>0</x:v>
      </x:c>
      <x:c r="B1" s="9"/>
      <x:c r="C1" s="9"/>
      <x:c r="D1" s="9"/>
      <x:c r="E1" s="9"/>
      <x:c r="F1" s="9"/>
    </x:row>
    <x:row r="2" ht="15" customHeight="1">
      <x:c r="A2" s="8" t="s">
        <x:v>1</x:v>
      </x:c>
      <x:c r="B2" s="8"/>
      <x:c r="C2" s="8"/>
      <x:c r="D2" s="8"/>
      <x:c r="E2" s="8"/>
      <x:c r="F2" s="8"/>
    </x:row>
    <x:row r="4" ht="30" customHeight="1">
      <x:c r="A4" s="7" t="s">
        <x:v>2</x:v>
      </x:c>
      <x:c r="B4" s="7"/>
      <x:c r="C4" s="7"/>
      <x:c r="D4" s="7"/>
      <x:c r="E4" s="7"/>
      <x:c r="F4" s="7"/>
    </x:row>
    <x:row r="5" ht="30" customHeight="1">
      <x:c r="A5" s="6" t="str">
        <x:f>IF(COUNTIF('Data Source (Reference)'!$Q$3:$Q$51,"Incomplete")&gt;0,"NOT READY — "&amp;COUNTIF('Data Source (Reference)'!$Q$3:$Q$51,"Incomplete")&amp;" product(s) Incomplete must be resolved before any listing.",IF(COUNTIF('Data Source (Reference)'!$Q$3:$Q$51,"Needs Review")&gt;0,"PARTIALLY READY — "&amp;COUNTIF('Data Source (Reference)'!$Q$3:$Q$51,"Ready to List")&amp;" of "&amp;COUNTA('Data Source (Reference)'!$A$3:$A$51)&amp;" products can list now; "&amp;COUNTIF('Data Source (Reference)'!$Q$3:$Q$51,"Needs Review")&amp;" need review before they can be added.","READY — all products can be listed."))</x:f>
        <x:v>PARTIALLY READY — 33 of 49 products can list now; 16 need review before they can be added.</x:v>
      </x:c>
      <x:c r="B5" s="6"/>
      <x:c r="C5" s="6"/>
      <x:c r="D5" s="6"/>
      <x:c r="E5" s="6"/>
      <x:c r="F5" s="6"/>
    </x:row>
    <x:row r="7" ht="19.5" customHeight="1">
      <x:c r="A7" s="5" t="s">
        <x:v>3</x:v>
      </x:c>
      <x:c r="B7" s="5"/>
      <x:c r="C7" s="10" t="n">
        <x:f>COUNTA('Data Source (Reference)'!$A$3:$A$51)</x:f>
        <x:v>49</x:v>
      </x:c>
    </x:row>
    <x:row r="8" ht="19.5" customHeight="1">
      <x:c r="A8" s="5" t="s">
        <x:v>4</x:v>
      </x:c>
      <x:c r="B8" s="5"/>
      <x:c r="C8" s="11" t="n">
        <x:f>COUNTIF('Data Source (Reference)'!$Q$3:$Q$51,"Ready to List")</x:f>
        <x:v>33</x:v>
      </x:c>
      <x:c r="D8" s="12" t="n">
        <x:f>C8/$C$7</x:f>
        <x:v>0.673469387755102</x:v>
      </x:c>
    </x:row>
    <x:row r="9" ht="19.5" customHeight="1">
      <x:c r="A9" s="5" t="s">
        <x:v>5</x:v>
      </x:c>
      <x:c r="B9" s="5"/>
      <x:c r="C9" s="13" t="n">
        <x:f>COUNTIF('Data Source (Reference)'!$Q$3:$Q$51,"Needs Review")</x:f>
        <x:v>16</x:v>
      </x:c>
      <x:c r="D9" s="12" t="n">
        <x:f>C9/$C$7</x:f>
        <x:v>0.32653061224489793</x:v>
      </x:c>
    </x:row>
    <x:row r="10" ht="19.5" customHeight="1">
      <x:c r="A10" s="5" t="s">
        <x:v>6</x:v>
      </x:c>
      <x:c r="B10" s="5"/>
      <x:c r="C10" s="14" t="n">
        <x:f>COUNTIF('Data Source (Reference)'!$Q$3:$Q$51,"Incomplete")</x:f>
        <x:v>0</x:v>
      </x:c>
      <x:c r="D10" s="12" t="n">
        <x:f>C10/$C$7</x:f>
        <x:v>0</x:v>
      </x:c>
    </x:row>
    <x:row r="13">
      <x:c r="A13" s="15" t="s">
        <x:v>7</x:v>
      </x:c>
    </x:row>
    <x:row r="14" ht="18" customHeight="1">
      <x:c r="A14" s="4" t="s">
        <x:v>8</x:v>
      </x:c>
      <x:c r="B14" s="4"/>
      <x:c r="C14" s="16" t="s">
        <x:v>9</x:v>
      </x:c>
    </x:row>
    <x:row r="15">
      <x:c r="A15" s="3" t="s">
        <x:v>10</x:v>
      </x:c>
      <x:c r="B15" s="3"/>
      <x:c r="C15" s="17" t="n">
        <x:f>COUNTBLANK('Data Source (Reference)'!B3:B51)</x:f>
        <x:v>1</x:v>
      </x:c>
    </x:row>
    <x:row r="16">
      <x:c r="A16" s="3" t="s">
        <x:v>11</x:v>
      </x:c>
      <x:c r="B16" s="3"/>
      <x:c r="C16" s="17" t="n">
        <x:f>COUNTBLANK('Data Source (Reference)'!D3:D51)</x:f>
        <x:v>1</x:v>
      </x:c>
    </x:row>
    <x:row r="17">
      <x:c r="A17" s="3" t="s">
        <x:v>12</x:v>
      </x:c>
      <x:c r="B17" s="3"/>
      <x:c r="C17" s="17" t="n">
        <x:f>COUNTIF('Data Source (Reference)'!C3:C51,"Duplicate SKU")</x:f>
        <x:v>6</x:v>
      </x:c>
    </x:row>
    <x:row r="18">
      <x:c r="A18" s="3" t="s">
        <x:v>13</x:v>
      </x:c>
      <x:c r="B18" s="3"/>
      <x:c r="C18" s="17" t="n">
        <x:f>COUNTIF('Data Source (Reference)'!F3:F51,"NOT MAPPED - INVALID")</x:f>
        <x:v>2</x:v>
      </x:c>
    </x:row>
    <x:row r="19">
      <x:c r="A19" s="3" t="s">
        <x:v>14</x:v>
      </x:c>
      <x:c r="B19" s="3"/>
      <x:c r="C19" s="17" t="n">
        <x:f>COUNTIF('Data Source (Reference)'!J3:J51,"NOT MAPPED - INVALID")</x:f>
        <x:v>0</x:v>
      </x:c>
    </x:row>
    <x:row r="20">
      <x:c r="A20" s="3" t="s">
        <x:v>15</x:v>
      </x:c>
      <x:c r="B20" s="3"/>
      <x:c r="C20" s="17" t="n">
        <x:f>COUNTIF('Data Source (Reference)'!L3:L51,"&lt;&gt;OK")</x:f>
        <x:v>3</x:v>
      </x:c>
    </x:row>
    <x:row r="21">
      <x:c r="A21" s="3" t="s">
        <x:v>16</x:v>
      </x:c>
      <x:c r="B21" s="3"/>
      <x:c r="C21" s="17" t="n">
        <x:f>COUNTIF('Data Source (Reference)'!N3:N51,"&lt;&gt;OK")</x:f>
        <x:v>3</x:v>
      </x:c>
    </x:row>
    <x:row r="24">
      <x:c r="A24" s="2" t="str">
        <x:f>"Records Requiring Action Before Listing ("&amp;COUNTIF('Data Source (Reference)'!$Q$3:$Q$51,"&lt;&gt;Ready to List")&amp;" of "&amp;COUNTA('Data Source (Reference)'!$A$3:$A$51)&amp;")"</x:f>
        <x:v>Records Requiring Action Before Listing (16 of 49)</x:v>
      </x:c>
      <x:c r="B24" s="2"/>
      <x:c r="C24" s="2"/>
      <x:c r="D24" s="2"/>
      <x:c r="E24" s="2"/>
      <x:c r="F24" s="2"/>
    </x:row>
    <x:row r="25" ht="18" customHeight="1">
      <x:c r="A25" s="16" t="s">
        <x:v>17</x:v>
      </x:c>
      <x:c r="B25" s="16" t="s">
        <x:v>18</x:v>
      </x:c>
      <x:c r="C25" s="16" t="s">
        <x:v>19</x:v>
      </x:c>
      <x:c r="D25" s="16" t="s">
        <x:v>20</x:v>
      </x:c>
      <x:c r="E25" s="16" t="s">
        <x:v>21</x:v>
      </x:c>
    </x:row>
    <x:row r="26">
      <x:c r="A26" s="18" t="n">
        <x:f>IFERROR(INDEX('Data Source (Reference)'!$A$3:$A$51,MATCH(1,'Data Source (Reference)'!$R$3:$R$51,0)),"")</x:f>
        <x:v>6</x:v>
      </x:c>
      <x:c r="B26" s="18" t="str">
        <x:f>IFERROR(IF(INDEX('Data Source (Reference)'!$B$3:$B$51,MATCH(1,'Data Source (Reference)'!$R$3:$R$51,0))=0,"(missing)",INDEX('Data Source (Reference)'!$B$3:$B$51,MATCH(1,'Data Source (Reference)'!$R$3:$R$51,0))),"")</x:f>
        <x:v>AMC-136</x:v>
      </x:c>
      <x:c r="C26" s="19" t="str">
        <x:f>IFERROR(IF(INDEX('Data Source (Reference)'!$D$3:$D$51,MATCH(1,'Data Source (Reference)'!$R$3:$R$51,0))=0,"(missing)",INDEX('Data Source (Reference)'!$D$3:$D$51,MATCH(1,'Data Source (Reference)'!$R$3:$R$51,0))),"")</x:f>
        <x:v>Sajadah Travel Roll</x:v>
      </x:c>
      <x:c r="D26" s="18" t="str">
        <x:f>IFERROR(INDEX('Data Source (Reference)'!$Q$3:$Q$51,MATCH(1,'Data Source (Reference)'!$R$3:$R$51,0)),"")</x:f>
        <x:v>Needs Review</x:v>
      </x:c>
      <x:c r="E26" s="20" t="str">
        <x:f>IFERROR(INDEX('Data Source (Reference)'!$P$3:$P$51,MATCH(1,'Data Source (Reference)'!$R$3:$R$51,0)),"")</x:f>
        <x:v>Invalid Stock (Missing)</x:v>
      </x:c>
    </x:row>
    <x:row r="27">
      <x:c r="A27" s="18" t="n">
        <x:f>IFERROR(INDEX('Data Source (Reference)'!$A$3:$A$51,MATCH(2,'Data Source (Reference)'!$R$3:$R$51,0)),"")</x:f>
        <x:v>7</x:v>
      </x:c>
      <x:c r="B27" s="18" t="str">
        <x:f>IFERROR(IF(INDEX('Data Source (Reference)'!$B$3:$B$51,MATCH(2,'Data Source (Reference)'!$R$3:$R$51,0))=0,"(missing)",INDEX('Data Source (Reference)'!$B$3:$B$51,MATCH(2,'Data Source (Reference)'!$R$3:$R$51,0))),"")</x:f>
        <x:v>AMC-122</x:v>
      </x:c>
      <x:c r="C27" s="19" t="str">
        <x:f>IFERROR(IF(INDEX('Data Source (Reference)'!$D$3:$D$51,MATCH(2,'Data Source (Reference)'!$R$3:$R$51,0))=0,"(missing)",INDEX('Data Source (Reference)'!$D$3:$D$51,MATCH(2,'Data Source (Reference)'!$R$3:$R$51,0))),"")</x:f>
        <x:v>Pashmina Diamond Italiano</x:v>
      </x:c>
      <x:c r="D27" s="18" t="str">
        <x:f>IFERROR(INDEX('Data Source (Reference)'!$Q$3:$Q$51,MATCH(2,'Data Source (Reference)'!$R$3:$R$51,0)),"")</x:f>
        <x:v>Needs Review</x:v>
      </x:c>
      <x:c r="E27" s="20" t="str">
        <x:f>IFERROR(INDEX('Data Source (Reference)'!$P$3:$P$51,MATCH(2,'Data Source (Reference)'!$R$3:$R$51,0)),"")</x:f>
        <x:v>Duplicate SKU</x:v>
      </x:c>
    </x:row>
    <x:row r="28">
      <x:c r="A28" s="18" t="n">
        <x:f>IFERROR(INDEX('Data Source (Reference)'!$A$3:$A$51,MATCH(3,'Data Source (Reference)'!$R$3:$R$51,0)),"")</x:f>
        <x:v>11</x:v>
      </x:c>
      <x:c r="B28" s="18" t="str">
        <x:f>IFERROR(IF(INDEX('Data Source (Reference)'!$B$3:$B$51,MATCH(3,'Data Source (Reference)'!$R$3:$R$51,0))=0,"(missing)",INDEX('Data Source (Reference)'!$B$3:$B$51,MATCH(3,'Data Source (Reference)'!$R$3:$R$51,0))),"")</x:f>
        <x:v>AMC-103</x:v>
      </x:c>
      <x:c r="C28" s="19" t="str">
        <x:f>IFERROR(IF(INDEX('Data Source (Reference)'!$D$3:$D$51,MATCH(3,'Data Source (Reference)'!$R$3:$R$51,0))=0,"(missing)",INDEX('Data Source (Reference)'!$D$3:$D$51,MATCH(3,'Data Source (Reference)'!$R$3:$R$51,0))),"")</x:f>
        <x:v>Pashmina Ceruty Premium</x:v>
      </x:c>
      <x:c r="D28" s="18" t="str">
        <x:f>IFERROR(INDEX('Data Source (Reference)'!$Q$3:$Q$51,MATCH(3,'Data Source (Reference)'!$R$3:$R$51,0)),"")</x:f>
        <x:v>Needs Review</x:v>
      </x:c>
      <x:c r="E28" s="20" t="str">
        <x:f>IFERROR(INDEX('Data Source (Reference)'!$P$3:$P$51,MATCH(3,'Data Source (Reference)'!$R$3:$R$51,0)),"")</x:f>
        <x:v>Invalid Price (Missing)</x:v>
      </x:c>
    </x:row>
    <x:row r="29">
      <x:c r="A29" s="18" t="n">
        <x:f>IFERROR(INDEX('Data Source (Reference)'!$A$3:$A$51,MATCH(4,'Data Source (Reference)'!$R$3:$R$51,0)),"")</x:f>
        <x:v>13</x:v>
      </x:c>
      <x:c r="B29" s="18" t="str">
        <x:f>IFERROR(IF(INDEX('Data Source (Reference)'!$B$3:$B$51,MATCH(4,'Data Source (Reference)'!$R$3:$R$51,0))=0,"(missing)",INDEX('Data Source (Reference)'!$B$3:$B$51,MATCH(4,'Data Source (Reference)'!$R$3:$R$51,0))),"")</x:f>
        <x:v>AMC-114</x:v>
      </x:c>
      <x:c r="C29" s="19" t="str">
        <x:f>IFERROR(IF(INDEX('Data Source (Reference)'!$D$3:$D$51,MATCH(4,'Data Source (Reference)'!$R$3:$R$51,0))=0,"(missing)",INDEX('Data Source (Reference)'!$D$3:$D$51,MATCH(4,'Data Source (Reference)'!$R$3:$R$51,0))),"")</x:f>
        <x:v>Mukena Katun Jepang</x:v>
      </x:c>
      <x:c r="D29" s="18" t="str">
        <x:f>IFERROR(INDEX('Data Source (Reference)'!$Q$3:$Q$51,MATCH(4,'Data Source (Reference)'!$R$3:$R$51,0)),"")</x:f>
        <x:v>Needs Review</x:v>
      </x:c>
      <x:c r="E29" s="20" t="str">
        <x:f>IFERROR(INDEX('Data Source (Reference)'!$P$3:$P$51,MATCH(4,'Data Source (Reference)'!$R$3:$R$51,0)),"")</x:f>
        <x:v>Duplicate SKU</x:v>
      </x:c>
    </x:row>
    <x:row r="30">
      <x:c r="A30" s="18" t="n">
        <x:f>IFERROR(INDEX('Data Source (Reference)'!$A$3:$A$51,MATCH(5,'Data Source (Reference)'!$R$3:$R$51,0)),"")</x:f>
        <x:v>14</x:v>
      </x:c>
      <x:c r="B30" s="18" t="str">
        <x:f>IFERROR(IF(INDEX('Data Source (Reference)'!$B$3:$B$51,MATCH(5,'Data Source (Reference)'!$R$3:$R$51,0))=0,"(missing)",INDEX('Data Source (Reference)'!$B$3:$B$51,MATCH(5,'Data Source (Reference)'!$R$3:$R$51,0))),"")</x:f>
        <x:v>AMC-124</x:v>
      </x:c>
      <x:c r="C30" s="19" t="str">
        <x:f>IFERROR(IF(INDEX('Data Source (Reference)'!$D$3:$D$51,MATCH(5,'Data Source (Reference)'!$R$3:$R$51,0))=0,"(missing)",INDEX('Data Source (Reference)'!$D$3:$D$51,MATCH(5,'Data Source (Reference)'!$R$3:$R$51,0))),"")</x:f>
        <x:v>(missing)</x:v>
      </x:c>
      <x:c r="D30" s="18" t="str">
        <x:f>IFERROR(INDEX('Data Source (Reference)'!$Q$3:$Q$51,MATCH(5,'Data Source (Reference)'!$R$3:$R$51,0)),"")</x:f>
        <x:v>Needs Review</x:v>
      </x:c>
      <x:c r="E30" s="20" t="str">
        <x:f>IFERROR(INDEX('Data Source (Reference)'!$P$3:$P$51,MATCH(5,'Data Source (Reference)'!$R$3:$R$51,0)),"")</x:f>
        <x:v>Missing Product Name</x:v>
      </x:c>
    </x:row>
    <x:row r="31">
      <x:c r="A31" s="18" t="n">
        <x:f>IFERROR(INDEX('Data Source (Reference)'!$A$3:$A$51,MATCH(6,'Data Source (Reference)'!$R$3:$R$51,0)),"")</x:f>
        <x:v>20</x:v>
      </x:c>
      <x:c r="B31" s="18" t="str">
        <x:f>IFERROR(IF(INDEX('Data Source (Reference)'!$B$3:$B$51,MATCH(6,'Data Source (Reference)'!$R$3:$R$51,0))=0,"(missing)",INDEX('Data Source (Reference)'!$B$3:$B$51,MATCH(6,'Data Source (Reference)'!$R$3:$R$51,0))),"")</x:f>
        <x:v>AMC-122</x:v>
      </x:c>
      <x:c r="C31" s="19" t="str">
        <x:f>IFERROR(IF(INDEX('Data Source (Reference)'!$D$3:$D$51,MATCH(6,'Data Source (Reference)'!$R$3:$R$51,0))=0,"(missing)",INDEX('Data Source (Reference)'!$D$3:$D$51,MATCH(6,'Data Source (Reference)'!$R$3:$R$51,0))),"")</x:f>
        <x:v>Manset Baju Kaos</x:v>
      </x:c>
      <x:c r="D31" s="18" t="str">
        <x:f>IFERROR(INDEX('Data Source (Reference)'!$Q$3:$Q$51,MATCH(6,'Data Source (Reference)'!$R$3:$R$51,0)),"")</x:f>
        <x:v>Needs Review</x:v>
      </x:c>
      <x:c r="E31" s="20" t="str">
        <x:f>IFERROR(INDEX('Data Source (Reference)'!$P$3:$P$51,MATCH(6,'Data Source (Reference)'!$R$3:$R$51,0)),"")</x:f>
        <x:v>Duplicate SKU</x:v>
      </x:c>
    </x:row>
    <x:row r="32">
      <x:c r="A32" s="18" t="n">
        <x:f>IFERROR(INDEX('Data Source (Reference)'!$A$3:$A$51,MATCH(7,'Data Source (Reference)'!$R$3:$R$51,0)),"")</x:f>
        <x:v>24</x:v>
      </x:c>
      <x:c r="B32" s="18" t="str">
        <x:f>IFERROR(IF(INDEX('Data Source (Reference)'!$B$3:$B$51,MATCH(7,'Data Source (Reference)'!$R$3:$R$51,0))=0,"(missing)",INDEX('Data Source (Reference)'!$B$3:$B$51,MATCH(7,'Data Source (Reference)'!$R$3:$R$51,0))),"")</x:f>
        <x:v>AMC-114</x:v>
      </x:c>
      <x:c r="C32" s="19" t="str">
        <x:f>IFERROR(IF(INDEX('Data Source (Reference)'!$D$3:$D$51,MATCH(7,'Data Source (Reference)'!$R$3:$R$51,0))=0,"(missing)",INDEX('Data Source (Reference)'!$D$3:$D$51,MATCH(7,'Data Source (Reference)'!$R$3:$R$51,0))),"")</x:f>
        <x:v>Abaya Embroidered Kimono</x:v>
      </x:c>
      <x:c r="D32" s="18" t="str">
        <x:f>IFERROR(INDEX('Data Source (Reference)'!$Q$3:$Q$51,MATCH(7,'Data Source (Reference)'!$R$3:$R$51,0)),"")</x:f>
        <x:v>Needs Review</x:v>
      </x:c>
      <x:c r="E32" s="20" t="str">
        <x:f>IFERROR(INDEX('Data Source (Reference)'!$P$3:$P$51,MATCH(7,'Data Source (Reference)'!$R$3:$R$51,0)),"")</x:f>
        <x:v>Duplicate SKU</x:v>
      </x:c>
    </x:row>
    <x:row r="33">
      <x:c r="A33" s="18" t="n">
        <x:f>IFERROR(INDEX('Data Source (Reference)'!$A$3:$A$51,MATCH(8,'Data Source (Reference)'!$R$3:$R$51,0)),"")</x:f>
        <x:v>27</x:v>
      </x:c>
      <x:c r="B33" s="18" t="str">
        <x:f>IFERROR(IF(INDEX('Data Source (Reference)'!$B$3:$B$51,MATCH(8,'Data Source (Reference)'!$R$3:$R$51,0))=0,"(missing)",INDEX('Data Source (Reference)'!$B$3:$B$51,MATCH(8,'Data Source (Reference)'!$R$3:$R$51,0))),"")</x:f>
        <x:v>AMC-107</x:v>
      </x:c>
      <x:c r="C33" s="19" t="str">
        <x:f>IFERROR(IF(INDEX('Data Source (Reference)'!$D$3:$D$51,MATCH(8,'Data Source (Reference)'!$R$3:$R$51,0))=0,"(missing)",INDEX('Data Source (Reference)'!$D$3:$D$51,MATCH(8,'Data Source (Reference)'!$R$3:$R$51,0))),"")</x:f>
        <x:v>Segiempat Katun Polos</x:v>
      </x:c>
      <x:c r="D33" s="18" t="str">
        <x:f>IFERROR(INDEX('Data Source (Reference)'!$Q$3:$Q$51,MATCH(8,'Data Source (Reference)'!$R$3:$R$51,0)),"")</x:f>
        <x:v>Needs Review</x:v>
      </x:c>
      <x:c r="E33" s="20" t="str">
        <x:f>IFERROR(INDEX('Data Source (Reference)'!$P$3:$P$51,MATCH(8,'Data Source (Reference)'!$R$3:$R$51,0)),"")</x:f>
        <x:v>Invalid Category (Misc)</x:v>
      </x:c>
    </x:row>
    <x:row r="34">
      <x:c r="A34" s="18" t="n">
        <x:f>IFERROR(INDEX('Data Source (Reference)'!$A$3:$A$51,MATCH(9,'Data Source (Reference)'!$R$3:$R$51,0)),"")</x:f>
        <x:v>29</x:v>
      </x:c>
      <x:c r="B34" s="18" t="str">
        <x:f>IFERROR(IF(INDEX('Data Source (Reference)'!$B$3:$B$51,MATCH(9,'Data Source (Reference)'!$R$3:$R$51,0))=0,"(missing)",INDEX('Data Source (Reference)'!$B$3:$B$51,MATCH(9,'Data Source (Reference)'!$R$3:$R$51,0))),"")</x:f>
        <x:v>AMC-133</x:v>
      </x:c>
      <x:c r="C34" s="19" t="str">
        <x:f>IFERROR(IF(INDEX('Data Source (Reference)'!$D$3:$D$51,MATCH(9,'Data Source (Reference)'!$R$3:$R$51,0))=0,"(missing)",INDEX('Data Source (Reference)'!$D$3:$D$51,MATCH(9,'Data Source (Reference)'!$R$3:$R$51,0))),"")</x:f>
        <x:v>Segiempat Voal Motif Polkadot</x:v>
      </x:c>
      <x:c r="D34" s="18" t="str">
        <x:f>IFERROR(INDEX('Data Source (Reference)'!$Q$3:$Q$51,MATCH(9,'Data Source (Reference)'!$R$3:$R$51,0)),"")</x:f>
        <x:v>Needs Review</x:v>
      </x:c>
      <x:c r="E34" s="20" t="str">
        <x:f>IFERROR(INDEX('Data Source (Reference)'!$P$3:$P$51,MATCH(9,'Data Source (Reference)'!$R$3:$R$51,0)),"")</x:f>
        <x:v>Invalid Price (Non-numeric)</x:v>
      </x:c>
    </x:row>
    <x:row r="35">
      <x:c r="A35" s="18" t="n">
        <x:f>IFERROR(INDEX('Data Source (Reference)'!$A$3:$A$51,MATCH(10,'Data Source (Reference)'!$R$3:$R$51,0)),"")</x:f>
        <x:v>32</x:v>
      </x:c>
      <x:c r="B35" s="18" t="str">
        <x:f>IFERROR(IF(INDEX('Data Source (Reference)'!$B$3:$B$51,MATCH(10,'Data Source (Reference)'!$R$3:$R$51,0))=0,"(missing)",INDEX('Data Source (Reference)'!$B$3:$B$51,MATCH(10,'Data Source (Reference)'!$R$3:$R$51,0))),"")</x:f>
        <x:v>AMC-116</x:v>
      </x:c>
      <x:c r="C35" s="19" t="str">
        <x:f>IFERROR(IF(INDEX('Data Source (Reference)'!$D$3:$D$51,MATCH(10,'Data Source (Reference)'!$R$3:$R$51,0))=0,"(missing)",INDEX('Data Source (Reference)'!$D$3:$D$51,MATCH(10,'Data Source (Reference)'!$R$3:$R$51,0))),"")</x:f>
        <x:v>Mukena Katun Jepang</x:v>
      </x:c>
      <x:c r="D35" s="18" t="str">
        <x:f>IFERROR(INDEX('Data Source (Reference)'!$Q$3:$Q$51,MATCH(10,'Data Source (Reference)'!$R$3:$R$51,0)),"")</x:f>
        <x:v>Needs Review</x:v>
      </x:c>
      <x:c r="E35" s="20" t="str">
        <x:f>IFERROR(INDEX('Data Source (Reference)'!$P$3:$P$51,MATCH(10,'Data Source (Reference)'!$R$3:$R$51,0)),"")</x:f>
        <x:v>Invalid Price (Invalid (&lt;=0))</x:v>
      </x:c>
    </x:row>
    <x:row r="36">
      <x:c r="A36" s="18" t="n">
        <x:f>IFERROR(INDEX('Data Source (Reference)'!$A$3:$A$51,MATCH(11,'Data Source (Reference)'!$R$3:$R$51,0)),"")</x:f>
        <x:v>41</x:v>
      </x:c>
      <x:c r="B36" s="18" t="str">
        <x:f>IFERROR(IF(INDEX('Data Source (Reference)'!$B$3:$B$51,MATCH(11,'Data Source (Reference)'!$R$3:$R$51,0))=0,"(missing)",INDEX('Data Source (Reference)'!$B$3:$B$51,MATCH(11,'Data Source (Reference)'!$R$3:$R$51,0))),"")</x:f>
        <x:v>AMC-105</x:v>
      </x:c>
      <x:c r="C36" s="19" t="str">
        <x:f>IFERROR(IF(INDEX('Data Source (Reference)'!$D$3:$D$51,MATCH(11,'Data Source (Reference)'!$R$3:$R$51,0))=0,"(missing)",INDEX('Data Source (Reference)'!$D$3:$D$51,MATCH(11,'Data Source (Reference)'!$R$3:$R$51,0))),"")</x:f>
        <x:v>Bergo Instan Ceruty</x:v>
      </x:c>
      <x:c r="D36" s="18" t="str">
        <x:f>IFERROR(INDEX('Data Source (Reference)'!$Q$3:$Q$51,MATCH(11,'Data Source (Reference)'!$R$3:$R$51,0)),"")</x:f>
        <x:v>Needs Review</x:v>
      </x:c>
      <x:c r="E36" s="20" t="str">
        <x:f>IFERROR(INDEX('Data Source (Reference)'!$P$3:$P$51,MATCH(11,'Data Source (Reference)'!$R$3:$R$51,0)),"")</x:f>
        <x:v>Duplicate SKU</x:v>
      </x:c>
    </x:row>
    <x:row r="37">
      <x:c r="A37" s="18" t="n">
        <x:f>IFERROR(INDEX('Data Source (Reference)'!$A$3:$A$51,MATCH(12,'Data Source (Reference)'!$R$3:$R$51,0)),"")</x:f>
        <x:v>42</x:v>
      </x:c>
      <x:c r="B37" s="18" t="str">
        <x:f>IFERROR(IF(INDEX('Data Source (Reference)'!$B$3:$B$51,MATCH(12,'Data Source (Reference)'!$R$3:$R$51,0))=0,"(missing)",INDEX('Data Source (Reference)'!$B$3:$B$51,MATCH(12,'Data Source (Reference)'!$R$3:$R$51,0))),"")</x:f>
        <x:v>AMC-109</x:v>
      </x:c>
      <x:c r="C37" s="19" t="str">
        <x:f>IFERROR(IF(INDEX('Data Source (Reference)'!$D$3:$D$51,MATCH(12,'Data Source (Reference)'!$R$3:$R$51,0))=0,"(missing)",INDEX('Data Source (Reference)'!$D$3:$D$51,MATCH(12,'Data Source (Reference)'!$R$3:$R$51,0))),"")</x:f>
        <x:v>Khimar Jersey 2 Layer</x:v>
      </x:c>
      <x:c r="D37" s="18" t="str">
        <x:f>IFERROR(INDEX('Data Source (Reference)'!$Q$3:$Q$51,MATCH(12,'Data Source (Reference)'!$R$3:$R$51,0)),"")</x:f>
        <x:v>Needs Review</x:v>
      </x:c>
      <x:c r="E37" s="20" t="str">
        <x:f>IFERROR(INDEX('Data Source (Reference)'!$P$3:$P$51,MATCH(12,'Data Source (Reference)'!$R$3:$R$51,0)),"")</x:f>
        <x:v>Invalid Stock (Missing)</x:v>
      </x:c>
    </x:row>
    <x:row r="38">
      <x:c r="A38" s="18" t="n">
        <x:f>IFERROR(INDEX('Data Source (Reference)'!$A$3:$A$51,MATCH(13,'Data Source (Reference)'!$R$3:$R$51,0)),"")</x:f>
        <x:v>43</x:v>
      </x:c>
      <x:c r="B38" s="18" t="str">
        <x:f>IFERROR(IF(INDEX('Data Source (Reference)'!$B$3:$B$51,MATCH(13,'Data Source (Reference)'!$R$3:$R$51,0))=0,"(missing)",INDEX('Data Source (Reference)'!$B$3:$B$51,MATCH(13,'Data Source (Reference)'!$R$3:$R$51,0))),"")</x:f>
        <x:v>AMC-119</x:v>
      </x:c>
      <x:c r="C38" s="19" t="str">
        <x:f>IFERROR(IF(INDEX('Data Source (Reference)'!$D$3:$D$51,MATCH(13,'Data Source (Reference)'!$R$3:$R$51,0))=0,"(missing)",INDEX('Data Source (Reference)'!$D$3:$D$51,MATCH(13,'Data Source (Reference)'!$R$3:$R$51,0))),"")</x:f>
        <x:v>Tasbih Digital Counter</x:v>
      </x:c>
      <x:c r="D38" s="18" t="str">
        <x:f>IFERROR(INDEX('Data Source (Reference)'!$Q$3:$Q$51,MATCH(13,'Data Source (Reference)'!$R$3:$R$51,0)),"")</x:f>
        <x:v>Needs Review</x:v>
      </x:c>
      <x:c r="E38" s="20" t="str">
        <x:f>IFERROR(INDEX('Data Source (Reference)'!$P$3:$P$51,MATCH(13,'Data Source (Reference)'!$R$3:$R$51,0)),"")</x:f>
        <x:v>Invalid Stock (Invalid (negative))</x:v>
      </x:c>
    </x:row>
    <x:row r="39">
      <x:c r="A39" s="18" t="n">
        <x:f>IFERROR(INDEX('Data Source (Reference)'!$A$3:$A$51,MATCH(14,'Data Source (Reference)'!$R$3:$R$51,0)),"")</x:f>
        <x:v>46</x:v>
      </x:c>
      <x:c r="B39" s="18" t="str">
        <x:f>IFERROR(IF(INDEX('Data Source (Reference)'!$B$3:$B$51,MATCH(14,'Data Source (Reference)'!$R$3:$R$51,0))=0,"(missing)",INDEX('Data Source (Reference)'!$B$3:$B$51,MATCH(14,'Data Source (Reference)'!$R$3:$R$51,0))),"")</x:f>
        <x:v>AMC-105</x:v>
      </x:c>
      <x:c r="C39" s="19" t="str">
        <x:f>IFERROR(IF(INDEX('Data Source (Reference)'!$D$3:$D$51,MATCH(14,'Data Source (Reference)'!$R$3:$R$51,0))=0,"(missing)",INDEX('Data Source (Reference)'!$D$3:$D$51,MATCH(14,'Data Source (Reference)'!$R$3:$R$51,0))),"")</x:f>
        <x:v>Abaya Nida Basic</x:v>
      </x:c>
      <x:c r="D39" s="18" t="str">
        <x:f>IFERROR(INDEX('Data Source (Reference)'!$Q$3:$Q$51,MATCH(14,'Data Source (Reference)'!$R$3:$R$51,0)),"")</x:f>
        <x:v>Needs Review</x:v>
      </x:c>
      <x:c r="E39" s="20" t="str">
        <x:f>IFERROR(INDEX('Data Source (Reference)'!$P$3:$P$51,MATCH(14,'Data Source (Reference)'!$R$3:$R$51,0)),"")</x:f>
        <x:v>Duplicate SKU</x:v>
      </x:c>
    </x:row>
    <x:row r="40">
      <x:c r="A40" s="18" t="n">
        <x:f>IFERROR(INDEX('Data Source (Reference)'!$A$3:$A$51,MATCH(15,'Data Source (Reference)'!$R$3:$R$51,0)),"")</x:f>
        <x:v>48</x:v>
      </x:c>
      <x:c r="B40" s="18" t="str">
        <x:f>IFERROR(IF(INDEX('Data Source (Reference)'!$B$3:$B$51,MATCH(15,'Data Source (Reference)'!$R$3:$R$51,0))=0,"(missing)",INDEX('Data Source (Reference)'!$B$3:$B$51,MATCH(15,'Data Source (Reference)'!$R$3:$R$51,0))),"")</x:f>
        <x:v>(missing)</x:v>
      </x:c>
      <x:c r="C40" s="19" t="str">
        <x:f>IFERROR(IF(INDEX('Data Source (Reference)'!$D$3:$D$51,MATCH(15,'Data Source (Reference)'!$R$3:$R$51,0))=0,"(missing)",INDEX('Data Source (Reference)'!$D$3:$D$51,MATCH(15,'Data Source (Reference)'!$R$3:$R$51,0))),"")</x:f>
        <x:v>Khimar Jersey 2 Layer</x:v>
      </x:c>
      <x:c r="D40" s="18" t="str">
        <x:f>IFERROR(INDEX('Data Source (Reference)'!$Q$3:$Q$51,MATCH(15,'Data Source (Reference)'!$R$3:$R$51,0)),"")</x:f>
        <x:v>Needs Review</x:v>
      </x:c>
      <x:c r="E40" s="20" t="str">
        <x:f>IFERROR(INDEX('Data Source (Reference)'!$P$3:$P$51,MATCH(15,'Data Source (Reference)'!$R$3:$R$51,0)),"")</x:f>
        <x:v>Missing SKU</x:v>
      </x:c>
    </x:row>
    <x:row r="41">
      <x:c r="A41" s="18" t="n">
        <x:f>IFERROR(INDEX('Data Source (Reference)'!$A$3:$A$51,MATCH(16,'Data Source (Reference)'!$R$3:$R$51,0)),"")</x:f>
        <x:v>49</x:v>
      </x:c>
      <x:c r="B41" s="18" t="str">
        <x:f>IFERROR(IF(INDEX('Data Source (Reference)'!$B$3:$B$51,MATCH(16,'Data Source (Reference)'!$R$3:$R$51,0))=0,"(missing)",INDEX('Data Source (Reference)'!$B$3:$B$51,MATCH(16,'Data Source (Reference)'!$R$3:$R$51,0))),"")</x:f>
        <x:v>AMC-130</x:v>
      </x:c>
      <x:c r="C41" s="19" t="str">
        <x:f>IFERROR(IF(INDEX('Data Source (Reference)'!$D$3:$D$51,MATCH(16,'Data Source (Reference)'!$R$3:$R$51,0))=0,"(missing)",INDEX('Data Source (Reference)'!$D$3:$D$51,MATCH(16,'Data Source (Reference)'!$R$3:$R$51,0))),"")</x:f>
        <x:v>Pashmina Ceruty Premium</x:v>
      </x:c>
      <x:c r="D41" s="18" t="str">
        <x:f>IFERROR(INDEX('Data Source (Reference)'!$Q$3:$Q$51,MATCH(16,'Data Source (Reference)'!$R$3:$R$51,0)),"")</x:f>
        <x:v>Needs Review</x:v>
      </x:c>
      <x:c r="E41" s="20" t="str">
        <x:f>IFERROR(INDEX('Data Source (Reference)'!$P$3:$P$51,MATCH(16,'Data Source (Reference)'!$R$3:$R$51,0)),"")</x:f>
        <x:v>Invalid Category (New Arrival)</x:v>
      </x:c>
    </x:row>
    <x:row r="42">
      <x:c r="A42" s="18" t="str">
        <x:f>IFERROR(INDEX('Data Source (Reference)'!$A$3:$A$51,MATCH(17,'Data Source (Reference)'!$R$3:$R$51,0)),"")</x:f>
      </x:c>
      <x:c r="B42" s="18" t="str">
        <x:f>IFERROR(IF(INDEX('Data Source (Reference)'!$B$3:$B$51,MATCH(17,'Data Source (Reference)'!$R$3:$R$51,0))=0,"(missing)",INDEX('Data Source (Reference)'!$B$3:$B$51,MATCH(17,'Data Source (Reference)'!$R$3:$R$51,0))),"")</x:f>
      </x:c>
      <x:c r="C42" s="19" t="str">
        <x:f>IFERROR(IF(INDEX('Data Source (Reference)'!$D$3:$D$51,MATCH(17,'Data Source (Reference)'!$R$3:$R$51,0))=0,"(missing)",INDEX('Data Source (Reference)'!$D$3:$D$51,MATCH(17,'Data Source (Reference)'!$R$3:$R$51,0))),"")</x:f>
      </x:c>
      <x:c r="D42" s="18" t="str">
        <x:f>IFERROR(INDEX('Data Source (Reference)'!$Q$3:$Q$51,MATCH(17,'Data Source (Reference)'!$R$3:$R$51,0)),"")</x:f>
      </x:c>
      <x:c r="E42" s="20" t="str">
        <x:f>IFERROR(INDEX('Data Source (Reference)'!$P$3:$P$51,MATCH(17,'Data Source (Reference)'!$R$3:$R$51,0)),"")</x:f>
      </x:c>
    </x:row>
    <x:row r="43">
      <x:c r="A43" s="18" t="str">
        <x:f>IFERROR(INDEX('Data Source (Reference)'!$A$3:$A$51,MATCH(18,'Data Source (Reference)'!$R$3:$R$51,0)),"")</x:f>
      </x:c>
      <x:c r="B43" s="18" t="str">
        <x:f>IFERROR(IF(INDEX('Data Source (Reference)'!$B$3:$B$51,MATCH(18,'Data Source (Reference)'!$R$3:$R$51,0))=0,"(missing)",INDEX('Data Source (Reference)'!$B$3:$B$51,MATCH(18,'Data Source (Reference)'!$R$3:$R$51,0))),"")</x:f>
      </x:c>
      <x:c r="C43" s="19" t="str">
        <x:f>IFERROR(IF(INDEX('Data Source (Reference)'!$D$3:$D$51,MATCH(18,'Data Source (Reference)'!$R$3:$R$51,0))=0,"(missing)",INDEX('Data Source (Reference)'!$D$3:$D$51,MATCH(18,'Data Source (Reference)'!$R$3:$R$51,0))),"")</x:f>
      </x:c>
      <x:c r="D43" s="18" t="str">
        <x:f>IFERROR(INDEX('Data Source (Reference)'!$Q$3:$Q$51,MATCH(18,'Data Source (Reference)'!$R$3:$R$51,0)),"")</x:f>
      </x:c>
      <x:c r="E43" s="20" t="str">
        <x:f>IFERROR(INDEX('Data Source (Reference)'!$P$3:$P$51,MATCH(18,'Data Source (Reference)'!$R$3:$R$51,0)),"")</x:f>
      </x:c>
    </x:row>
    <x:row r="44" ht="28" customHeight="1">
      <x:c r="A44" s="33" t="str">
        <x:v>AUDIT CONTROL: issue counts are formula-linked to Data Source (Reference) and reconcile to the 16-row action list.</x:v>
      </x:c>
      <x:c r="B44" s="33" t="str">
        <x:f>IFERROR(IF(INDEX('Data Source (Reference)'!$B$3:$B$51,MATCH(19,'Data Source (Reference)'!$R$3:$R$51,0))=0,"(missing)",INDEX('Data Source (Reference)'!$B$3:$B$51,MATCH(19,'Data Source (Reference)'!$R$3:$R$51,0))),"")</x:f>
      </x:c>
      <x:c r="C44" s="34" t="str">
        <x:f>IFERROR(IF(INDEX('Data Source (Reference)'!$D$3:$D$51,MATCH(19,'Data Source (Reference)'!$R$3:$R$51,0))=0,"(missing)",INDEX('Data Source (Reference)'!$D$3:$D$51,MATCH(19,'Data Source (Reference)'!$R$3:$R$51,0))),"")</x:f>
      </x:c>
      <x:c r="D44" s="33" t="str">
        <x:f>IFERROR(INDEX('Data Source (Reference)'!$Q$3:$Q$51,MATCH(19,'Data Source (Reference)'!$R$3:$R$51,0)),"")</x:f>
      </x:c>
      <x:c r="E44" s="34" t="str">
        <x:f>IFERROR(INDEX('Data Source (Reference)'!$P$3:$P$51,MATCH(19,'Data Source (Reference)'!$R$3:$R$51,0)),"")</x:f>
      </x:c>
      <x:c r="F44" s="35"/>
    </x:row>
    <x:row r="45">
      <x:c r="A45" s="18" t="str">
        <x:f>IFERROR(INDEX('Data Source (Reference)'!$A$3:$A$51,MATCH(20,'Data Source (Reference)'!$R$3:$R$51,0)),"")</x:f>
      </x:c>
      <x:c r="B45" s="18" t="str">
        <x:f>IFERROR(IF(INDEX('Data Source (Reference)'!$B$3:$B$51,MATCH(20,'Data Source (Reference)'!$R$3:$R$51,0))=0,"(missing)",INDEX('Data Source (Reference)'!$B$3:$B$51,MATCH(20,'Data Source (Reference)'!$R$3:$R$51,0))),"")</x:f>
      </x:c>
      <x:c r="C45" s="19" t="str">
        <x:f>IFERROR(IF(INDEX('Data Source (Reference)'!$D$3:$D$51,MATCH(20,'Data Source (Reference)'!$R$3:$R$51,0))=0,"(missing)",INDEX('Data Source (Reference)'!$D$3:$D$51,MATCH(20,'Data Source (Reference)'!$R$3:$R$51,0))),"")</x:f>
      </x:c>
      <x:c r="D45" s="18" t="str">
        <x:f>IFERROR(INDEX('Data Source (Reference)'!$Q$3:$Q$51,MATCH(20,'Data Source (Reference)'!$R$3:$R$51,0)),"")</x:f>
      </x:c>
      <x:c r="E45" s="20" t="str">
        <x:f>IFERROR(INDEX('Data Source (Reference)'!$P$3:$P$51,MATCH(20,'Data Source (Reference)'!$R$3:$R$51,0)),"")</x:f>
      </x:c>
    </x:row>
  </x:sheetData>
  <x:mergeCells>
    <x:mergeCell ref="A21:B21"/>
    <x:mergeCell ref="A24:F24"/>
    <x:mergeCell ref="A16:B16"/>
    <x:mergeCell ref="A17:B17"/>
    <x:mergeCell ref="A18:B18"/>
    <x:mergeCell ref="A19:B19"/>
    <x:mergeCell ref="A20:B20"/>
    <x:mergeCell ref="A8:B8"/>
    <x:mergeCell ref="A9:B9"/>
    <x:mergeCell ref="A10:B10"/>
    <x:mergeCell ref="A14:B14"/>
    <x:mergeCell ref="A15:B15"/>
    <x:mergeCell ref="A1:F1"/>
    <x:mergeCell ref="A2:F2"/>
    <x:mergeCell ref="A4:F4"/>
    <x:mergeCell ref="A5:F5"/>
    <x:mergeCell ref="A7:B7"/>
    <x:mergeCell ref="A44:F44"/>
  </x:mergeCells>
  <x:conditionalFormatting sqref="D26:D45">
    <x:cfRule type="expression" dxfId="1" priority="2">
      <x:formula>D26="Incomplete"</x:formula>
    </x:cfRule>
    <x:cfRule type="expression" dxfId="0" priority="3">
      <x:formula>D26="Needs Review"</x:formula>
    </x:cfRule>
  </x:conditionalFormatting>
  <x:pageMargins left="0.7" right="0.7" top="0.75" bottom="0.75" header="0.3" footer="0.3"/>
  <x:drawing xmlns:r="http://schemas.openxmlformats.org/officeDocument/2006/relationships" r:id="Rb04318b793b64d99"/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ColWidth="8.7109375" defaultRowHeight="15"/>
  <x:cols>
    <x:col min="1" max="1" width="10" customWidth="1"/>
    <x:col min="2" max="2" width="12" customWidth="1"/>
    <x:col min="3" max="3" width="15" customWidth="1"/>
    <x:col min="4" max="4" width="24" customWidth="1"/>
    <x:col min="5" max="5" width="14" customWidth="1"/>
    <x:col min="6" max="6" width="18" customWidth="1"/>
    <x:col min="7" max="7" width="14" customWidth="1"/>
    <x:col min="8" max="8" width="18" customWidth="1"/>
    <x:col min="9" max="9" width="11" customWidth="1"/>
    <x:col min="10" max="10" width="15" customWidth="1"/>
    <x:col min="11" max="11" width="9" customWidth="1"/>
    <x:col min="12" max="12" width="12" customWidth="1"/>
    <x:col min="13" max="13" width="11" customWidth="1"/>
    <x:col min="14" max="14" width="13" customWidth="1"/>
    <x:col min="15" max="15" width="9" customWidth="1"/>
    <x:col min="16" max="16" width="38" customWidth="1"/>
    <x:col min="17" max="18" width="16" customWidth="1"/>
  </x:cols>
  <x:sheetData>
    <x:row r="1" ht="15.75" customHeight="1">
      <x:c r="A1" s="1" t="s">
        <x:v>22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7.75" customHeight="1">
      <x:c r="A2" s="16" t="s">
        <x:v>23</x:v>
      </x:c>
      <x:c r="B2" s="16" t="s">
        <x:v>18</x:v>
      </x:c>
      <x:c r="C2" s="16" t="s">
        <x:v>24</x:v>
      </x:c>
      <x:c r="D2" s="16" t="s">
        <x:v>19</x:v>
      </x:c>
      <x:c r="E2" s="16" t="s">
        <x:v>25</x:v>
      </x:c>
      <x:c r="F2" s="16" t="s">
        <x:v>26</x:v>
      </x:c>
      <x:c r="G2" s="16" t="s">
        <x:v>27</x:v>
      </x:c>
      <x:c r="H2" s="16" t="s">
        <x:v>28</x:v>
      </x:c>
      <x:c r="I2" s="16" t="s">
        <x:v>29</x:v>
      </x:c>
      <x:c r="J2" s="16" t="s">
        <x:v>30</x:v>
      </x:c>
      <x:c r="K2" s="16" t="s">
        <x:v>31</x:v>
      </x:c>
      <x:c r="L2" s="16" t="s">
        <x:v>32</x:v>
      </x:c>
      <x:c r="M2" s="16" t="s">
        <x:v>33</x:v>
      </x:c>
      <x:c r="N2" s="16" t="s">
        <x:v>34</x:v>
      </x:c>
      <x:c r="O2" s="16" t="s">
        <x:v>35</x:v>
      </x:c>
      <x:c r="P2" s="16" t="s">
        <x:v>21</x:v>
      </x:c>
      <x:c r="Q2" s="16" t="s">
        <x:v>20</x:v>
      </x:c>
      <x:c r="R2" s="16" t="s">
        <x:v>36</x:v>
      </x:c>
    </x:row>
    <x:row r="3">
      <x:c r="A3" s="21">
        <x:v>5</x:v>
      </x:c>
      <x:c r="B3" s="21" t="s">
        <x:v>37</x:v>
      </x:c>
      <x:c r="C3" s="21"/>
      <x:c r="D3" s="21" t="s">
        <x:v>38</x:v>
      </x:c>
      <x:c r="E3" s="21" t="s">
        <x:v>39</x:v>
      </x:c>
      <x:c r="F3" s="21" t="s">
        <x:v>40</x:v>
      </x:c>
      <x:c r="G3" s="21" t="s">
        <x:v>41</x:v>
      </x:c>
      <x:c r="H3" s="21" t="s">
        <x:v>42</x:v>
      </x:c>
      <x:c r="I3" s="21" t="s">
        <x:v>43</x:v>
      </x:c>
      <x:c r="J3" s="21" t="s">
        <x:v>44</x:v>
      </x:c>
      <x:c r="K3" s="21">
        <x:v>38</x:v>
      </x:c>
      <x:c r="L3" s="21" t="s">
        <x:v>45</x:v>
      </x:c>
      <x:c r="M3" s="21">
        <x:v>8</x:v>
      </x:c>
      <x:c r="N3" s="21" t="s">
        <x:v>45</x:v>
      </x:c>
      <x:c r="O3" s="21">
        <x:v>0</x:v>
      </x:c>
      <x:c r="P3" s="21"/>
      <x:c r="Q3" s="21" t="s">
        <x:v>4</x:v>
      </x:c>
      <x:c r="R3" s="22" t="str">
        <x:f>IF(Q3&lt;&gt;"Ready to List",COUNTIFS($Q$3:Q3,"&lt;&gt;Ready to List"),"")</x:f>
      </x:c>
    </x:row>
    <x:row r="4">
      <x:c r="A4" s="21">
        <x:v>6</x:v>
      </x:c>
      <x:c r="B4" s="21" t="s">
        <x:v>46</x:v>
      </x:c>
      <x:c r="C4" s="21"/>
      <x:c r="D4" s="21" t="s">
        <x:v>47</x:v>
      </x:c>
      <x:c r="E4" s="21" t="s">
        <x:v>48</x:v>
      </x:c>
      <x:c r="F4" s="21" t="s">
        <x:v>49</x:v>
      </x:c>
      <x:c r="G4" s="21" t="s">
        <x:v>50</x:v>
      </x:c>
      <x:c r="H4" s="21" t="s">
        <x:v>42</x:v>
      </x:c>
      <x:c r="I4" s="21" t="s">
        <x:v>51</x:v>
      </x:c>
      <x:c r="J4" s="21" t="s">
        <x:v>51</x:v>
      </x:c>
      <x:c r="K4" s="21">
        <x:v>9</x:v>
      </x:c>
      <x:c r="L4" s="21" t="s">
        <x:v>45</x:v>
      </x:c>
      <x:c r="M4" s="21"/>
      <x:c r="N4" s="21" t="s">
        <x:v>52</x:v>
      </x:c>
      <x:c r="O4" s="21">
        <x:v>1</x:v>
      </x:c>
      <x:c r="P4" s="21" t="s">
        <x:v>53</x:v>
      </x:c>
      <x:c r="Q4" s="21" t="s">
        <x:v>5</x:v>
      </x:c>
      <x:c r="R4" s="22" t="n">
        <x:f>IF(Q4&lt;&gt;"Ready to List",COUNTIFS($Q$3:Q4,"&lt;&gt;Ready to List"),"")</x:f>
        <x:v>1</x:v>
      </x:c>
    </x:row>
    <x:row r="5">
      <x:c r="A5" s="21">
        <x:v>7</x:v>
      </x:c>
      <x:c r="B5" s="21" t="s">
        <x:v>54</x:v>
      </x:c>
      <x:c r="C5" s="21" t="s">
        <x:v>55</x:v>
      </x:c>
      <x:c r="D5" s="21" t="s">
        <x:v>56</x:v>
      </x:c>
      <x:c r="E5" s="21" t="s">
        <x:v>57</x:v>
      </x:c>
      <x:c r="F5" s="21" t="s">
        <x:v>58</x:v>
      </x:c>
      <x:c r="G5" s="21" t="s">
        <x:v>59</x:v>
      </x:c>
      <x:c r="H5" s="21" t="s">
        <x:v>60</x:v>
      </x:c>
      <x:c r="I5" s="21" t="s">
        <x:v>61</x:v>
      </x:c>
      <x:c r="J5" s="21" t="s">
        <x:v>51</x:v>
      </x:c>
      <x:c r="K5" s="21">
        <x:v>12.5</x:v>
      </x:c>
      <x:c r="L5" s="21" t="s">
        <x:v>45</x:v>
      </x:c>
      <x:c r="M5" s="21">
        <x:v>20</x:v>
      </x:c>
      <x:c r="N5" s="21" t="s">
        <x:v>45</x:v>
      </x:c>
      <x:c r="O5" s="21">
        <x:v>1</x:v>
      </x:c>
      <x:c r="P5" s="21" t="s">
        <x:v>55</x:v>
      </x:c>
      <x:c r="Q5" s="21" t="s">
        <x:v>5</x:v>
      </x:c>
      <x:c r="R5" s="22" t="n">
        <x:f>IF(Q5&lt;&gt;"Ready to List",COUNTIFS($Q$3:Q5,"&lt;&gt;Ready to List"),"")</x:f>
        <x:v>2</x:v>
      </x:c>
    </x:row>
    <x:row r="6">
      <x:c r="A6" s="21">
        <x:v>8</x:v>
      </x:c>
      <x:c r="B6" s="21" t="s">
        <x:v>62</x:v>
      </x:c>
      <x:c r="C6" s="21"/>
      <x:c r="D6" s="21" t="s">
        <x:v>63</x:v>
      </x:c>
      <x:c r="E6" s="21" t="s">
        <x:v>64</x:v>
      </x:c>
      <x:c r="F6" s="21" t="s">
        <x:v>64</x:v>
      </x:c>
      <x:c r="G6" s="21" t="s">
        <x:v>65</x:v>
      </x:c>
      <x:c r="H6" s="21" t="s">
        <x:v>65</x:v>
      </x:c>
      <x:c r="I6" s="21" t="s">
        <x:v>66</x:v>
      </x:c>
      <x:c r="J6" s="21" t="s">
        <x:v>51</x:v>
      </x:c>
      <x:c r="K6" s="21">
        <x:v>5</x:v>
      </x:c>
      <x:c r="L6" s="21" t="s">
        <x:v>45</x:v>
      </x:c>
      <x:c r="M6" s="21">
        <x:v>31</x:v>
      </x:c>
      <x:c r="N6" s="21" t="s">
        <x:v>45</x:v>
      </x:c>
      <x:c r="O6" s="21">
        <x:v>0</x:v>
      </x:c>
      <x:c r="P6" s="21"/>
      <x:c r="Q6" s="21" t="s">
        <x:v>4</x:v>
      </x:c>
      <x:c r="R6" s="22" t="str">
        <x:f>IF(Q6&lt;&gt;"Ready to List",COUNTIFS($Q$3:Q6,"&lt;&gt;Ready to List"),"")</x:f>
      </x:c>
    </x:row>
    <x:row r="7">
      <x:c r="A7" s="21">
        <x:v>9</x:v>
      </x:c>
      <x:c r="B7" s="21" t="s">
        <x:v>67</x:v>
      </x:c>
      <x:c r="C7" s="21"/>
      <x:c r="D7" s="21" t="s">
        <x:v>56</x:v>
      </x:c>
      <x:c r="E7" s="21" t="s">
        <x:v>57</x:v>
      </x:c>
      <x:c r="F7" s="21" t="s">
        <x:v>58</x:v>
      </x:c>
      <x:c r="G7" s="21" t="s">
        <x:v>68</x:v>
      </x:c>
      <x:c r="H7" s="21" t="s">
        <x:v>69</x:v>
      </x:c>
      <x:c r="I7" s="21" t="s">
        <x:v>61</x:v>
      </x:c>
      <x:c r="J7" s="21" t="s">
        <x:v>51</x:v>
      </x:c>
      <x:c r="K7" s="21">
        <x:v>12.5</x:v>
      </x:c>
      <x:c r="L7" s="21" t="s">
        <x:v>45</x:v>
      </x:c>
      <x:c r="M7" s="21">
        <x:v>24</x:v>
      </x:c>
      <x:c r="N7" s="21" t="s">
        <x:v>45</x:v>
      </x:c>
      <x:c r="O7" s="21">
        <x:v>0</x:v>
      </x:c>
      <x:c r="P7" s="21"/>
      <x:c r="Q7" s="21" t="s">
        <x:v>4</x:v>
      </x:c>
      <x:c r="R7" s="22" t="str">
        <x:f>IF(Q7&lt;&gt;"Ready to List",COUNTIFS($Q$3:Q7,"&lt;&gt;Ready to List"),"")</x:f>
      </x:c>
    </x:row>
    <x:row r="8">
      <x:c r="A8" s="21">
        <x:v>10</x:v>
      </x:c>
      <x:c r="B8" s="21" t="s">
        <x:v>70</x:v>
      </x:c>
      <x:c r="C8" s="21"/>
      <x:c r="D8" s="21" t="s">
        <x:v>71</x:v>
      </x:c>
      <x:c r="E8" s="21" t="s">
        <x:v>72</x:v>
      </x:c>
      <x:c r="F8" s="21" t="s">
        <x:v>40</x:v>
      </x:c>
      <x:c r="G8" s="21" t="s">
        <x:v>73</x:v>
      </x:c>
      <x:c r="H8" s="21" t="s">
        <x:v>65</x:v>
      </x:c>
      <x:c r="I8" s="21" t="s">
        <x:v>44</x:v>
      </x:c>
      <x:c r="J8" s="21" t="s">
        <x:v>44</x:v>
      </x:c>
      <x:c r="K8" s="21">
        <x:v>24</x:v>
      </x:c>
      <x:c r="L8" s="21" t="s">
        <x:v>45</x:v>
      </x:c>
      <x:c r="M8" s="21">
        <x:v>12</x:v>
      </x:c>
      <x:c r="N8" s="21" t="s">
        <x:v>45</x:v>
      </x:c>
      <x:c r="O8" s="21">
        <x:v>0</x:v>
      </x:c>
      <x:c r="P8" s="21"/>
      <x:c r="Q8" s="21" t="s">
        <x:v>4</x:v>
      </x:c>
      <x:c r="R8" s="22" t="str">
        <x:f>IF(Q8&lt;&gt;"Ready to List",COUNTIFS($Q$3:Q8,"&lt;&gt;Ready to List"),"")</x:f>
      </x:c>
    </x:row>
    <x:row r="9">
      <x:c r="A9" s="21">
        <x:v>11</x:v>
      </x:c>
      <x:c r="B9" s="21" t="s">
        <x:v>74</x:v>
      </x:c>
      <x:c r="C9" s="21"/>
      <x:c r="D9" s="21" t="s">
        <x:v>75</x:v>
      </x:c>
      <x:c r="E9" s="21" t="s">
        <x:v>76</x:v>
      </x:c>
      <x:c r="F9" s="21" t="s">
        <x:v>58</x:v>
      </x:c>
      <x:c r="G9" s="21" t="s">
        <x:v>77</x:v>
      </x:c>
      <x:c r="H9" s="21" t="s">
        <x:v>78</x:v>
      </x:c>
      <x:c r="I9" s="21" t="s">
        <x:v>66</x:v>
      </x:c>
      <x:c r="J9" s="21" t="s">
        <x:v>51</x:v>
      </x:c>
      <x:c r="K9" s="21"/>
      <x:c r="L9" s="21" t="s">
        <x:v>52</x:v>
      </x:c>
      <x:c r="M9" s="21">
        <x:v>22</x:v>
      </x:c>
      <x:c r="N9" s="21" t="s">
        <x:v>45</x:v>
      </x:c>
      <x:c r="O9" s="21">
        <x:v>1</x:v>
      </x:c>
      <x:c r="P9" s="21" t="s">
        <x:v>79</x:v>
      </x:c>
      <x:c r="Q9" s="21" t="s">
        <x:v>5</x:v>
      </x:c>
      <x:c r="R9" s="22" t="n">
        <x:f>IF(Q9&lt;&gt;"Ready to List",COUNTIFS($Q$3:Q9,"&lt;&gt;Ready to List"),"")</x:f>
        <x:v>3</x:v>
      </x:c>
    </x:row>
    <x:row r="10">
      <x:c r="A10" s="21">
        <x:v>12</x:v>
      </x:c>
      <x:c r="B10" s="21" t="s">
        <x:v>80</x:v>
      </x:c>
      <x:c r="C10" s="21"/>
      <x:c r="D10" s="21" t="s">
        <x:v>81</x:v>
      </x:c>
      <x:c r="E10" s="21" t="s">
        <x:v>72</x:v>
      </x:c>
      <x:c r="F10" s="21" t="s">
        <x:v>40</x:v>
      </x:c>
      <x:c r="G10" s="21" t="s">
        <x:v>82</x:v>
      </x:c>
      <x:c r="H10" s="21" t="s">
        <x:v>83</x:v>
      </x:c>
      <x:c r="I10" s="21" t="s">
        <x:v>84</x:v>
      </x:c>
      <x:c r="J10" s="21" t="s">
        <x:v>44</x:v>
      </x:c>
      <x:c r="K10" s="21">
        <x:v>45</x:v>
      </x:c>
      <x:c r="L10" s="21" t="s">
        <x:v>45</x:v>
      </x:c>
      <x:c r="M10" s="21">
        <x:v>6</x:v>
      </x:c>
      <x:c r="N10" s="21" t="s">
        <x:v>45</x:v>
      </x:c>
      <x:c r="O10" s="21">
        <x:v>0</x:v>
      </x:c>
      <x:c r="P10" s="21"/>
      <x:c r="Q10" s="21" t="s">
        <x:v>4</x:v>
      </x:c>
      <x:c r="R10" s="22" t="str">
        <x:f>IF(Q10&lt;&gt;"Ready to List",COUNTIFS($Q$3:Q10,"&lt;&gt;Ready to List"),"")</x:f>
      </x:c>
    </x:row>
    <x:row r="11">
      <x:c r="A11" s="21">
        <x:v>13</x:v>
      </x:c>
      <x:c r="B11" s="21" t="s">
        <x:v>85</x:v>
      </x:c>
      <x:c r="C11" s="21" t="s">
        <x:v>55</x:v>
      </x:c>
      <x:c r="D11" s="21" t="s">
        <x:v>86</x:v>
      </x:c>
      <x:c r="E11" s="21" t="s">
        <x:v>49</x:v>
      </x:c>
      <x:c r="F11" s="21" t="s">
        <x:v>49</x:v>
      </x:c>
      <x:c r="G11" s="21" t="s">
        <x:v>87</x:v>
      </x:c>
      <x:c r="H11" s="21" t="s">
        <x:v>87</x:v>
      </x:c>
      <x:c r="I11" s="21" t="s">
        <x:v>88</x:v>
      </x:c>
      <x:c r="J11" s="21" t="s">
        <x:v>51</x:v>
      </x:c>
      <x:c r="K11" s="21">
        <x:v>28</x:v>
      </x:c>
      <x:c r="L11" s="21" t="s">
        <x:v>45</x:v>
      </x:c>
      <x:c r="M11" s="21">
        <x:v>12</x:v>
      </x:c>
      <x:c r="N11" s="21" t="s">
        <x:v>45</x:v>
      </x:c>
      <x:c r="O11" s="21">
        <x:v>1</x:v>
      </x:c>
      <x:c r="P11" s="21" t="s">
        <x:v>55</x:v>
      </x:c>
      <x:c r="Q11" s="21" t="s">
        <x:v>5</x:v>
      </x:c>
      <x:c r="R11" s="22" t="n">
        <x:f>IF(Q11&lt;&gt;"Ready to List",COUNTIFS($Q$3:Q11,"&lt;&gt;Ready to List"),"")</x:f>
        <x:v>4</x:v>
      </x:c>
    </x:row>
    <x:row r="12">
      <x:c r="A12" s="21">
        <x:v>14</x:v>
      </x:c>
      <x:c r="B12" s="21" t="s">
        <x:v>89</x:v>
      </x:c>
      <x:c r="C12" s="21"/>
      <x:c r="D12" s="21"/>
      <x:c r="E12" s="21" t="s">
        <x:v>90</x:v>
      </x:c>
      <x:c r="F12" s="21" t="s">
        <x:v>64</x:v>
      </x:c>
      <x:c r="G12" s="21" t="s">
        <x:v>91</x:v>
      </x:c>
      <x:c r="H12" s="21" t="s">
        <x:v>92</x:v>
      </x:c>
      <x:c r="I12" s="21" t="s">
        <x:v>51</x:v>
      </x:c>
      <x:c r="J12" s="21" t="s">
        <x:v>51</x:v>
      </x:c>
      <x:c r="K12" s="21">
        <x:v>3.5</x:v>
      </x:c>
      <x:c r="L12" s="21" t="s">
        <x:v>45</x:v>
      </x:c>
      <x:c r="M12" s="21">
        <x:v>50</x:v>
      </x:c>
      <x:c r="N12" s="21" t="s">
        <x:v>45</x:v>
      </x:c>
      <x:c r="O12" s="21">
        <x:v>1</x:v>
      </x:c>
      <x:c r="P12" s="21" t="s">
        <x:v>11</x:v>
      </x:c>
      <x:c r="Q12" s="21" t="s">
        <x:v>5</x:v>
      </x:c>
      <x:c r="R12" s="22" t="n">
        <x:f>IF(Q12&lt;&gt;"Ready to List",COUNTIFS($Q$3:Q12,"&lt;&gt;Ready to List"),"")</x:f>
        <x:v>5</x:v>
      </x:c>
    </x:row>
    <x:row r="13">
      <x:c r="A13" s="21">
        <x:v>15</x:v>
      </x:c>
      <x:c r="B13" s="21" t="s">
        <x:v>93</x:v>
      </x:c>
      <x:c r="C13" s="21"/>
      <x:c r="D13" s="21" t="s">
        <x:v>94</x:v>
      </x:c>
      <x:c r="E13" s="21" t="s">
        <x:v>95</x:v>
      </x:c>
      <x:c r="F13" s="21" t="s">
        <x:v>49</x:v>
      </x:c>
      <x:c r="G13" s="21" t="s">
        <x:v>96</x:v>
      </x:c>
      <x:c r="H13" s="21" t="s">
        <x:v>97</x:v>
      </x:c>
      <x:c r="I13" s="21" t="s">
        <x:v>61</x:v>
      </x:c>
      <x:c r="J13" s="21" t="s">
        <x:v>51</x:v>
      </x:c>
      <x:c r="K13" s="21">
        <x:v>32</x:v>
      </x:c>
      <x:c r="L13" s="21" t="s">
        <x:v>45</x:v>
      </x:c>
      <x:c r="M13" s="21">
        <x:v>13</x:v>
      </x:c>
      <x:c r="N13" s="21" t="s">
        <x:v>45</x:v>
      </x:c>
      <x:c r="O13" s="21">
        <x:v>0</x:v>
      </x:c>
      <x:c r="P13" s="21"/>
      <x:c r="Q13" s="21" t="s">
        <x:v>4</x:v>
      </x:c>
      <x:c r="R13" s="22" t="str">
        <x:f>IF(Q13&lt;&gt;"Ready to List",COUNTIFS($Q$3:Q13,"&lt;&gt;Ready to List"),"")</x:f>
      </x:c>
    </x:row>
    <x:row r="14">
      <x:c r="A14" s="21">
        <x:v>16</x:v>
      </x:c>
      <x:c r="B14" s="21" t="s">
        <x:v>98</x:v>
      </x:c>
      <x:c r="C14" s="21"/>
      <x:c r="D14" s="21" t="s">
        <x:v>99</x:v>
      </x:c>
      <x:c r="E14" s="21" t="s">
        <x:v>64</x:v>
      </x:c>
      <x:c r="F14" s="21" t="s">
        <x:v>64</x:v>
      </x:c>
      <x:c r="G14" s="21" t="s">
        <x:v>65</x:v>
      </x:c>
      <x:c r="H14" s="21" t="s">
        <x:v>65</x:v>
      </x:c>
      <x:c r="I14" s="21" t="s">
        <x:v>100</x:v>
      </x:c>
      <x:c r="J14" s="21" t="s">
        <x:v>51</x:v>
      </x:c>
      <x:c r="K14" s="21">
        <x:v>4</x:v>
      </x:c>
      <x:c r="L14" s="21" t="s">
        <x:v>45</x:v>
      </x:c>
      <x:c r="M14" s="21">
        <x:v>45</x:v>
      </x:c>
      <x:c r="N14" s="21" t="s">
        <x:v>45</x:v>
      </x:c>
      <x:c r="O14" s="21">
        <x:v>0</x:v>
      </x:c>
      <x:c r="P14" s="21"/>
      <x:c r="Q14" s="21" t="s">
        <x:v>4</x:v>
      </x:c>
      <x:c r="R14" s="22" t="str">
        <x:f>IF(Q14&lt;&gt;"Ready to List",COUNTIFS($Q$3:Q14,"&lt;&gt;Ready to List"),"")</x:f>
      </x:c>
    </x:row>
    <x:row r="15">
      <x:c r="A15" s="21">
        <x:v>17</x:v>
      </x:c>
      <x:c r="B15" s="21" t="s">
        <x:v>101</x:v>
      </x:c>
      <x:c r="C15" s="21"/>
      <x:c r="D15" s="21" t="s">
        <x:v>102</x:v>
      </x:c>
      <x:c r="E15" s="21" t="s">
        <x:v>40</x:v>
      </x:c>
      <x:c r="F15" s="21" t="s">
        <x:v>40</x:v>
      </x:c>
      <x:c r="G15" s="21" t="s">
        <x:v>103</x:v>
      </x:c>
      <x:c r="H15" s="21" t="s">
        <x:v>103</x:v>
      </x:c>
      <x:c r="I15" s="21" t="s">
        <x:v>66</x:v>
      </x:c>
      <x:c r="J15" s="21" t="s">
        <x:v>51</x:v>
      </x:c>
      <x:c r="K15" s="21">
        <x:v>41</x:v>
      </x:c>
      <x:c r="L15" s="21" t="s">
        <x:v>45</x:v>
      </x:c>
      <x:c r="M15" s="21">
        <x:v>11</x:v>
      </x:c>
      <x:c r="N15" s="21" t="s">
        <x:v>45</x:v>
      </x:c>
      <x:c r="O15" s="21">
        <x:v>0</x:v>
      </x:c>
      <x:c r="P15" s="21"/>
      <x:c r="Q15" s="21" t="s">
        <x:v>4</x:v>
      </x:c>
      <x:c r="R15" s="22" t="str">
        <x:f>IF(Q15&lt;&gt;"Ready to List",COUNTIFS($Q$3:Q15,"&lt;&gt;Ready to List"),"")</x:f>
      </x:c>
    </x:row>
    <x:row r="16">
      <x:c r="A16" s="21">
        <x:v>18</x:v>
      </x:c>
      <x:c r="B16" s="21" t="s">
        <x:v>104</x:v>
      </x:c>
      <x:c r="C16" s="21"/>
      <x:c r="D16" s="21" t="s">
        <x:v>105</x:v>
      </x:c>
      <x:c r="E16" s="21" t="s">
        <x:v>106</x:v>
      </x:c>
      <x:c r="F16" s="21" t="s">
        <x:v>58</x:v>
      </x:c>
      <x:c r="G16" s="21" t="s">
        <x:v>107</x:v>
      </x:c>
      <x:c r="H16" s="21" t="s">
        <x:v>65</x:v>
      </x:c>
      <x:c r="I16" s="21" t="s">
        <x:v>88</x:v>
      </x:c>
      <x:c r="J16" s="21" t="s">
        <x:v>51</x:v>
      </x:c>
      <x:c r="K16" s="21">
        <x:v>10</x:v>
      </x:c>
      <x:c r="L16" s="21" t="s">
        <x:v>45</x:v>
      </x:c>
      <x:c r="M16" s="21">
        <x:v>40</x:v>
      </x:c>
      <x:c r="N16" s="21" t="s">
        <x:v>45</x:v>
      </x:c>
      <x:c r="O16" s="21">
        <x:v>0</x:v>
      </x:c>
      <x:c r="P16" s="21"/>
      <x:c r="Q16" s="21" t="s">
        <x:v>4</x:v>
      </x:c>
      <x:c r="R16" s="22" t="str">
        <x:f>IF(Q16&lt;&gt;"Ready to List",COUNTIFS($Q$3:Q16,"&lt;&gt;Ready to List"),"")</x:f>
      </x:c>
    </x:row>
    <x:row r="17">
      <x:c r="A17" s="21">
        <x:v>19</x:v>
      </x:c>
      <x:c r="B17" s="21" t="s">
        <x:v>108</x:v>
      </x:c>
      <x:c r="C17" s="21"/>
      <x:c r="D17" s="21" t="s">
        <x:v>47</x:v>
      </x:c>
      <x:c r="E17" s="21" t="s">
        <x:v>109</x:v>
      </x:c>
      <x:c r="F17" s="21" t="s">
        <x:v>49</x:v>
      </x:c>
      <x:c r="G17" s="21" t="s">
        <x:v>110</x:v>
      </x:c>
      <x:c r="H17" s="21" t="s">
        <x:v>111</x:v>
      </x:c>
      <x:c r="I17" s="21" t="s">
        <x:v>51</x:v>
      </x:c>
      <x:c r="J17" s="21" t="s">
        <x:v>51</x:v>
      </x:c>
      <x:c r="K17" s="21">
        <x:v>9</x:v>
      </x:c>
      <x:c r="L17" s="21" t="s">
        <x:v>45</x:v>
      </x:c>
      <x:c r="M17" s="21">
        <x:v>25</x:v>
      </x:c>
      <x:c r="N17" s="21" t="s">
        <x:v>45</x:v>
      </x:c>
      <x:c r="O17" s="21">
        <x:v>0</x:v>
      </x:c>
      <x:c r="P17" s="21"/>
      <x:c r="Q17" s="21" t="s">
        <x:v>4</x:v>
      </x:c>
      <x:c r="R17" s="22" t="str">
        <x:f>IF(Q17&lt;&gt;"Ready to List",COUNTIFS($Q$3:Q17,"&lt;&gt;Ready to List"),"")</x:f>
      </x:c>
    </x:row>
    <x:row r="18">
      <x:c r="A18" s="21">
        <x:v>20</x:v>
      </x:c>
      <x:c r="B18" s="21" t="s">
        <x:v>54</x:v>
      </x:c>
      <x:c r="C18" s="21" t="s">
        <x:v>55</x:v>
      </x:c>
      <x:c r="D18" s="21" t="s">
        <x:v>63</x:v>
      </x:c>
      <x:c r="E18" s="21" t="s">
        <x:v>112</x:v>
      </x:c>
      <x:c r="F18" s="21" t="s">
        <x:v>64</x:v>
      </x:c>
      <x:c r="G18" s="21" t="s">
        <x:v>113</x:v>
      </x:c>
      <x:c r="H18" s="21" t="s">
        <x:v>114</x:v>
      </x:c>
      <x:c r="I18" s="21" t="s">
        <x:v>88</x:v>
      </x:c>
      <x:c r="J18" s="21" t="s">
        <x:v>51</x:v>
      </x:c>
      <x:c r="K18" s="21">
        <x:v>5</x:v>
      </x:c>
      <x:c r="L18" s="21" t="s">
        <x:v>45</x:v>
      </x:c>
      <x:c r="M18" s="21">
        <x:v>33</x:v>
      </x:c>
      <x:c r="N18" s="21" t="s">
        <x:v>45</x:v>
      </x:c>
      <x:c r="O18" s="21">
        <x:v>1</x:v>
      </x:c>
      <x:c r="P18" s="21" t="s">
        <x:v>55</x:v>
      </x:c>
      <x:c r="Q18" s="21" t="s">
        <x:v>5</x:v>
      </x:c>
      <x:c r="R18" s="22" t="n">
        <x:f>IF(Q18&lt;&gt;"Ready to List",COUNTIFS($Q$3:Q18,"&lt;&gt;Ready to List"),"")</x:f>
        <x:v>6</x:v>
      </x:c>
    </x:row>
    <x:row r="19">
      <x:c r="A19" s="21">
        <x:v>21</x:v>
      </x:c>
      <x:c r="B19" s="21" t="s">
        <x:v>115</x:v>
      </x:c>
      <x:c r="C19" s="21"/>
      <x:c r="D19" s="21" t="s">
        <x:v>63</x:v>
      </x:c>
      <x:c r="E19" s="21" t="s">
        <x:v>116</x:v>
      </x:c>
      <x:c r="F19" s="21" t="s">
        <x:v>64</x:v>
      </x:c>
      <x:c r="G19" s="21" t="s">
        <x:v>117</x:v>
      </x:c>
      <x:c r="H19" s="21" t="s">
        <x:v>118</x:v>
      </x:c>
      <x:c r="I19" s="21" t="s">
        <x:v>61</x:v>
      </x:c>
      <x:c r="J19" s="21" t="s">
        <x:v>51</x:v>
      </x:c>
      <x:c r="K19" s="21">
        <x:v>5</x:v>
      </x:c>
      <x:c r="L19" s="21" t="s">
        <x:v>45</x:v>
      </x:c>
      <x:c r="M19" s="21">
        <x:v>29</x:v>
      </x:c>
      <x:c r="N19" s="21" t="s">
        <x:v>45</x:v>
      </x:c>
      <x:c r="O19" s="21">
        <x:v>0</x:v>
      </x:c>
      <x:c r="P19" s="21"/>
      <x:c r="Q19" s="21" t="s">
        <x:v>4</x:v>
      </x:c>
      <x:c r="R19" s="22" t="str">
        <x:f>IF(Q19&lt;&gt;"Ready to List",COUNTIFS($Q$3:Q19,"&lt;&gt;Ready to List"),"")</x:f>
      </x:c>
    </x:row>
    <x:row r="20">
      <x:c r="A20" s="21">
        <x:v>22</x:v>
      </x:c>
      <x:c r="B20" s="21" t="s">
        <x:v>119</x:v>
      </x:c>
      <x:c r="C20" s="21"/>
      <x:c r="D20" s="21" t="s">
        <x:v>99</x:v>
      </x:c>
      <x:c r="E20" s="21" t="s">
        <x:v>120</x:v>
      </x:c>
      <x:c r="F20" s="21" t="s">
        <x:v>64</x:v>
      </x:c>
      <x:c r="G20" s="21" t="s">
        <x:v>121</x:v>
      </x:c>
      <x:c r="H20" s="21" t="s">
        <x:v>122</x:v>
      </x:c>
      <x:c r="I20" s="21" t="s">
        <x:v>66</x:v>
      </x:c>
      <x:c r="J20" s="21" t="s">
        <x:v>51</x:v>
      </x:c>
      <x:c r="K20" s="21">
        <x:v>4</x:v>
      </x:c>
      <x:c r="L20" s="21" t="s">
        <x:v>45</x:v>
      </x:c>
      <x:c r="M20" s="21">
        <x:v>38</x:v>
      </x:c>
      <x:c r="N20" s="21" t="s">
        <x:v>45</x:v>
      </x:c>
      <x:c r="O20" s="21">
        <x:v>0</x:v>
      </x:c>
      <x:c r="P20" s="21"/>
      <x:c r="Q20" s="21" t="s">
        <x:v>4</x:v>
      </x:c>
      <x:c r="R20" s="22" t="str">
        <x:f>IF(Q20&lt;&gt;"Ready to List",COUNTIFS($Q$3:Q20,"&lt;&gt;Ready to List"),"")</x:f>
      </x:c>
    </x:row>
    <x:row r="21">
      <x:c r="A21" s="21">
        <x:v>23</x:v>
      </x:c>
      <x:c r="B21" s="21" t="s">
        <x:v>123</x:v>
      </x:c>
      <x:c r="C21" s="21"/>
      <x:c r="D21" s="21" t="s">
        <x:v>124</x:v>
      </x:c>
      <x:c r="E21" s="21" t="s">
        <x:v>125</x:v>
      </x:c>
      <x:c r="F21" s="21" t="s">
        <x:v>58</x:v>
      </x:c>
      <x:c r="G21" s="21" t="s">
        <x:v>126</x:v>
      </x:c>
      <x:c r="H21" s="21" t="s">
        <x:v>127</x:v>
      </x:c>
      <x:c r="I21" s="21" t="s">
        <x:v>128</x:v>
      </x:c>
      <x:c r="J21" s="21" t="s">
        <x:v>129</x:v>
      </x:c>
      <x:c r="K21" s="21">
        <x:v>14</x:v>
      </x:c>
      <x:c r="L21" s="21" t="s">
        <x:v>45</x:v>
      </x:c>
      <x:c r="M21" s="21">
        <x:v>9</x:v>
      </x:c>
      <x:c r="N21" s="21" t="s">
        <x:v>45</x:v>
      </x:c>
      <x:c r="O21" s="21">
        <x:v>0</x:v>
      </x:c>
      <x:c r="P21" s="21"/>
      <x:c r="Q21" s="21" t="s">
        <x:v>4</x:v>
      </x:c>
      <x:c r="R21" s="22" t="str">
        <x:f>IF(Q21&lt;&gt;"Ready to List",COUNTIFS($Q$3:Q21,"&lt;&gt;Ready to List"),"")</x:f>
      </x:c>
    </x:row>
    <x:row r="22">
      <x:c r="A22" s="21">
        <x:v>24</x:v>
      </x:c>
      <x:c r="B22" s="21" t="s">
        <x:v>85</x:v>
      </x:c>
      <x:c r="C22" s="21" t="s">
        <x:v>55</x:v>
      </x:c>
      <x:c r="D22" s="21" t="s">
        <x:v>81</x:v>
      </x:c>
      <x:c r="E22" s="21" t="s">
        <x:v>130</x:v>
      </x:c>
      <x:c r="F22" s="21" t="s">
        <x:v>40</x:v>
      </x:c>
      <x:c r="G22" s="21" t="s">
        <x:v>131</x:v>
      </x:c>
      <x:c r="H22" s="21" t="s">
        <x:v>83</x:v>
      </x:c>
      <x:c r="I22" s="21" t="s">
        <x:v>132</x:v>
      </x:c>
      <x:c r="J22" s="21" t="s">
        <x:v>133</x:v>
      </x:c>
      <x:c r="K22" s="21">
        <x:v>45</x:v>
      </x:c>
      <x:c r="L22" s="21" t="s">
        <x:v>45</x:v>
      </x:c>
      <x:c r="M22" s="21">
        <x:v>5</x:v>
      </x:c>
      <x:c r="N22" s="21" t="s">
        <x:v>45</x:v>
      </x:c>
      <x:c r="O22" s="21">
        <x:v>1</x:v>
      </x:c>
      <x:c r="P22" s="21" t="s">
        <x:v>55</x:v>
      </x:c>
      <x:c r="Q22" s="21" t="s">
        <x:v>5</x:v>
      </x:c>
      <x:c r="R22" s="22" t="n">
        <x:f>IF(Q22&lt;&gt;"Ready to List",COUNTIFS($Q$3:Q22,"&lt;&gt;Ready to List"),"")</x:f>
        <x:v>7</x:v>
      </x:c>
    </x:row>
    <x:row r="23">
      <x:c r="A23" s="21">
        <x:v>25</x:v>
      </x:c>
      <x:c r="B23" s="21" t="s">
        <x:v>134</x:v>
      </x:c>
      <x:c r="C23" s="21"/>
      <x:c r="D23" s="21" t="s">
        <x:v>56</x:v>
      </x:c>
      <x:c r="E23" s="21" t="s">
        <x:v>57</x:v>
      </x:c>
      <x:c r="F23" s="21" t="s">
        <x:v>58</x:v>
      </x:c>
      <x:c r="G23" s="21" t="s">
        <x:v>135</x:v>
      </x:c>
      <x:c r="H23" s="21" t="s">
        <x:v>60</x:v>
      </x:c>
      <x:c r="I23" s="21" t="s">
        <x:v>61</x:v>
      </x:c>
      <x:c r="J23" s="21" t="s">
        <x:v>51</x:v>
      </x:c>
      <x:c r="K23" s="21">
        <x:v>12.5</x:v>
      </x:c>
      <x:c r="L23" s="21" t="s">
        <x:v>45</x:v>
      </x:c>
      <x:c r="M23" s="21">
        <x:v>20</x:v>
      </x:c>
      <x:c r="N23" s="21" t="s">
        <x:v>45</x:v>
      </x:c>
      <x:c r="O23" s="21">
        <x:v>0</x:v>
      </x:c>
      <x:c r="P23" s="21"/>
      <x:c r="Q23" s="21" t="s">
        <x:v>4</x:v>
      </x:c>
      <x:c r="R23" s="22" t="str">
        <x:f>IF(Q23&lt;&gt;"Ready to List",COUNTIFS($Q$3:Q23,"&lt;&gt;Ready to List"),"")</x:f>
      </x:c>
    </x:row>
    <x:row r="24">
      <x:c r="A24" s="21">
        <x:v>26</x:v>
      </x:c>
      <x:c r="B24" s="21" t="s">
        <x:v>136</x:v>
      </x:c>
      <x:c r="C24" s="21"/>
      <x:c r="D24" s="21" t="s">
        <x:v>137</x:v>
      </x:c>
      <x:c r="E24" s="21" t="s">
        <x:v>90</x:v>
      </x:c>
      <x:c r="F24" s="21" t="s">
        <x:v>64</x:v>
      </x:c>
      <x:c r="G24" s="21" t="s">
        <x:v>138</x:v>
      </x:c>
      <x:c r="H24" s="21" t="s">
        <x:v>114</x:v>
      </x:c>
      <x:c r="I24" s="21" t="s">
        <x:v>100</x:v>
      </x:c>
      <x:c r="J24" s="21" t="s">
        <x:v>51</x:v>
      </x:c>
      <x:c r="K24" s="21">
        <x:v>4.5</x:v>
      </x:c>
      <x:c r="L24" s="21" t="s">
        <x:v>45</x:v>
      </x:c>
      <x:c r="M24" s="21">
        <x:v>22</x:v>
      </x:c>
      <x:c r="N24" s="21" t="s">
        <x:v>45</x:v>
      </x:c>
      <x:c r="O24" s="21">
        <x:v>0</x:v>
      </x:c>
      <x:c r="P24" s="21"/>
      <x:c r="Q24" s="21" t="s">
        <x:v>4</x:v>
      </x:c>
      <x:c r="R24" s="22" t="str">
        <x:f>IF(Q24&lt;&gt;"Ready to List",COUNTIFS($Q$3:Q24,"&lt;&gt;Ready to List"),"")</x:f>
      </x:c>
    </x:row>
    <x:row r="25">
      <x:c r="A25" s="21">
        <x:v>27</x:v>
      </x:c>
      <x:c r="B25" s="21" t="s">
        <x:v>139</x:v>
      </x:c>
      <x:c r="C25" s="21"/>
      <x:c r="D25" s="21" t="s">
        <x:v>140</x:v>
      </x:c>
      <x:c r="E25" s="21" t="s">
        <x:v>141</x:v>
      </x:c>
      <x:c r="F25" s="21" t="s">
        <x:v>142</x:v>
      </x:c>
      <x:c r="G25" s="21" t="s">
        <x:v>143</x:v>
      </x:c>
      <x:c r="H25" s="21" t="s">
        <x:v>144</x:v>
      </x:c>
      <x:c r="I25" s="21" t="s">
        <x:v>145</x:v>
      </x:c>
      <x:c r="J25" s="21" t="s">
        <x:v>51</x:v>
      </x:c>
      <x:c r="K25" s="21">
        <x:v>9.5</x:v>
      </x:c>
      <x:c r="L25" s="21" t="s">
        <x:v>45</x:v>
      </x:c>
      <x:c r="M25" s="21">
        <x:v>31</x:v>
      </x:c>
      <x:c r="N25" s="21" t="s">
        <x:v>45</x:v>
      </x:c>
      <x:c r="O25" s="21">
        <x:v>1</x:v>
      </x:c>
      <x:c r="P25" s="21" t="s">
        <x:v>146</x:v>
      </x:c>
      <x:c r="Q25" s="21" t="s">
        <x:v>5</x:v>
      </x:c>
      <x:c r="R25" s="22" t="n">
        <x:f>IF(Q25&lt;&gt;"Ready to List",COUNTIFS($Q$3:Q25,"&lt;&gt;Ready to List"),"")</x:f>
        <x:v>8</x:v>
      </x:c>
    </x:row>
    <x:row r="26">
      <x:c r="A26" s="21">
        <x:v>28</x:v>
      </x:c>
      <x:c r="B26" s="21" t="s">
        <x:v>147</x:v>
      </x:c>
      <x:c r="C26" s="21"/>
      <x:c r="D26" s="21" t="s">
        <x:v>140</x:v>
      </x:c>
      <x:c r="E26" s="21" t="s">
        <x:v>125</x:v>
      </x:c>
      <x:c r="F26" s="21" t="s">
        <x:v>58</x:v>
      </x:c>
      <x:c r="G26" s="21" t="s">
        <x:v>148</x:v>
      </x:c>
      <x:c r="H26" s="21" t="s">
        <x:v>69</x:v>
      </x:c>
      <x:c r="I26" s="21" t="s">
        <x:v>145</x:v>
      </x:c>
      <x:c r="J26" s="21" t="s">
        <x:v>51</x:v>
      </x:c>
      <x:c r="K26" s="21">
        <x:v>9.5</x:v>
      </x:c>
      <x:c r="L26" s="21" t="s">
        <x:v>45</x:v>
      </x:c>
      <x:c r="M26" s="21">
        <x:v>27</x:v>
      </x:c>
      <x:c r="N26" s="21" t="s">
        <x:v>45</x:v>
      </x:c>
      <x:c r="O26" s="21">
        <x:v>0</x:v>
      </x:c>
      <x:c r="P26" s="21"/>
      <x:c r="Q26" s="21" t="s">
        <x:v>4</x:v>
      </x:c>
      <x:c r="R26" s="22" t="str">
        <x:f>IF(Q26&lt;&gt;"Ready to List",COUNTIFS($Q$3:Q26,"&lt;&gt;Ready to List"),"")</x:f>
      </x:c>
    </x:row>
    <x:row r="27">
      <x:c r="A27" s="21">
        <x:v>29</x:v>
      </x:c>
      <x:c r="B27" s="21" t="s">
        <x:v>149</x:v>
      </x:c>
      <x:c r="C27" s="21"/>
      <x:c r="D27" s="21" t="s">
        <x:v>150</x:v>
      </x:c>
      <x:c r="E27" s="21" t="s">
        <x:v>76</x:v>
      </x:c>
      <x:c r="F27" s="21" t="s">
        <x:v>58</x:v>
      </x:c>
      <x:c r="G27" s="21" t="s">
        <x:v>151</x:v>
      </x:c>
      <x:c r="H27" s="21" t="s">
        <x:v>152</x:v>
      </x:c>
      <x:c r="I27" s="21" t="s">
        <x:v>66</x:v>
      </x:c>
      <x:c r="J27" s="21" t="s">
        <x:v>51</x:v>
      </x:c>
      <x:c r="K27" s="21" t="s">
        <x:v>153</x:v>
      </x:c>
      <x:c r="L27" s="21" t="s">
        <x:v>154</x:v>
      </x:c>
      <x:c r="M27" s="21">
        <x:v>16</x:v>
      </x:c>
      <x:c r="N27" s="21" t="s">
        <x:v>45</x:v>
      </x:c>
      <x:c r="O27" s="21">
        <x:v>1</x:v>
      </x:c>
      <x:c r="P27" s="21" t="s">
        <x:v>155</x:v>
      </x:c>
      <x:c r="Q27" s="21" t="s">
        <x:v>5</x:v>
      </x:c>
      <x:c r="R27" s="22" t="n">
        <x:f>IF(Q27&lt;&gt;"Ready to List",COUNTIFS($Q$3:Q27,"&lt;&gt;Ready to List"),"")</x:f>
        <x:v>9</x:v>
      </x:c>
    </x:row>
    <x:row r="28">
      <x:c r="A28" s="21">
        <x:v>30</x:v>
      </x:c>
      <x:c r="B28" s="21" t="s">
        <x:v>156</x:v>
      </x:c>
      <x:c r="C28" s="21"/>
      <x:c r="D28" s="21" t="s">
        <x:v>56</x:v>
      </x:c>
      <x:c r="E28" s="21" t="s">
        <x:v>125</x:v>
      </x:c>
      <x:c r="F28" s="21" t="s">
        <x:v>58</x:v>
      </x:c>
      <x:c r="G28" s="21" t="s">
        <x:v>157</x:v>
      </x:c>
      <x:c r="H28" s="21" t="s">
        <x:v>158</x:v>
      </x:c>
      <x:c r="I28" s="21" t="s">
        <x:v>145</x:v>
      </x:c>
      <x:c r="J28" s="21" t="s">
        <x:v>51</x:v>
      </x:c>
      <x:c r="K28" s="21">
        <x:v>12.5</x:v>
      </x:c>
      <x:c r="L28" s="21" t="s">
        <x:v>45</x:v>
      </x:c>
      <x:c r="M28" s="21">
        <x:v>28</x:v>
      </x:c>
      <x:c r="N28" s="21" t="s">
        <x:v>45</x:v>
      </x:c>
      <x:c r="O28" s="21">
        <x:v>0</x:v>
      </x:c>
      <x:c r="P28" s="21"/>
      <x:c r="Q28" s="21" t="s">
        <x:v>4</x:v>
      </x:c>
      <x:c r="R28" s="22" t="str">
        <x:f>IF(Q28&lt;&gt;"Ready to List",COUNTIFS($Q$3:Q28,"&lt;&gt;Ready to List"),"")</x:f>
      </x:c>
    </x:row>
    <x:row r="29">
      <x:c r="A29" s="21">
        <x:v>31</x:v>
      </x:c>
      <x:c r="B29" s="21" t="s">
        <x:v>159</x:v>
      </x:c>
      <x:c r="C29" s="21"/>
      <x:c r="D29" s="21" t="s">
        <x:v>86</x:v>
      </x:c>
      <x:c r="E29" s="21" t="s">
        <x:v>49</x:v>
      </x:c>
      <x:c r="F29" s="21" t="s">
        <x:v>49</x:v>
      </x:c>
      <x:c r="G29" s="21" t="s">
        <x:v>87</x:v>
      </x:c>
      <x:c r="H29" s="21" t="s">
        <x:v>87</x:v>
      </x:c>
      <x:c r="I29" s="21" t="s">
        <x:v>61</x:v>
      </x:c>
      <x:c r="J29" s="21" t="s">
        <x:v>51</x:v>
      </x:c>
      <x:c r="K29" s="21">
        <x:v>28</x:v>
      </x:c>
      <x:c r="L29" s="21" t="s">
        <x:v>45</x:v>
      </x:c>
      <x:c r="M29" s="21">
        <x:v>12</x:v>
      </x:c>
      <x:c r="N29" s="21" t="s">
        <x:v>45</x:v>
      </x:c>
      <x:c r="O29" s="21">
        <x:v>0</x:v>
      </x:c>
      <x:c r="P29" s="21"/>
      <x:c r="Q29" s="21" t="s">
        <x:v>4</x:v>
      </x:c>
      <x:c r="R29" s="22" t="str">
        <x:f>IF(Q29&lt;&gt;"Ready to List",COUNTIFS($Q$3:Q29,"&lt;&gt;Ready to List"),"")</x:f>
      </x:c>
    </x:row>
    <x:row r="30">
      <x:c r="A30" s="21">
        <x:v>32</x:v>
      </x:c>
      <x:c r="B30" s="21" t="s">
        <x:v>160</x:v>
      </x:c>
      <x:c r="C30" s="21"/>
      <x:c r="D30" s="21" t="s">
        <x:v>86</x:v>
      </x:c>
      <x:c r="E30" s="21" t="s">
        <x:v>48</x:v>
      </x:c>
      <x:c r="F30" s="21" t="s">
        <x:v>49</x:v>
      </x:c>
      <x:c r="G30" s="21" t="s">
        <x:v>121</x:v>
      </x:c>
      <x:c r="H30" s="21" t="s">
        <x:v>122</x:v>
      </x:c>
      <x:c r="I30" s="21" t="s">
        <x:v>88</x:v>
      </x:c>
      <x:c r="J30" s="21" t="s">
        <x:v>51</x:v>
      </x:c>
      <x:c r="K30" s="21">
        <x:v>0</x:v>
      </x:c>
      <x:c r="L30" s="21" t="s">
        <x:v>161</x:v>
      </x:c>
      <x:c r="M30" s="21">
        <x:v>17</x:v>
      </x:c>
      <x:c r="N30" s="21" t="s">
        <x:v>45</x:v>
      </x:c>
      <x:c r="O30" s="21">
        <x:v>1</x:v>
      </x:c>
      <x:c r="P30" s="21" t="s">
        <x:v>162</x:v>
      </x:c>
      <x:c r="Q30" s="21" t="s">
        <x:v>5</x:v>
      </x:c>
      <x:c r="R30" s="22" t="n">
        <x:f>IF(Q30&lt;&gt;"Ready to List",COUNTIFS($Q$3:Q30,"&lt;&gt;Ready to List"),"")</x:f>
        <x:v>10</x:v>
      </x:c>
    </x:row>
    <x:row r="31">
      <x:c r="A31" s="21">
        <x:v>33</x:v>
      </x:c>
      <x:c r="B31" s="21" t="s">
        <x:v>163</x:v>
      </x:c>
      <x:c r="C31" s="21"/>
      <x:c r="D31" s="21" t="s">
        <x:v>71</x:v>
      </x:c>
      <x:c r="E31" s="21" t="s">
        <x:v>164</x:v>
      </x:c>
      <x:c r="F31" s="21" t="s">
        <x:v>40</x:v>
      </x:c>
      <x:c r="G31" s="21" t="s">
        <x:v>165</x:v>
      </x:c>
      <x:c r="H31" s="21" t="s">
        <x:v>166</x:v>
      </x:c>
      <x:c r="I31" s="21" t="s">
        <x:v>132</x:v>
      </x:c>
      <x:c r="J31" s="21" t="s">
        <x:v>133</x:v>
      </x:c>
      <x:c r="K31" s="21">
        <x:v>24</x:v>
      </x:c>
      <x:c r="L31" s="21" t="s">
        <x:v>45</x:v>
      </x:c>
      <x:c r="M31" s="21">
        <x:v>6</x:v>
      </x:c>
      <x:c r="N31" s="21" t="s">
        <x:v>45</x:v>
      </x:c>
      <x:c r="O31" s="21">
        <x:v>0</x:v>
      </x:c>
      <x:c r="P31" s="21"/>
      <x:c r="Q31" s="21" t="s">
        <x:v>4</x:v>
      </x:c>
      <x:c r="R31" s="22" t="str">
        <x:f>IF(Q31&lt;&gt;"Ready to List",COUNTIFS($Q$3:Q31,"&lt;&gt;Ready to List"),"")</x:f>
      </x:c>
    </x:row>
    <x:row r="32">
      <x:c r="A32" s="21">
        <x:v>34</x:v>
      </x:c>
      <x:c r="B32" s="21" t="s">
        <x:v>167</x:v>
      </x:c>
      <x:c r="C32" s="21"/>
      <x:c r="D32" s="21" t="s">
        <x:v>168</x:v>
      </x:c>
      <x:c r="E32" s="21" t="s">
        <x:v>58</x:v>
      </x:c>
      <x:c r="F32" s="21" t="s">
        <x:v>58</x:v>
      </x:c>
      <x:c r="G32" s="21" t="s">
        <x:v>87</x:v>
      </x:c>
      <x:c r="H32" s="21" t="s">
        <x:v>87</x:v>
      </x:c>
      <x:c r="I32" s="21" t="s">
        <x:v>51</x:v>
      </x:c>
      <x:c r="J32" s="21" t="s">
        <x:v>51</x:v>
      </x:c>
      <x:c r="K32" s="21">
        <x:v>12.5</x:v>
      </x:c>
      <x:c r="L32" s="21" t="s">
        <x:v>45</x:v>
      </x:c>
      <x:c r="M32" s="21">
        <x:v>34</x:v>
      </x:c>
      <x:c r="N32" s="21" t="s">
        <x:v>45</x:v>
      </x:c>
      <x:c r="O32" s="21">
        <x:v>0</x:v>
      </x:c>
      <x:c r="P32" s="21"/>
      <x:c r="Q32" s="21" t="s">
        <x:v>4</x:v>
      </x:c>
      <x:c r="R32" s="22" t="str">
        <x:f>IF(Q32&lt;&gt;"Ready to List",COUNTIFS($Q$3:Q32,"&lt;&gt;Ready to List"),"")</x:f>
      </x:c>
    </x:row>
    <x:row r="33">
      <x:c r="A33" s="21">
        <x:v>35</x:v>
      </x:c>
      <x:c r="B33" s="21" t="s">
        <x:v>169</x:v>
      </x:c>
      <x:c r="C33" s="21"/>
      <x:c r="D33" s="21" t="s">
        <x:v>170</x:v>
      </x:c>
      <x:c r="E33" s="21" t="s">
        <x:v>116</x:v>
      </x:c>
      <x:c r="F33" s="21" t="s">
        <x:v>64</x:v>
      </x:c>
      <x:c r="G33" s="21" t="s">
        <x:v>171</x:v>
      </x:c>
      <x:c r="H33" s="21" t="s">
        <x:v>172</x:v>
      </x:c>
      <x:c r="I33" s="21" t="s">
        <x:v>100</x:v>
      </x:c>
      <x:c r="J33" s="21" t="s">
        <x:v>51</x:v>
      </x:c>
      <x:c r="K33" s="21">
        <x:v>3.5</x:v>
      </x:c>
      <x:c r="L33" s="21" t="s">
        <x:v>45</x:v>
      </x:c>
      <x:c r="M33" s="21">
        <x:v>40</x:v>
      </x:c>
      <x:c r="N33" s="21" t="s">
        <x:v>45</x:v>
      </x:c>
      <x:c r="O33" s="21">
        <x:v>0</x:v>
      </x:c>
      <x:c r="P33" s="21"/>
      <x:c r="Q33" s="21" t="s">
        <x:v>4</x:v>
      </x:c>
      <x:c r="R33" s="22" t="str">
        <x:f>IF(Q33&lt;&gt;"Ready to List",COUNTIFS($Q$3:Q33,"&lt;&gt;Ready to List"),"")</x:f>
      </x:c>
    </x:row>
    <x:row r="34">
      <x:c r="A34" s="21">
        <x:v>36</x:v>
      </x:c>
      <x:c r="B34" s="21" t="s">
        <x:v>173</x:v>
      </x:c>
      <x:c r="C34" s="21"/>
      <x:c r="D34" s="21" t="s">
        <x:v>71</x:v>
      </x:c>
      <x:c r="E34" s="21" t="s">
        <x:v>40</x:v>
      </x:c>
      <x:c r="F34" s="21" t="s">
        <x:v>40</x:v>
      </x:c>
      <x:c r="G34" s="21" t="s">
        <x:v>166</x:v>
      </x:c>
      <x:c r="H34" s="21" t="s">
        <x:v>166</x:v>
      </x:c>
      <x:c r="I34" s="21" t="s">
        <x:v>174</x:v>
      </x:c>
      <x:c r="J34" s="21" t="s">
        <x:v>44</x:v>
      </x:c>
      <x:c r="K34" s="21">
        <x:v>24</x:v>
      </x:c>
      <x:c r="L34" s="21" t="s">
        <x:v>45</x:v>
      </x:c>
      <x:c r="M34" s="21">
        <x:v>7</x:v>
      </x:c>
      <x:c r="N34" s="21" t="s">
        <x:v>45</x:v>
      </x:c>
      <x:c r="O34" s="21">
        <x:v>0</x:v>
      </x:c>
      <x:c r="P34" s="21"/>
      <x:c r="Q34" s="21" t="s">
        <x:v>4</x:v>
      </x:c>
      <x:c r="R34" s="22" t="str">
        <x:f>IF(Q34&lt;&gt;"Ready to List",COUNTIFS($Q$3:Q34,"&lt;&gt;Ready to List"),"")</x:f>
      </x:c>
    </x:row>
    <x:row r="35">
      <x:c r="A35" s="21">
        <x:v>37</x:v>
      </x:c>
      <x:c r="B35" s="21" t="s">
        <x:v>175</x:v>
      </x:c>
      <x:c r="C35" s="21"/>
      <x:c r="D35" s="21" t="s">
        <x:v>105</x:v>
      </x:c>
      <x:c r="E35" s="21" t="s">
        <x:v>58</x:v>
      </x:c>
      <x:c r="F35" s="21" t="s">
        <x:v>58</x:v>
      </x:c>
      <x:c r="G35" s="21" t="s">
        <x:v>41</x:v>
      </x:c>
      <x:c r="H35" s="21" t="s">
        <x:v>42</x:v>
      </x:c>
      <x:c r="I35" s="21" t="s">
        <x:v>51</x:v>
      </x:c>
      <x:c r="J35" s="21" t="s">
        <x:v>51</x:v>
      </x:c>
      <x:c r="K35" s="21">
        <x:v>10</x:v>
      </x:c>
      <x:c r="L35" s="21" t="s">
        <x:v>45</x:v>
      </x:c>
      <x:c r="M35" s="21">
        <x:v>33</x:v>
      </x:c>
      <x:c r="N35" s="21" t="s">
        <x:v>45</x:v>
      </x:c>
      <x:c r="O35" s="21">
        <x:v>0</x:v>
      </x:c>
      <x:c r="P35" s="21"/>
      <x:c r="Q35" s="21" t="s">
        <x:v>4</x:v>
      </x:c>
      <x:c r="R35" s="22" t="str">
        <x:f>IF(Q35&lt;&gt;"Ready to List",COUNTIFS($Q$3:Q35,"&lt;&gt;Ready to List"),"")</x:f>
      </x:c>
    </x:row>
    <x:row r="36">
      <x:c r="A36" s="21">
        <x:v>38</x:v>
      </x:c>
      <x:c r="B36" s="21" t="s">
        <x:v>176</x:v>
      </x:c>
      <x:c r="C36" s="21"/>
      <x:c r="D36" s="21" t="s">
        <x:v>137</x:v>
      </x:c>
      <x:c r="E36" s="21" t="s">
        <x:v>64</x:v>
      </x:c>
      <x:c r="F36" s="21" t="s">
        <x:v>64</x:v>
      </x:c>
      <x:c r="G36" s="21" t="s">
        <x:v>65</x:v>
      </x:c>
      <x:c r="H36" s="21" t="s">
        <x:v>65</x:v>
      </x:c>
      <x:c r="I36" s="21" t="s">
        <x:v>145</x:v>
      </x:c>
      <x:c r="J36" s="21" t="s">
        <x:v>51</x:v>
      </x:c>
      <x:c r="K36" s="21">
        <x:v>4.5</x:v>
      </x:c>
      <x:c r="L36" s="21" t="s">
        <x:v>45</x:v>
      </x:c>
      <x:c r="M36" s="21">
        <x:v>27</x:v>
      </x:c>
      <x:c r="N36" s="21" t="s">
        <x:v>45</x:v>
      </x:c>
      <x:c r="O36" s="21">
        <x:v>0</x:v>
      </x:c>
      <x:c r="P36" s="21"/>
      <x:c r="Q36" s="21" t="s">
        <x:v>4</x:v>
      </x:c>
      <x:c r="R36" s="22" t="str">
        <x:f>IF(Q36&lt;&gt;"Ready to List",COUNTIFS($Q$3:Q36,"&lt;&gt;Ready to List"),"")</x:f>
      </x:c>
    </x:row>
    <x:row r="37">
      <x:c r="A37" s="21">
        <x:v>39</x:v>
      </x:c>
      <x:c r="B37" s="21" t="s">
        <x:v>177</x:v>
      </x:c>
      <x:c r="C37" s="21"/>
      <x:c r="D37" s="21" t="s">
        <x:v>75</x:v>
      </x:c>
      <x:c r="E37" s="21" t="s">
        <x:v>178</x:v>
      </x:c>
      <x:c r="F37" s="21" t="s">
        <x:v>58</x:v>
      </x:c>
      <x:c r="G37" s="21" t="s">
        <x:v>179</x:v>
      </x:c>
      <x:c r="H37" s="21" t="s">
        <x:v>69</x:v>
      </x:c>
      <x:c r="I37" s="21" t="s">
        <x:v>100</x:v>
      </x:c>
      <x:c r="J37" s="21" t="s">
        <x:v>51</x:v>
      </x:c>
      <x:c r="K37" s="21">
        <x:v>13</x:v>
      </x:c>
      <x:c r="L37" s="21" t="s">
        <x:v>45</x:v>
      </x:c>
      <x:c r="M37" s="21">
        <x:v>19</x:v>
      </x:c>
      <x:c r="N37" s="21" t="s">
        <x:v>45</x:v>
      </x:c>
      <x:c r="O37" s="21">
        <x:v>0</x:v>
      </x:c>
      <x:c r="P37" s="21"/>
      <x:c r="Q37" s="21" t="s">
        <x:v>4</x:v>
      </x:c>
      <x:c r="R37" s="22" t="str">
        <x:f>IF(Q37&lt;&gt;"Ready to List",COUNTIFS($Q$3:Q37,"&lt;&gt;Ready to List"),"")</x:f>
      </x:c>
    </x:row>
    <x:row r="38">
      <x:c r="A38" s="21">
        <x:v>40</x:v>
      </x:c>
      <x:c r="B38" s="21" t="s">
        <x:v>180</x:v>
      </x:c>
      <x:c r="C38" s="21"/>
      <x:c r="D38" s="21" t="s">
        <x:v>181</x:v>
      </x:c>
      <x:c r="E38" s="21" t="s">
        <x:v>130</x:v>
      </x:c>
      <x:c r="F38" s="21" t="s">
        <x:v>40</x:v>
      </x:c>
      <x:c r="G38" s="21" t="s">
        <x:v>182</x:v>
      </x:c>
      <x:c r="H38" s="21" t="s">
        <x:v>183</x:v>
      </x:c>
      <x:c r="I38" s="21" t="s">
        <x:v>88</x:v>
      </x:c>
      <x:c r="J38" s="21" t="s">
        <x:v>51</x:v>
      </x:c>
      <x:c r="K38" s="21">
        <x:v>41</x:v>
      </x:c>
      <x:c r="L38" s="21" t="s">
        <x:v>45</x:v>
      </x:c>
      <x:c r="M38" s="21">
        <x:v>9</x:v>
      </x:c>
      <x:c r="N38" s="21" t="s">
        <x:v>45</x:v>
      </x:c>
      <x:c r="O38" s="21">
        <x:v>0</x:v>
      </x:c>
      <x:c r="P38" s="21"/>
      <x:c r="Q38" s="21" t="s">
        <x:v>4</x:v>
      </x:c>
      <x:c r="R38" s="22" t="str">
        <x:f>IF(Q38&lt;&gt;"Ready to List",COUNTIFS($Q$3:Q38,"&lt;&gt;Ready to List"),"")</x:f>
      </x:c>
    </x:row>
    <x:row r="39">
      <x:c r="A39" s="21">
        <x:v>41</x:v>
      </x:c>
      <x:c r="B39" s="21" t="s">
        <x:v>184</x:v>
      </x:c>
      <x:c r="C39" s="21" t="s">
        <x:v>55</x:v>
      </x:c>
      <x:c r="D39" s="21" t="s">
        <x:v>105</x:v>
      </x:c>
      <x:c r="E39" s="21" t="s">
        <x:v>57</x:v>
      </x:c>
      <x:c r="F39" s="21" t="s">
        <x:v>58</x:v>
      </x:c>
      <x:c r="G39" s="21" t="s">
        <x:v>185</x:v>
      </x:c>
      <x:c r="H39" s="21" t="s">
        <x:v>185</x:v>
      </x:c>
      <x:c r="I39" s="21" t="s">
        <x:v>61</x:v>
      </x:c>
      <x:c r="J39" s="21" t="s">
        <x:v>51</x:v>
      </x:c>
      <x:c r="K39" s="21">
        <x:v>10</x:v>
      </x:c>
      <x:c r="L39" s="21" t="s">
        <x:v>45</x:v>
      </x:c>
      <x:c r="M39" s="21">
        <x:v>15</x:v>
      </x:c>
      <x:c r="N39" s="21" t="s">
        <x:v>45</x:v>
      </x:c>
      <x:c r="O39" s="21">
        <x:v>1</x:v>
      </x:c>
      <x:c r="P39" s="21" t="s">
        <x:v>55</x:v>
      </x:c>
      <x:c r="Q39" s="21" t="s">
        <x:v>5</x:v>
      </x:c>
      <x:c r="R39" s="22" t="n">
        <x:f>IF(Q39&lt;&gt;"Ready to List",COUNTIFS($Q$3:Q39,"&lt;&gt;Ready to List"),"")</x:f>
        <x:v>11</x:v>
      </x:c>
    </x:row>
    <x:row r="40">
      <x:c r="A40" s="21">
        <x:v>42</x:v>
      </x:c>
      <x:c r="B40" s="21" t="s">
        <x:v>186</x:v>
      </x:c>
      <x:c r="C40" s="21"/>
      <x:c r="D40" s="21" t="s">
        <x:v>71</x:v>
      </x:c>
      <x:c r="E40" s="21" t="s">
        <x:v>130</x:v>
      </x:c>
      <x:c r="F40" s="21" t="s">
        <x:v>40</x:v>
      </x:c>
      <x:c r="G40" s="21" t="s">
        <x:v>107</x:v>
      </x:c>
      <x:c r="H40" s="21" t="s">
        <x:v>65</x:v>
      </x:c>
      <x:c r="I40" s="21" t="s">
        <x:v>187</x:v>
      </x:c>
      <x:c r="J40" s="21" t="s">
        <x:v>133</x:v>
      </x:c>
      <x:c r="K40" s="21">
        <x:v>24</x:v>
      </x:c>
      <x:c r="L40" s="21" t="s">
        <x:v>45</x:v>
      </x:c>
      <x:c r="M40" s="21"/>
      <x:c r="N40" s="21" t="s">
        <x:v>52</x:v>
      </x:c>
      <x:c r="O40" s="21">
        <x:v>1</x:v>
      </x:c>
      <x:c r="P40" s="21" t="s">
        <x:v>53</x:v>
      </x:c>
      <x:c r="Q40" s="21" t="s">
        <x:v>5</x:v>
      </x:c>
      <x:c r="R40" s="22" t="n">
        <x:f>IF(Q40&lt;&gt;"Ready to List",COUNTIFS($Q$3:Q40,"&lt;&gt;Ready to List"),"")</x:f>
        <x:v>12</x:v>
      </x:c>
    </x:row>
    <x:row r="41">
      <x:c r="A41" s="21">
        <x:v>43</x:v>
      </x:c>
      <x:c r="B41" s="21" t="s">
        <x:v>188</x:v>
      </x:c>
      <x:c r="C41" s="21"/>
      <x:c r="D41" s="21" t="s">
        <x:v>189</x:v>
      </x:c>
      <x:c r="E41" s="21" t="s">
        <x:v>90</x:v>
      </x:c>
      <x:c r="F41" s="21" t="s">
        <x:v>64</x:v>
      </x:c>
      <x:c r="G41" s="21" t="s">
        <x:v>107</x:v>
      </x:c>
      <x:c r="H41" s="21" t="s">
        <x:v>65</x:v>
      </x:c>
      <x:c r="I41" s="21" t="s">
        <x:v>145</x:v>
      </x:c>
      <x:c r="J41" s="21" t="s">
        <x:v>51</x:v>
      </x:c>
      <x:c r="K41" s="21">
        <x:v>6.5</x:v>
      </x:c>
      <x:c r="L41" s="21" t="s">
        <x:v>45</x:v>
      </x:c>
      <x:c r="M41" s="21">
        <x:v>-3</x:v>
      </x:c>
      <x:c r="N41" s="21" t="s">
        <x:v>190</x:v>
      </x:c>
      <x:c r="O41" s="21">
        <x:v>1</x:v>
      </x:c>
      <x:c r="P41" s="21" t="s">
        <x:v>191</x:v>
      </x:c>
      <x:c r="Q41" s="21" t="s">
        <x:v>5</x:v>
      </x:c>
      <x:c r="R41" s="22" t="n">
        <x:f>IF(Q41&lt;&gt;"Ready to List",COUNTIFS($Q$3:Q41,"&lt;&gt;Ready to List"),"")</x:f>
        <x:v>13</x:v>
      </x:c>
    </x:row>
    <x:row r="42">
      <x:c r="A42" s="21">
        <x:v>44</x:v>
      </x:c>
      <x:c r="B42" s="21" t="s">
        <x:v>192</x:v>
      </x:c>
      <x:c r="C42" s="21"/>
      <x:c r="D42" s="21" t="s">
        <x:v>38</x:v>
      </x:c>
      <x:c r="E42" s="21" t="s">
        <x:v>72</x:v>
      </x:c>
      <x:c r="F42" s="21" t="s">
        <x:v>40</x:v>
      </x:c>
      <x:c r="G42" s="21" t="s">
        <x:v>193</x:v>
      </x:c>
      <x:c r="H42" s="21" t="s">
        <x:v>42</x:v>
      </x:c>
      <x:c r="I42" s="21" t="s">
        <x:v>133</x:v>
      </x:c>
      <x:c r="J42" s="21" t="s">
        <x:v>133</x:v>
      </x:c>
      <x:c r="K42" s="21">
        <x:v>38</x:v>
      </x:c>
      <x:c r="L42" s="21" t="s">
        <x:v>45</x:v>
      </x:c>
      <x:c r="M42" s="21">
        <x:v>7</x:v>
      </x:c>
      <x:c r="N42" s="21" t="s">
        <x:v>45</x:v>
      </x:c>
      <x:c r="O42" s="21">
        <x:v>0</x:v>
      </x:c>
      <x:c r="P42" s="21"/>
      <x:c r="Q42" s="21" t="s">
        <x:v>4</x:v>
      </x:c>
      <x:c r="R42" s="22" t="str">
        <x:f>IF(Q42&lt;&gt;"Ready to List",COUNTIFS($Q$3:Q42,"&lt;&gt;Ready to List"),"")</x:f>
      </x:c>
    </x:row>
    <x:row r="43">
      <x:c r="A43" s="21">
        <x:v>45</x:v>
      </x:c>
      <x:c r="B43" s="21" t="s">
        <x:v>194</x:v>
      </x:c>
      <x:c r="C43" s="21"/>
      <x:c r="D43" s="21" t="s">
        <x:v>195</x:v>
      </x:c>
      <x:c r="E43" s="21" t="s">
        <x:v>58</x:v>
      </x:c>
      <x:c r="F43" s="21" t="s">
        <x:v>58</x:v>
      </x:c>
      <x:c r="G43" s="21" t="s">
        <x:v>196</x:v>
      </x:c>
      <x:c r="H43" s="21" t="s">
        <x:v>197</x:v>
      </x:c>
      <x:c r="I43" s="21" t="s">
        <x:v>51</x:v>
      </x:c>
      <x:c r="J43" s="21" t="s">
        <x:v>51</x:v>
      </x:c>
      <x:c r="K43" s="21">
        <x:v>11</x:v>
      </x:c>
      <x:c r="L43" s="21" t="s">
        <x:v>45</x:v>
      </x:c>
      <x:c r="M43" s="21">
        <x:v>26</x:v>
      </x:c>
      <x:c r="N43" s="21" t="s">
        <x:v>45</x:v>
      </x:c>
      <x:c r="O43" s="21">
        <x:v>0</x:v>
      </x:c>
      <x:c r="P43" s="21"/>
      <x:c r="Q43" s="21" t="s">
        <x:v>4</x:v>
      </x:c>
      <x:c r="R43" s="22" t="str">
        <x:f>IF(Q43&lt;&gt;"Ready to List",COUNTIFS($Q$3:Q43,"&lt;&gt;Ready to List"),"")</x:f>
      </x:c>
    </x:row>
    <x:row r="44">
      <x:c r="A44" s="21">
        <x:v>46</x:v>
      </x:c>
      <x:c r="B44" s="21" t="s">
        <x:v>184</x:v>
      </x:c>
      <x:c r="C44" s="21" t="s">
        <x:v>55</x:v>
      </x:c>
      <x:c r="D44" s="21" t="s">
        <x:v>38</x:v>
      </x:c>
      <x:c r="E44" s="21" t="s">
        <x:v>130</x:v>
      </x:c>
      <x:c r="F44" s="21" t="s">
        <x:v>40</x:v>
      </x:c>
      <x:c r="G44" s="21" t="s">
        <x:v>198</x:v>
      </x:c>
      <x:c r="H44" s="21" t="s">
        <x:v>42</x:v>
      </x:c>
      <x:c r="I44" s="21" t="s">
        <x:v>199</x:v>
      </x:c>
      <x:c r="J44" s="21" t="s">
        <x:v>133</x:v>
      </x:c>
      <x:c r="K44" s="21">
        <x:v>38</x:v>
      </x:c>
      <x:c r="L44" s="21" t="s">
        <x:v>45</x:v>
      </x:c>
      <x:c r="M44" s="21">
        <x:v>7</x:v>
      </x:c>
      <x:c r="N44" s="21" t="s">
        <x:v>45</x:v>
      </x:c>
      <x:c r="O44" s="21">
        <x:v>1</x:v>
      </x:c>
      <x:c r="P44" s="21" t="s">
        <x:v>55</x:v>
      </x:c>
      <x:c r="Q44" s="21" t="s">
        <x:v>5</x:v>
      </x:c>
      <x:c r="R44" s="22" t="n">
        <x:f>IF(Q44&lt;&gt;"Ready to List",COUNTIFS($Q$3:Q44,"&lt;&gt;Ready to List"),"")</x:f>
        <x:v>14</x:v>
      </x:c>
    </x:row>
    <x:row r="45">
      <x:c r="A45" s="21">
        <x:v>47</x:v>
      </x:c>
      <x:c r="B45" s="21" t="s">
        <x:v>200</x:v>
      </x:c>
      <x:c r="C45" s="21"/>
      <x:c r="D45" s="21" t="s">
        <x:v>81</x:v>
      </x:c>
      <x:c r="E45" s="21" t="s">
        <x:v>130</x:v>
      </x:c>
      <x:c r="F45" s="21" t="s">
        <x:v>40</x:v>
      </x:c>
      <x:c r="G45" s="21" t="s">
        <x:v>107</x:v>
      </x:c>
      <x:c r="H45" s="21" t="s">
        <x:v>65</x:v>
      </x:c>
      <x:c r="I45" s="21" t="s">
        <x:v>201</x:v>
      </x:c>
      <x:c r="J45" s="21" t="s">
        <x:v>202</x:v>
      </x:c>
      <x:c r="K45" s="21">
        <x:v>45</x:v>
      </x:c>
      <x:c r="L45" s="21" t="s">
        <x:v>45</x:v>
      </x:c>
      <x:c r="M45" s="21">
        <x:v>4</x:v>
      </x:c>
      <x:c r="N45" s="21" t="s">
        <x:v>45</x:v>
      </x:c>
      <x:c r="O45" s="21">
        <x:v>0</x:v>
      </x:c>
      <x:c r="P45" s="21"/>
      <x:c r="Q45" s="21" t="s">
        <x:v>4</x:v>
      </x:c>
      <x:c r="R45" s="22" t="str">
        <x:f>IF(Q45&lt;&gt;"Ready to List",COUNTIFS($Q$3:Q45,"&lt;&gt;Ready to List"),"")</x:f>
      </x:c>
    </x:row>
    <x:row r="46">
      <x:c r="A46" s="21">
        <x:v>48</x:v>
      </x:c>
      <x:c r="B46" s="21"/>
      <x:c r="C46" s="21"/>
      <x:c r="D46" s="21" t="s">
        <x:v>71</x:v>
      </x:c>
      <x:c r="E46" s="21" t="s">
        <x:v>40</x:v>
      </x:c>
      <x:c r="F46" s="21" t="s">
        <x:v>40</x:v>
      </x:c>
      <x:c r="G46" s="21" t="s">
        <x:v>42</x:v>
      </x:c>
      <x:c r="H46" s="21" t="s">
        <x:v>42</x:v>
      </x:c>
      <x:c r="I46" s="21" t="s">
        <x:v>202</x:v>
      </x:c>
      <x:c r="J46" s="21" t="s">
        <x:v>202</x:v>
      </x:c>
      <x:c r="K46" s="21">
        <x:v>24</x:v>
      </x:c>
      <x:c r="L46" s="21" t="s">
        <x:v>45</x:v>
      </x:c>
      <x:c r="M46" s="21">
        <x:v>8</x:v>
      </x:c>
      <x:c r="N46" s="21" t="s">
        <x:v>45</x:v>
      </x:c>
      <x:c r="O46" s="21">
        <x:v>1</x:v>
      </x:c>
      <x:c r="P46" s="21" t="s">
        <x:v>10</x:v>
      </x:c>
      <x:c r="Q46" s="21" t="s">
        <x:v>5</x:v>
      </x:c>
      <x:c r="R46" s="22" t="n">
        <x:f>IF(Q46&lt;&gt;"Ready to List",COUNTIFS($Q$3:Q46,"&lt;&gt;Ready to List"),"")</x:f>
        <x:v>15</x:v>
      </x:c>
    </x:row>
    <x:row r="47">
      <x:c r="A47" s="21">
        <x:v>49</x:v>
      </x:c>
      <x:c r="B47" s="21" t="s">
        <x:v>203</x:v>
      </x:c>
      <x:c r="C47" s="21"/>
      <x:c r="D47" s="21" t="s">
        <x:v>75</x:v>
      </x:c>
      <x:c r="E47" s="21" t="s">
        <x:v>204</x:v>
      </x:c>
      <x:c r="F47" s="21" t="s">
        <x:v>142</x:v>
      </x:c>
      <x:c r="G47" s="21" t="s">
        <x:v>205</x:v>
      </x:c>
      <x:c r="H47" s="21" t="s">
        <x:v>205</x:v>
      </x:c>
      <x:c r="I47" s="21" t="s">
        <x:v>51</x:v>
      </x:c>
      <x:c r="J47" s="21" t="s">
        <x:v>51</x:v>
      </x:c>
      <x:c r="K47" s="21">
        <x:v>13</x:v>
      </x:c>
      <x:c r="L47" s="21" t="s">
        <x:v>45</x:v>
      </x:c>
      <x:c r="M47" s="21">
        <x:v>18</x:v>
      </x:c>
      <x:c r="N47" s="21" t="s">
        <x:v>45</x:v>
      </x:c>
      <x:c r="O47" s="21">
        <x:v>1</x:v>
      </x:c>
      <x:c r="P47" s="21" t="s">
        <x:v>206</x:v>
      </x:c>
      <x:c r="Q47" s="21" t="s">
        <x:v>5</x:v>
      </x:c>
      <x:c r="R47" s="22" t="n">
        <x:f>IF(Q47&lt;&gt;"Ready to List",COUNTIFS($Q$3:Q47,"&lt;&gt;Ready to List"),"")</x:f>
        <x:v>16</x:v>
      </x:c>
    </x:row>
    <x:row r="48">
      <x:c r="A48" s="21">
        <x:v>50</x:v>
      </x:c>
      <x:c r="B48" s="21" t="s">
        <x:v>207</x:v>
      </x:c>
      <x:c r="C48" s="21"/>
      <x:c r="D48" s="21" t="s">
        <x:v>124</x:v>
      </x:c>
      <x:c r="E48" s="21" t="s">
        <x:v>178</x:v>
      </x:c>
      <x:c r="F48" s="21" t="s">
        <x:v>58</x:v>
      </x:c>
      <x:c r="G48" s="21" t="s">
        <x:v>208</x:v>
      </x:c>
      <x:c r="H48" s="21" t="s">
        <x:v>65</x:v>
      </x:c>
      <x:c r="I48" s="21" t="s">
        <x:v>129</x:v>
      </x:c>
      <x:c r="J48" s="21" t="s">
        <x:v>129</x:v>
      </x:c>
      <x:c r="K48" s="21">
        <x:v>14</x:v>
      </x:c>
      <x:c r="L48" s="21" t="s">
        <x:v>45</x:v>
      </x:c>
      <x:c r="M48" s="21">
        <x:v>11</x:v>
      </x:c>
      <x:c r="N48" s="21" t="s">
        <x:v>45</x:v>
      </x:c>
      <x:c r="O48" s="21">
        <x:v>0</x:v>
      </x:c>
      <x:c r="P48" s="21"/>
      <x:c r="Q48" s="21" t="s">
        <x:v>4</x:v>
      </x:c>
      <x:c r="R48" s="22" t="str">
        <x:f>IF(Q48&lt;&gt;"Ready to List",COUNTIFS($Q$3:Q48,"&lt;&gt;Ready to List"),"")</x:f>
      </x:c>
    </x:row>
    <x:row r="49">
      <x:c r="A49" s="21">
        <x:v>51</x:v>
      </x:c>
      <x:c r="B49" s="21" t="s">
        <x:v>209</x:v>
      </x:c>
      <x:c r="C49" s="21"/>
      <x:c r="D49" s="21" t="s">
        <x:v>38</x:v>
      </x:c>
      <x:c r="E49" s="21" t="s">
        <x:v>164</x:v>
      </x:c>
      <x:c r="F49" s="21" t="s">
        <x:v>40</x:v>
      </x:c>
      <x:c r="G49" s="21" t="s">
        <x:v>210</x:v>
      </x:c>
      <x:c r="H49" s="21" t="s">
        <x:v>65</x:v>
      </x:c>
      <x:c r="I49" s="21" t="s">
        <x:v>43</x:v>
      </x:c>
      <x:c r="J49" s="21" t="s">
        <x:v>44</x:v>
      </x:c>
      <x:c r="K49" s="21">
        <x:v>38</x:v>
      </x:c>
      <x:c r="L49" s="21" t="s">
        <x:v>45</x:v>
      </x:c>
      <x:c r="M49" s="21">
        <x:v>14</x:v>
      </x:c>
      <x:c r="N49" s="21" t="s">
        <x:v>45</x:v>
      </x:c>
      <x:c r="O49" s="21">
        <x:v>0</x:v>
      </x:c>
      <x:c r="P49" s="21"/>
      <x:c r="Q49" s="21" t="s">
        <x:v>4</x:v>
      </x:c>
      <x:c r="R49" s="22" t="str">
        <x:f>IF(Q49&lt;&gt;"Ready to List",COUNTIFS($Q$3:Q49,"&lt;&gt;Ready to List"),"")</x:f>
      </x:c>
    </x:row>
    <x:row r="50">
      <x:c r="A50" s="21">
        <x:v>52</x:v>
      </x:c>
      <x:c r="B50" s="21" t="s">
        <x:v>211</x:v>
      </x:c>
      <x:c r="C50" s="21"/>
      <x:c r="D50" s="21" t="s">
        <x:v>38</x:v>
      </x:c>
      <x:c r="E50" s="21" t="s">
        <x:v>39</x:v>
      </x:c>
      <x:c r="F50" s="21" t="s">
        <x:v>40</x:v>
      </x:c>
      <x:c r="G50" s="21" t="s">
        <x:v>208</x:v>
      </x:c>
      <x:c r="H50" s="21" t="s">
        <x:v>65</x:v>
      </x:c>
      <x:c r="I50" s="21" t="s">
        <x:v>133</x:v>
      </x:c>
      <x:c r="J50" s="21" t="s">
        <x:v>133</x:v>
      </x:c>
      <x:c r="K50" s="21">
        <x:v>38</x:v>
      </x:c>
      <x:c r="L50" s="21" t="s">
        <x:v>45</x:v>
      </x:c>
      <x:c r="M50" s="21">
        <x:v>10</x:v>
      </x:c>
      <x:c r="N50" s="21" t="s">
        <x:v>45</x:v>
      </x:c>
      <x:c r="O50" s="21">
        <x:v>0</x:v>
      </x:c>
      <x:c r="P50" s="21"/>
      <x:c r="Q50" s="21" t="s">
        <x:v>4</x:v>
      </x:c>
      <x:c r="R50" s="22" t="str">
        <x:f>IF(Q50&lt;&gt;"Ready to List",COUNTIFS($Q$3:Q50,"&lt;&gt;Ready to List"),"")</x:f>
      </x:c>
    </x:row>
    <x:row r="51">
      <x:c r="A51" s="21">
        <x:v>53</x:v>
      </x:c>
      <x:c r="B51" s="21" t="s">
        <x:v>212</x:v>
      </x:c>
      <x:c r="C51" s="21"/>
      <x:c r="D51" s="21" t="s">
        <x:v>189</x:v>
      </x:c>
      <x:c r="E51" s="21" t="s">
        <x:v>112</x:v>
      </x:c>
      <x:c r="F51" s="21" t="s">
        <x:v>64</x:v>
      </x:c>
      <x:c r="G51" s="21" t="s">
        <x:v>213</x:v>
      </x:c>
      <x:c r="H51" s="21" t="s">
        <x:v>172</x:v>
      </x:c>
      <x:c r="I51" s="21" t="s">
        <x:v>145</x:v>
      </x:c>
      <x:c r="J51" s="21" t="s">
        <x:v>51</x:v>
      </x:c>
      <x:c r="K51" s="21">
        <x:v>6.5</x:v>
      </x:c>
      <x:c r="L51" s="21" t="s">
        <x:v>45</x:v>
      </x:c>
      <x:c r="M51" s="21">
        <x:v>24</x:v>
      </x:c>
      <x:c r="N51" s="21" t="s">
        <x:v>45</x:v>
      </x:c>
      <x:c r="O51" s="21">
        <x:v>0</x:v>
      </x:c>
      <x:c r="P51" s="21"/>
      <x:c r="Q51" s="21" t="s">
        <x:v>4</x:v>
      </x:c>
      <x:c r="R51" s="22" t="str">
        <x:f>IF(Q51&lt;&gt;"Ready to List",COUNTIFS($Q$3:Q51,"&lt;&gt;Ready to List"),"")</x:f>
      </x:c>
    </x:row>
  </x:sheetData>
  <x:mergeCells>
    <x:mergeCell ref="A1:Q1"/>
  </x:mergeCells>
  <x:pageMargins left="0.7" right="0.7" top="0.75" bottom="0.75" header="0.3" footer="0.3"/>
</x:worksheet>
</file>