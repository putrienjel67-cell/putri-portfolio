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d72986ffe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ventory" sheetId="1" r:id="R15e94136b43d4e87"/>
    <x:sheet xmlns:r="http://schemas.openxmlformats.org/officeDocument/2006/relationships" name="Reference" sheetId="2" r:id="R291114aaf5984ab5"/>
    <x:sheet xmlns:r="http://schemas.openxmlformats.org/officeDocument/2006/relationships" name="Reconciliation" sheetId="3" r:id="R2932c968c3e84ff0"/>
    <x:sheet xmlns:r="http://schemas.openxmlformats.org/officeDocument/2006/relationships" name="QA Summary" sheetId="4" r:id="R9f45be9d72aa46f4"/>
    <x:sheet xmlns:r="http://schemas.openxmlformats.org/officeDocument/2006/relationships" name="Dashboard" sheetId="5" r:id="R21c4af14cc844e8e"/>
    <x:sheet xmlns:r="http://schemas.openxmlformats.org/officeDocument/2006/relationships" name="Action Queue" sheetId="6" r:id="R59447e2387f84ff6"/>
    <x:sheet xmlns:r="http://schemas.openxmlformats.org/officeDocument/2006/relationships" name="Inventory SOP" sheetId="7" r:id="R3387cd6b22194a0e"/>
    <x:sheet xmlns:r="http://schemas.openxmlformats.org/officeDocument/2006/relationships" name="Written Templates" sheetId="8" r:id="R35dcd1d7422541e9"/>
    <x:sheet xmlns:r="http://schemas.openxmlformats.org/officeDocument/2006/relationships" name="Project Notes" sheetId="9" r:id="Rf6bcac0e583347bb"/>
    <x:sheet xmlns:r="http://schemas.openxmlformats.org/officeDocument/2006/relationships" name="Detailed Case Queue" sheetId="10" r:id="R903e739372754760"/>
  </x:sheets>
</x:workbook>
</file>

<file path=xl/sharedStrings.xml><?xml version="1.0" encoding="utf-8"?>
<x:sst xmlns:x="http://schemas.openxmlformats.org/spreadsheetml/2006/main">
  <x:si>
    <x:t xml:space="preserve">PROJ-005 | RAW INVENTORY COUNT</x:t>
  </x:si>
  <x:si>
    <x:t xml:space="preserve">Simulated stock-count intake • original values retained • 60 audit rows</x:t>
  </x:si>
  <x:si>
    <x:t xml:space="preserve">Count Date</x:t>
  </x:si>
  <x:si>
    <x:t xml:space="preserve">SKU</x:t>
  </x:si>
  <x:si>
    <x:t xml:space="preserve">Product Name</x:t>
  </x:si>
  <x:si>
    <x:t xml:space="preserve">Category (Raw)</x:t>
  </x:si>
  <x:si>
    <x:t xml:space="preserve">Location (Raw)</x:t>
  </x:si>
  <x:si>
    <x:t xml:space="preserve">Unit Cost (USD)</x:t>
  </x:si>
  <x:si>
    <x:t xml:space="preserve">System Qty</x:t>
  </x:si>
  <x:si>
    <x:t xml:space="preserve">Physical Qty</x:t>
  </x:si>
  <x:si>
    <x:t xml:space="preserve">Reorder Point</x:t>
  </x:si>
  <x:si>
    <x:t xml:space="preserve">Counted By</x:t>
  </x:si>
  <x:si>
    <x:t xml:space="preserve">Evidence Ref</x:t>
  </x:si>
  <x:si>
    <x:t xml:space="preserve">SKU-0001</x:t>
  </x:si>
  <x:si>
    <x:t xml:space="preserve">Stride Runner A</x:t>
  </x:si>
  <x:si>
    <x:t xml:space="preserve">Footwear</x:t>
  </x:si>
  <x:si>
    <x:t xml:space="preserve">JKT-A</x:t>
  </x:si>
  <x:si>
    <x:t xml:space="preserve">Dewi</x:t>
  </x:si>
  <x:si>
    <x:t xml:space="preserve">CNT-2026-001</x:t>
  </x:si>
  <x:si>
    <x:t xml:space="preserve">SKU-0002</x:t>
  </x:si>
  <x:si>
    <x:t xml:space="preserve">Core Tee B</x:t>
  </x:si>
  <x:si>
    <x:t xml:space="preserve">Apparel</x:t>
  </x:si>
  <x:si>
    <x:t xml:space="preserve">JKT-B</x:t>
  </x:si>
  <x:si>
    <x:t xml:space="preserve">Ari</x:t>
  </x:si>
  <x:si>
    <x:t xml:space="preserve">CNT-2026-002</x:t>
  </x:si>
  <x:si>
    <x:t xml:space="preserve">SKU-0003</x:t>
  </x:si>
  <x:si>
    <x:t xml:space="preserve">Sport Cap C</x:t>
  </x:si>
  <x:si>
    <x:t xml:space="preserve">Accessories</x:t>
  </x:si>
  <x:si>
    <x:t xml:space="preserve">SBY-A</x:t>
  </x:si>
  <x:si>
    <x:t xml:space="preserve">Nadia</x:t>
  </x:si>
  <x:si>
    <x:t xml:space="preserve">CNT-2026-003</x:t>
  </x:si>
  <x:si>
    <x:t xml:space="preserve">SKU-0004</x:t>
  </x:si>
  <x:si>
    <x:t xml:space="preserve">Yoga Mat A</x:t>
  </x:si>
  <x:si>
    <x:t xml:space="preserve">Equipment</x:t>
  </x:si>
  <x:si>
    <x:t xml:space="preserve">BDG-A</x:t>
  </x:si>
  <x:si>
    <x:t xml:space="preserve">Rina</x:t>
  </x:si>
  <x:si>
    <x:t xml:space="preserve">CNT-2026-004</x:t>
  </x:si>
  <x:si>
    <x:t xml:space="preserve">SKU-0005</x:t>
  </x:si>
  <x:si>
    <x:t xml:space="preserve">Court Classic B</x:t>
  </x:si>
  <x:si>
    <x:t xml:space="preserve">CNT-2026-005</x:t>
  </x:si>
  <x:si>
    <x:t xml:space="preserve">SKU-0006</x:t>
  </x:si>
  <x:si>
    <x:t xml:space="preserve">Performance Polo C</x:t>
  </x:si>
  <x:si>
    <x:t xml:space="preserve">CNT-2026-006</x:t>
  </x:si>
  <x:si>
    <x:t xml:space="preserve">SKU-0007</x:t>
  </x:si>
  <x:si>
    <x:t xml:space="preserve">Gym Bag A</x:t>
  </x:si>
  <x:si>
    <x:t xml:space="preserve">SKU-0008</x:t>
  </x:si>
  <x:si>
    <x:t xml:space="preserve">Resistance Band B</x:t>
  </x:si>
  <x:si>
    <x:t xml:space="preserve">CNT-2026-008</x:t>
  </x:si>
  <x:si>
    <x:t xml:space="preserve">SKU-0009</x:t>
  </x:si>
  <x:si>
    <x:t xml:space="preserve">Trail Motion C</x:t>
  </x:si>
  <x:si>
    <x:t xml:space="preserve">Shoes</x:t>
  </x:si>
  <x:si>
    <x:t xml:space="preserve">CNT-2026-009</x:t>
  </x:si>
  <x:si>
    <x:t xml:space="preserve">SKU-0010</x:t>
  </x:si>
  <x:si>
    <x:t xml:space="preserve">Training Jacket A</x:t>
  </x:si>
  <x:si>
    <x:t xml:space="preserve">CNT-2026-010</x:t>
  </x:si>
  <x:si>
    <x:t xml:space="preserve">SKU-0011</x:t>
  </x:si>
  <x:si>
    <x:t xml:space="preserve">Crew Socks B</x:t>
  </x:si>
  <x:si>
    <x:t xml:space="preserve">accessories</x:t>
  </x:si>
  <x:si>
    <x:t xml:space="preserve">CNT-2026-011</x:t>
  </x:si>
  <x:si>
    <x:t xml:space="preserve">SKU-0012</x:t>
  </x:si>
  <x:si>
    <x:t xml:space="preserve">Training Cone C</x:t>
  </x:si>
  <x:si>
    <x:t xml:space="preserve">CNT-2026-012</x:t>
  </x:si>
  <x:si>
    <x:t xml:space="preserve">SKU-0013</x:t>
  </x:si>
  <x:si>
    <x:t xml:space="preserve">Urban Flex A</x:t>
  </x:si>
  <x:si>
    <x:t xml:space="preserve">jkt-a</x:t>
  </x:si>
  <x:si>
    <x:t xml:space="preserve">CNT-2026-013</x:t>
  </x:si>
  <x:si>
    <x:t xml:space="preserve">Everyday Hoodie B</x:t>
  </x:si>
  <x:si>
    <x:t xml:space="preserve">CNT-2026-014</x:t>
  </x:si>
  <x:si>
    <x:t xml:space="preserve">SKU-0015</x:t>
  </x:si>
  <x:si>
    <x:t xml:space="preserve">Water Bottle C</x:t>
  </x:si>
  <x:si>
    <x:t xml:space="preserve">CNT-2026-015</x:t>
  </x:si>
  <x:si>
    <x:t xml:space="preserve">SKU-0016</x:t>
  </x:si>
  <x:si>
    <x:t xml:space="preserve">Foam Roller A</x:t>
  </x:si>
  <x:si>
    <x:t xml:space="preserve">CNT-2026-016</x:t>
  </x:si>
  <x:si>
    <x:t xml:space="preserve">SKU-0017</x:t>
  </x:si>
  <x:si>
    <x:t xml:space="preserve">Daily Trainer B</x:t>
  </x:si>
  <x:si>
    <x:t xml:space="preserve">CNT-2026-017</x:t>
  </x:si>
  <x:si>
    <x:t xml:space="preserve">SKU-0018</x:t>
  </x:si>
  <x:si>
    <x:t xml:space="preserve">Active Shorts C</x:t>
  </x:si>
  <x:si>
    <x:t xml:space="preserve">CNT-2026-018</x:t>
  </x:si>
  <x:si>
    <x:t xml:space="preserve">SKU-0019</x:t>
  </x:si>
  <x:si>
    <x:t xml:space="preserve">Wristband Set A</x:t>
  </x:si>
  <x:si>
    <x:t xml:space="preserve">CNT-2026-019</x:t>
  </x:si>
  <x:si>
    <x:t xml:space="preserve">SKU-0020</x:t>
  </x:si>
  <x:si>
    <x:t xml:space="preserve">Jump Rope B</x:t>
  </x:si>
  <x:si>
    <x:t xml:space="preserve">CNT-2026-020</x:t>
  </x:si>
  <x:si>
    <x:t xml:space="preserve">SKU-0021</x:t>
  </x:si>
  <x:si>
    <x:t xml:space="preserve">Stride Runner C</x:t>
  </x:si>
  <x:si>
    <x:t xml:space="preserve">CNT-2026-021</x:t>
  </x:si>
  <x:si>
    <x:t xml:space="preserve">SKU-0022</x:t>
  </x:si>
  <x:si>
    <x:t xml:space="preserve">Core Tee A</x:t>
  </x:si>
  <x:si>
    <x:t xml:space="preserve">apparel</x:t>
  </x:si>
  <x:si>
    <x:t xml:space="preserve">CNT-2026-022</x:t>
  </x:si>
  <x:si>
    <x:t xml:space="preserve">SKU-0023</x:t>
  </x:si>
  <x:si>
    <x:t xml:space="preserve">Sport Cap B</x:t>
  </x:si>
  <x:si>
    <x:t xml:space="preserve">CNT-2026-023</x:t>
  </x:si>
  <x:si>
    <x:t xml:space="preserve">SKU-0024</x:t>
  </x:si>
  <x:si>
    <x:t xml:space="preserve">Yoga Mat C</x:t>
  </x:si>
  <x:si>
    <x:t xml:space="preserve">CNT-2026-024</x:t>
  </x:si>
  <x:si>
    <x:t xml:space="preserve">SKU-0025</x:t>
  </x:si>
  <x:si>
    <x:t xml:space="preserve">Court Classic A</x:t>
  </x:si>
  <x:si>
    <x:t xml:space="preserve">CNT-2026-025</x:t>
  </x:si>
  <x:si>
    <x:t xml:space="preserve">SKU-0026</x:t>
  </x:si>
  <x:si>
    <x:t xml:space="preserve">Performance Polo B</x:t>
  </x:si>
  <x:si>
    <x:t xml:space="preserve">jkt-b</x:t>
  </x:si>
  <x:si>
    <x:t xml:space="preserve">CNT-2026-026</x:t>
  </x:si>
  <x:si>
    <x:t xml:space="preserve">SKU-0027</x:t>
  </x:si>
  <x:si>
    <x:t xml:space="preserve">Gym Bag C</x:t>
  </x:si>
  <x:si>
    <x:t xml:space="preserve">Warehouse X</x:t>
  </x:si>
  <x:si>
    <x:t xml:space="preserve">CNT-2026-027</x:t>
  </x:si>
  <x:si>
    <x:t xml:space="preserve">SKU-0028</x:t>
  </x:si>
  <x:si>
    <x:t xml:space="preserve">Resistance Band A</x:t>
  </x:si>
  <x:si>
    <x:t xml:space="preserve">CNT-2026-028</x:t>
  </x:si>
  <x:si>
    <x:t xml:space="preserve">SKU-0029</x:t>
  </x:si>
  <x:si>
    <x:t xml:space="preserve">Trail Motion B</x:t>
  </x:si>
  <x:si>
    <x:t xml:space="preserve">CNT-2026-029</x:t>
  </x:si>
  <x:si>
    <x:t xml:space="preserve">SKU-0030</x:t>
  </x:si>
  <x:si>
    <x:t xml:space="preserve">Training Jacket C</x:t>
  </x:si>
  <x:si>
    <x:t xml:space="preserve">CNT-2026-030</x:t>
  </x:si>
  <x:si>
    <x:t xml:space="preserve">SKU-0031</x:t>
  </x:si>
  <x:si>
    <x:t xml:space="preserve">Crew Socks A</x:t>
  </x:si>
  <x:si>
    <x:t xml:space="preserve">CNT-2026-031</x:t>
  </x:si>
  <x:si>
    <x:t xml:space="preserve">SKU-0032</x:t>
  </x:si>
  <x:si>
    <x:t xml:space="preserve">Training Cone B</x:t>
  </x:si>
  <x:si>
    <x:t xml:space="preserve">CNT-2026-032</x:t>
  </x:si>
  <x:si>
    <x:t xml:space="preserve">SKU-0033</x:t>
  </x:si>
  <x:si>
    <x:t xml:space="preserve">Urban Flex C</x:t>
  </x:si>
  <x:si>
    <x:t xml:space="preserve">Misc</x:t>
  </x:si>
  <x:si>
    <x:t xml:space="preserve">CNT-2026-033</x:t>
  </x:si>
  <x:si>
    <x:t xml:space="preserve">SKU-0034</x:t>
  </x:si>
  <x:si>
    <x:t xml:space="preserve">Everyday Hoodie A</x:t>
  </x:si>
  <x:si>
    <x:t xml:space="preserve">CNT-2026-034</x:t>
  </x:si>
  <x:si>
    <x:t xml:space="preserve">SKU-0035</x:t>
  </x:si>
  <x:si>
    <x:t xml:space="preserve">Water Bottle B</x:t>
  </x:si>
  <x:si>
    <x:t xml:space="preserve">CNT-2026-035</x:t>
  </x:si>
  <x:si>
    <x:t xml:space="preserve">SKU-0036</x:t>
  </x:si>
  <x:si>
    <x:t xml:space="preserve">Foam Roller C</x:t>
  </x:si>
  <x:si>
    <x:t xml:space="preserve">SKU-0037</x:t>
  </x:si>
  <x:si>
    <x:t xml:space="preserve">Daily Trainer A</x:t>
  </x:si>
  <x:si>
    <x:t xml:space="preserve">CNT-2026-037</x:t>
  </x:si>
  <x:si>
    <x:t xml:space="preserve">SKU-0038</x:t>
  </x:si>
  <x:si>
    <x:t xml:space="preserve">Active Shorts B</x:t>
  </x:si>
  <x:si>
    <x:t xml:space="preserve">CNT-2026-038</x:t>
  </x:si>
  <x:si>
    <x:t xml:space="preserve">SKU-0039</x:t>
  </x:si>
  <x:si>
    <x:t xml:space="preserve">Wristband Set C</x:t>
  </x:si>
  <x:si>
    <x:t xml:space="preserve">sby-a</x:t>
  </x:si>
  <x:si>
    <x:t xml:space="preserve">CNT-2026-039</x:t>
  </x:si>
  <x:si>
    <x:t xml:space="preserve">SKU-0040</x:t>
  </x:si>
  <x:si>
    <x:t xml:space="preserve">Jump Rope A</x:t>
  </x:si>
  <x:si>
    <x:t xml:space="preserve">CNT-2026-040</x:t>
  </x:si>
  <x:si>
    <x:t xml:space="preserve">SKU-0041</x:t>
  </x:si>
  <x:si>
    <x:t xml:space="preserve">Stride Runner B</x:t>
  </x:si>
  <x:si>
    <x:t xml:space="preserve">CNT-2026-041</x:t>
  </x:si>
  <x:si>
    <x:t xml:space="preserve">Core Tee C</x:t>
  </x:si>
  <x:si>
    <x:t xml:space="preserve">CNT-2026-042</x:t>
  </x:si>
  <x:si>
    <x:t xml:space="preserve">SKU-0043</x:t>
  </x:si>
  <x:si>
    <x:t xml:space="preserve">Sport Cap A</x:t>
  </x:si>
  <x:si>
    <x:t xml:space="preserve">CNT-2026-043</x:t>
  </x:si>
  <x:si>
    <x:t xml:space="preserve">SKU-0044</x:t>
  </x:si>
  <x:si>
    <x:t xml:space="preserve">Yoga Mat B</x:t>
  </x:si>
  <x:si>
    <x:t xml:space="preserve">equipment</x:t>
  </x:si>
  <x:si>
    <x:t xml:space="preserve">CNT-2026-044</x:t>
  </x:si>
  <x:si>
    <x:t xml:space="preserve">SKU-0045</x:t>
  </x:si>
  <x:si>
    <x:t xml:space="preserve">Court Classic C</x:t>
  </x:si>
  <x:si>
    <x:t xml:space="preserve">CNT-2026-045</x:t>
  </x:si>
  <x:si>
    <x:t xml:space="preserve">SKU-0046</x:t>
  </x:si>
  <x:si>
    <x:t xml:space="preserve">Performance Polo A</x:t>
  </x:si>
  <x:si>
    <x:t xml:space="preserve">CNT-2026-046</x:t>
  </x:si>
  <x:si>
    <x:t xml:space="preserve">SKU-0047</x:t>
  </x:si>
  <x:si>
    <x:t xml:space="preserve">Gym Bag B</x:t>
  </x:si>
  <x:si>
    <x:t xml:space="preserve">CNT-2026-047</x:t>
  </x:si>
  <x:si>
    <x:t xml:space="preserve">SKU-0048</x:t>
  </x:si>
  <x:si>
    <x:t xml:space="preserve">Resistance Band C</x:t>
  </x:si>
  <x:si>
    <x:t xml:space="preserve">CNT-2026-048</x:t>
  </x:si>
  <x:si>
    <x:t xml:space="preserve">SKU-0049</x:t>
  </x:si>
  <x:si>
    <x:t xml:space="preserve">Trail Motion A</x:t>
  </x:si>
  <x:si>
    <x:t xml:space="preserve">CNT-2026-049</x:t>
  </x:si>
  <x:si>
    <x:t xml:space="preserve">SKU-0050</x:t>
  </x:si>
  <x:si>
    <x:t xml:space="preserve">Training Jacket B</x:t>
  </x:si>
  <x:si>
    <x:t xml:space="preserve">CNT-2026-050</x:t>
  </x:si>
  <x:si>
    <x:t xml:space="preserve">SKU-0051</x:t>
  </x:si>
  <x:si>
    <x:t xml:space="preserve">Crew Socks C</x:t>
  </x:si>
  <x:si>
    <x:t xml:space="preserve">CNT-2026-051</x:t>
  </x:si>
  <x:si>
    <x:t xml:space="preserve">SKU-0052</x:t>
  </x:si>
  <x:si>
    <x:t xml:space="preserve">Training Cone A</x:t>
  </x:si>
  <x:si>
    <x:t xml:space="preserve">bdg-a</x:t>
  </x:si>
  <x:si>
    <x:t xml:space="preserve">CNT-2026-052</x:t>
  </x:si>
  <x:si>
    <x:t xml:space="preserve">SKU-0053</x:t>
  </x:si>
  <x:si>
    <x:t xml:space="preserve">Urban Flex B</x:t>
  </x:si>
  <x:si>
    <x:t xml:space="preserve">CNT-2026-053</x:t>
  </x:si>
  <x:si>
    <x:t xml:space="preserve">SKU-0054</x:t>
  </x:si>
  <x:si>
    <x:t xml:space="preserve">Everyday Hoodie C</x:t>
  </x:si>
  <x:si>
    <x:t xml:space="preserve">SKU-0055</x:t>
  </x:si>
  <x:si>
    <x:t xml:space="preserve">Water Bottle A</x:t>
  </x:si>
  <x:si>
    <x:t xml:space="preserve">CNT-2026-055</x:t>
  </x:si>
  <x:si>
    <x:t xml:space="preserve">SKU-0056</x:t>
  </x:si>
  <x:si>
    <x:t xml:space="preserve">Foam Roller B</x:t>
  </x:si>
  <x:si>
    <x:t xml:space="preserve">CNT-2026-056</x:t>
  </x:si>
  <x:si>
    <x:t xml:space="preserve">SKU-0057</x:t>
  </x:si>
  <x:si>
    <x:t xml:space="preserve">Daily Trainer C</x:t>
  </x:si>
  <x:si>
    <x:t xml:space="preserve">CNT-2026-057</x:t>
  </x:si>
  <x:si>
    <x:t xml:space="preserve">SKU-0058</x:t>
  </x:si>
  <x:si>
    <x:t xml:space="preserve">Active Shorts A</x:t>
  </x:si>
  <x:si>
    <x:t xml:space="preserve">CNT-2026-058</x:t>
  </x:si>
  <x:si>
    <x:t xml:space="preserve">SKU-0059</x:t>
  </x:si>
  <x:si>
    <x:t xml:space="preserve">Wristband Set B</x:t>
  </x:si>
  <x:si>
    <x:t xml:space="preserve">CNT-2026-059</x:t>
  </x:si>
  <x:si>
    <x:t xml:space="preserve">SKU-0060</x:t>
  </x:si>
  <x:si>
    <x:t xml:space="preserve">Jump Rope C</x:t>
  </x:si>
  <x:si>
    <x:t xml:space="preserve">CNT-2026-060</x:t>
  </x:si>
  <x:si>
    <x:t xml:space="preserve">PROJ-005 | CONTROLLED REFERENCES</x:t>
  </x:si>
  <x:si>
    <x:t xml:space="preserve">Approved categories, warehouse locations, issue priority and workflow controls</x:t>
  </x:si>
  <x:si>
    <x:t xml:space="preserve">CATEGORY KEY</x:t>
  </x:si>
  <x:si>
    <x:t xml:space="preserve">STANDARD CATEGORY</x:t>
  </x:si>
  <x:si>
    <x:t xml:space="preserve">LOCATION KEY</x:t>
  </x:si>
  <x:si>
    <x:t xml:space="preserve">STANDARD LOCATION</x:t>
  </x:si>
  <x:si>
    <x:t xml:space="preserve">FOOTWEAR</x:t>
  </x:si>
  <x:si>
    <x:t xml:space="preserve">APPAREL</x:t>
  </x:si>
  <x:si>
    <x:t xml:space="preserve">ACCESSORIES</x:t>
  </x:si>
  <x:si>
    <x:t xml:space="preserve">EQUIPMENT</x:t>
  </x:si>
  <x:si>
    <x:t xml:space="preserve">SHOES</x:t>
  </x:si>
  <x:si>
    <x:t xml:space="preserve">Needs Review</x:t>
  </x:si>
  <x:si>
    <x:t xml:space="preserve">WAREHOUSE X</x:t>
  </x:si>
  <x:si>
    <x:t xml:space="preserve">MISC</x:t>
  </x:si>
  <x:si>
    <x:t xml:space="preserve">CONTROL</x:t>
  </x:si>
  <x:si>
    <x:t xml:space="preserve">DEFINITION</x:t>
  </x:si>
  <x:si>
    <x:t xml:space="preserve">HIGH</x:t>
  </x:si>
  <x:si>
    <x:t xml:space="preserve">MEDIUM</x:t>
  </x:si>
  <x:si>
    <x:t xml:space="preserve">LOW</x:t>
  </x:si>
  <x:si>
    <x:t xml:space="preserve">OWNER CHANNEL</x:t>
  </x:si>
  <x:si>
    <x:t xml:space="preserve">Duplicate SKU</x:t>
  </x:si>
  <x:si>
    <x:t xml:space="preserve">SKU occurs more than once</x:t>
  </x:si>
  <x:si>
    <x:t xml:space="preserve">Yes</x:t>
  </x:si>
  <x:si>
    <x:t xml:space="preserve">Written task</x:t>
  </x:si>
  <x:si>
    <x:t xml:space="preserve">Invalid input</x:t>
  </x:si>
  <x:si>
    <x:t xml:space="preserve">Negative/missing core quantity or cost</x:t>
  </x:si>
  <x:si>
    <x:t xml:space="preserve">Missing evidence</x:t>
  </x:si>
  <x:si>
    <x:t xml:space="preserve">No count reference attached</x:t>
  </x:si>
  <x:si>
    <x:t xml:space="preserve">Stock shortage</x:t>
  </x:si>
  <x:si>
    <x:t xml:space="preserve">Physical quantity below system quantity</x:t>
  </x:si>
  <x:si>
    <x:t xml:space="preserve">Stock overage</x:t>
  </x:si>
  <x:si>
    <x:t xml:space="preserve">Physical quantity above system quantity</x:t>
  </x:si>
  <x:si>
    <x:t xml:space="preserve">Low stock</x:t>
  </x:si>
  <x:si>
    <x:t xml:space="preserve">Physical quantity at/below reorder point</x:t>
  </x:si>
  <x:si>
    <x:t xml:space="preserve">PROJ-005 | FORMULA-DRIVEN INVENTORY RECONCILIATION</x:t>
  </x:si>
  <x:si>
    <x:t xml:space="preserve">Source-linked quantities • variance value • stock risk • traceable written action</x:t>
  </x:si>
  <x:si>
    <x:t xml:space="preserve">Raw Row</x:t>
  </x:si>
  <x:si>
    <x:t xml:space="preserve">Duplicate Count</x:t>
  </x:si>
  <x:si>
    <x:t xml:space="preserve">Category</x:t>
  </x:si>
  <x:si>
    <x:t xml:space="preserve">Location</x:t>
  </x:si>
  <x:si>
    <x:t xml:space="preserve">Unit Cost</x:t>
  </x:si>
  <x:si>
    <x:t xml:space="preserve">Qty Variance</x:t>
  </x:si>
  <x:si>
    <x:t xml:space="preserve">Abs Variance</x:t>
  </x:si>
  <x:si>
    <x:t xml:space="preserve">Variance Value</x:t>
  </x:si>
  <x:si>
    <x:t xml:space="preserve">Category Check</x:t>
  </x:si>
  <x:si>
    <x:t xml:space="preserve">Location Check</x:t>
  </x:si>
  <x:si>
    <x:t xml:space="preserve">Cost Check</x:t>
  </x:si>
  <x:si>
    <x:t xml:space="preserve">System Qty Check</x:t>
  </x:si>
  <x:si>
    <x:t xml:space="preserve">Physical Qty Check</x:t>
  </x:si>
  <x:si>
    <x:t xml:space="preserve">Evidence Check</x:t>
  </x:si>
  <x:si>
    <x:t xml:space="preserve">Duplicate Check</x:t>
  </x:si>
  <x:si>
    <x:t xml:space="preserve">Low Stock Check</x:t>
  </x:si>
  <x:si>
    <x:t xml:space="preserve">Issue Count</x:t>
  </x:si>
  <x:si>
    <x:t xml:space="preserve">Review Status</x:t>
  </x:si>
  <x:si>
    <x:t xml:space="preserve">Recommended Written Action</x:t>
  </x:si>
  <x:si>
    <x:t xml:space="preserve">PROJ-005 | QA SUMMARY</x:t>
  </x:si>
  <x:si>
    <x:t xml:space="preserve">Formula-driven control totals • quantities, exception types and audit value</x:t>
  </x:si>
  <x:si>
    <x:t xml:space="preserve">RESULT</x:t>
  </x:si>
  <x:si>
    <x:t xml:space="preserve">METRIC DEFINITIONS</x:t>
  </x:si>
  <x:si>
    <x:t xml:space="preserve">Total records</x:t>
  </x:si>
  <x:si>
    <x:t xml:space="preserve">Rows requiring review = distinct rows with one or more detected issues, including any stock variance</x:t>
  </x:si>
  <x:si>
    <x:t xml:space="preserve">Ready rows</x:t>
  </x:si>
  <x:si>
    <x:t xml:space="preserve">Duplicate groups = distinct repeated SKU values</x:t>
  </x:si>
  <x:si>
    <x:t xml:space="preserve">Rows requiring review</x:t>
  </x:si>
  <x:si>
    <x:t xml:space="preserve">Duplicate rows = all rows participating in duplicate groups</x:t>
  </x:si>
  <x:si>
    <x:t xml:space="preserve">High priority rows</x:t>
  </x:si>
  <x:si>
    <x:t xml:space="preserve">Shortage, overage, and exact-match counts exclude rows without valid comparable quantities</x:t>
  </x:si>
  <x:si>
    <x:t xml:space="preserve">Duplicate SKU groups</x:t>
  </x:si>
  <x:si>
    <x:t xml:space="preserve">Variance value uses absolute quantity variance × valid unit cost</x:t>
  </x:si>
  <x:si>
    <x:t xml:space="preserve">Duplicate rows</x:t>
  </x:si>
  <x:si>
    <x:t xml:space="preserve">No row is deleted or silently corrected</x:t>
  </x:si>
  <x:si>
    <x:t xml:space="preserve">Missing Physical Qty</x:t>
  </x:si>
  <x:si>
    <x:t xml:space="preserve">All results remain traceable to Raw Inventory</x:t>
  </x:si>
  <x:si>
    <x:t xml:space="preserve">Invalid Unit Cost</x:t>
  </x:si>
  <x:si>
    <x:t xml:space="preserve">Invalid System Qty</x:t>
  </x:si>
  <x:si>
    <x:t xml:space="preserve">Invalid Category</x:t>
  </x:si>
  <x:si>
    <x:t xml:space="preserve">Invalid Location</x:t>
  </x:si>
  <x:si>
    <x:t xml:space="preserve">Missing Evidence</x:t>
  </x:si>
  <x:si>
    <x:t xml:space="preserve">Shortage rows</x:t>
  </x:si>
  <x:si>
    <x:t xml:space="preserve">Overage rows</x:t>
  </x:si>
  <x:si>
    <x:t xml:space="preserve">Exact match rows</x:t>
  </x:si>
  <x:si>
    <x:t xml:space="preserve">Low stock rows</x:t>
  </x:si>
  <x:si>
    <x:t xml:space="preserve">Units shortage</x:t>
  </x:si>
  <x:si>
    <x:t xml:space="preserve">Units overage</x:t>
  </x:si>
  <x:si>
    <x:t xml:space="preserve">Absolute variance value (USD)</x:t>
  </x:si>
  <x:si>
    <x:t xml:space="preserve">PROJ-005 | INVENTORY AUDIT DASHBOARD</x:t>
  </x:si>
  <x:si>
    <x:t xml:space="preserve">Written-first stock reconciliation • no calls required • auditable exception handling</x:t>
  </x:si>
  <x:si>
    <x:t xml:space="preserve">TOTAL RECORDS
60</x:t>
  </x:si>
  <x:si>
    <x:t xml:space="preserve">READY ROWS
20</x:t>
  </x:si>
  <x:si>
    <x:t xml:space="preserve">REQUIRES REVIEW
40</x:t>
  </x:si>
  <x:si>
    <x:t xml:space="preserve">HIGH PRIORITY
8</x:t>
  </x:si>
  <x:si>
    <x:t xml:space="preserve">VARIANCE VALUE
$3,432</x:t>
  </x:si>
  <x:si>
    <x:t xml:space="preserve">AUDIT OUTCOME</x:t>
  </x:si>
  <x:si>
    <x:t xml:space="preserve">COUNT</x:t>
  </x:si>
  <x:si>
    <x:t xml:space="preserve">VA WORKFLOW — WRITTEN HANDOFF</x:t>
  </x:si>
  <x:si>
    <x:t xml:space="preserve">1</x:t>
  </x:si>
  <x:si>
    <x:t xml:space="preserve">Receive count sheet</x:t>
  </x:si>
  <x:si>
    <x:t xml:space="preserve">Shared folder / email</x:t>
  </x:si>
  <x:si>
    <x:t xml:space="preserve">2</x:t>
  </x:si>
  <x:si>
    <x:t xml:space="preserve">Log raw record</x:t>
  </x:si>
  <x:si>
    <x:t xml:space="preserve">Spreadsheet</x:t>
  </x:si>
  <x:si>
    <x:t xml:space="preserve">3</x:t>
  </x:si>
  <x:si>
    <x:t xml:space="preserve">Run validation</x:t>
  </x:si>
  <x:si>
    <x:t xml:space="preserve">Formula-driven checks</x:t>
  </x:si>
  <x:si>
    <x:t xml:space="preserve">4</x:t>
  </x:si>
  <x:si>
    <x:t xml:space="preserve">Investigate exception</x:t>
  </x:si>
  <x:si>
    <x:t xml:space="preserve">Written task / chat</x:t>
  </x:si>
  <x:si>
    <x:t xml:space="preserve">5</x:t>
  </x:si>
  <x:si>
    <x:t xml:space="preserve">Track resolution</x:t>
  </x:si>
  <x:si>
    <x:t xml:space="preserve">Action Queue</x:t>
  </x:si>
  <x:si>
    <x:t xml:space="preserve">6</x:t>
  </x:si>
  <x:si>
    <x:t xml:space="preserve">Archive evidence</x:t>
  </x:si>
  <x:si>
    <x:t xml:space="preserve">Documented handoff</x:t>
  </x:si>
  <x:si>
    <x:t xml:space="preserve">Communication boundary
Designed for spreadsheet updates, email, chat, and documented handoffs. No cold calling, phone support, sales calls, or frequent meetings are required.</x:t>
  </x:si>
  <x:si>
    <x:t xml:space="preserve">VARIANCE TYPE</x:t>
  </x:si>
  <x:si>
    <x:t xml:space="preserve">ROWS</x:t>
  </x:si>
  <x:si>
    <x:t xml:space="preserve">Shortage</x:t>
  </x:si>
  <x:si>
    <x:t xml:space="preserve">Overage</x:t>
  </x:si>
  <x:si>
    <x:t xml:space="preserve">Exact Match</x:t>
  </x:si>
  <x:si>
    <x:t xml:space="preserve">PROJ-005 | INVENTORY ACTION QUEUE</x:t>
  </x:si>
  <x:si>
    <x:t xml:space="preserve">Formula-linked open counts • priority • owner • written resolution tracker</x:t>
  </x:si>
  <x:si>
    <x:t xml:space="preserve">Issue Type</x:t>
  </x:si>
  <x:si>
    <x:t xml:space="preserve">Open Count</x:t>
  </x:si>
  <x:si>
    <x:t xml:space="preserve">Default Priority</x:t>
  </x:si>
  <x:si>
    <x:t xml:space="preserve">Owner</x:t>
  </x:si>
  <x:si>
    <x:t xml:space="preserve">Status</x:t>
  </x:si>
  <x:si>
    <x:t xml:space="preserve">Written Next Action</x:t>
  </x:si>
  <x:si>
    <x:t xml:space="preserve">Evidence / Resolution Note</x:t>
  </x:si>
  <x:si>
    <x:t xml:space="preserve">Target Date</x:t>
  </x:si>
  <x:si>
    <x:t xml:space="preserve">High</x:t>
  </x:si>
  <x:si>
    <x:t xml:space="preserve">Open</x:t>
  </x:si>
  <x:si>
    <x:t xml:space="preserve">Compare records with approved count evidence</x:t>
  </x:si>
  <x:si>
    <x:t xml:space="preserve">Correct the source field and attach supporting evidence</x:t>
  </x:si>
  <x:si>
    <x:t xml:space="preserve">Medium</x:t>
  </x:si>
  <x:si>
    <x:t xml:space="preserve">Stock Shortage</x:t>
  </x:si>
  <x:si>
    <x:t xml:space="preserve">Review the variance and document the decision</x:t>
  </x:si>
  <x:si>
    <x:t xml:space="preserve">Stock Overage</x:t>
  </x:si>
  <x:si>
    <x:t xml:space="preserve">Low</x:t>
  </x:si>
  <x:si>
    <x:t xml:space="preserve">Low Stock</x:t>
  </x:si>
  <x:si>
    <x:t xml:space="preserve">PROJ-005 | INVENTORY DATA ENTRY SOP</x:t>
  </x:si>
  <x:si>
    <x:t xml:space="preserve">Preventive controls for accurate remote stock administration</x:t>
  </x:si>
  <x:si>
    <x:t xml:space="preserve">Step</x:t>
  </x:si>
  <x:si>
    <x:t xml:space="preserve">Control</x:t>
  </x:si>
  <x:si>
    <x:t xml:space="preserve">Procedure</x:t>
  </x:si>
  <x:si>
    <x:t xml:space="preserve">Evidence</x:t>
  </x:si>
  <x:si>
    <x:t xml:space="preserve">Completion Standard</x:t>
  </x:si>
  <x:si>
    <x:t xml:space="preserve">Confirm count scope</x:t>
  </x:si>
  <x:si>
    <x:t xml:space="preserve">Check date, location, SKU range and assigned counter</x:t>
  </x:si>
  <x:si>
    <x:t xml:space="preserve">Approved count plan</x:t>
  </x:si>
  <x:si>
    <x:t xml:space="preserve">Inventory Admin</x:t>
  </x:si>
  <x:si>
    <x:t xml:space="preserve">Scope recorded before entry</x:t>
  </x:si>
  <x:si>
    <x:t xml:space="preserve">Preserve source</x:t>
  </x:si>
  <x:si>
    <x:t xml:space="preserve">Save the original count sheet without overwriting</x:t>
  </x:si>
  <x:si>
    <x:t xml:space="preserve">Raw file / shared folder</x:t>
  </x:si>
  <x:si>
    <x:t xml:space="preserve">Original remains unchanged</x:t>
  </x:si>
  <x:si>
    <x:t xml:space="preserve">Enter identifiers</x:t>
  </x:si>
  <x:si>
    <x:t xml:space="preserve">Use approved SKU and location references</x:t>
  </x:si>
  <x:si>
    <x:t xml:space="preserve">Reference sheet</x:t>
  </x:si>
  <x:si>
    <x:t xml:space="preserve">No guessed identifier</x:t>
  </x:si>
  <x:si>
    <x:t xml:space="preserve">Enter quantities</x:t>
  </x:si>
  <x:si>
    <x:t xml:space="preserve">Use numeric whole quantities only</x:t>
  </x:si>
  <x:si>
    <x:t xml:space="preserve">Count sheet</x:t>
  </x:si>
  <x:si>
    <x:t xml:space="preserve">No missing or negative quantity</x:t>
  </x:si>
  <x:si>
    <x:t xml:space="preserve">Attach evidence</x:t>
  </x:si>
  <x:si>
    <x:t xml:space="preserve">Record the count-sheet or image reference</x:t>
  </x:si>
  <x:si>
    <x:t xml:space="preserve">Counter / Admin</x:t>
  </x:si>
  <x:si>
    <x:t xml:space="preserve">Every count is traceable</x:t>
  </x:si>
  <x:si>
    <x:t xml:space="preserve">Run reconciliation</x:t>
  </x:si>
  <x:si>
    <x:t xml:space="preserve">Compare system and physical quantity</x:t>
  </x:si>
  <x:si>
    <x:t xml:space="preserve">Reconciliation sheet</x:t>
  </x:si>
  <x:si>
    <x:t xml:space="preserve">Variance formula complete</x:t>
  </x:si>
  <x:si>
    <x:t xml:space="preserve">Review exceptions</x:t>
  </x:si>
  <x:si>
    <x:t xml:space="preserve">Prioritize duplicates and invalid inputs</x:t>
  </x:si>
  <x:si>
    <x:t xml:space="preserve">Owner and status assigned</x:t>
  </x:si>
  <x:si>
    <x:t xml:space="preserve">Document resolution</x:t>
  </x:si>
  <x:si>
    <x:t xml:space="preserve">Record the approved correction in writing</x:t>
  </x:si>
  <x:si>
    <x:t xml:space="preserve">Resolution note</x:t>
  </x:si>
  <x:si>
    <x:t xml:space="preserve">Record Owner</x:t>
  </x:si>
  <x:si>
    <x:t xml:space="preserve">Reason and evidence retained</x:t>
  </x:si>
  <x:si>
    <x:t xml:space="preserve">Perform final QA</x:t>
  </x:si>
  <x:si>
    <x:t xml:space="preserve">Reconcile dashboard totals to QA Summary</x:t>
  </x:si>
  <x:si>
    <x:t xml:space="preserve">QA Summary</x:t>
  </x:si>
  <x:si>
    <x:t xml:space="preserve">No formula errors; totals agree</x:t>
  </x:si>
  <x:si>
    <x:t xml:space="preserve">PROJ-005 | WRITTEN COMMUNICATION TEMPLATES</x:t>
  </x:si>
  <x:si>
    <x:t xml:space="preserve">Email and chat templates for inventory exceptions • concise • professional • no calls required</x:t>
  </x:si>
  <x:si>
    <x:t xml:space="preserve">Use Case</x:t>
  </x:si>
  <x:si>
    <x:t xml:space="preserve">Subject / Opening</x:t>
  </x:si>
  <x:si>
    <x:t xml:space="preserve">Message Template</x:t>
  </x:si>
  <x:si>
    <x:t xml:space="preserve">Expected Reply</x:t>
  </x:si>
  <x:si>
    <x:t xml:space="preserve">Missing count evidence</x:t>
  </x:si>
  <x:si>
    <x:t xml:space="preserve">Evidence request — [SKU] / [Location]</x:t>
  </x:si>
  <x:si>
    <x:t xml:space="preserve">Hello [Name], please attach or share the approved count evidence for [SKU] at [Location]. The current record cannot be closed without a traceable reference. Thank you.</x:t>
  </x:si>
  <x:si>
    <x:t xml:space="preserve">Evidence link or reference ID</x:t>
  </x:si>
  <x:si>
    <x:t xml:space="preserve">Duplicate SKU review — [SKU]</x:t>
  </x:si>
  <x:si>
    <x:t xml:space="preserve">Hello [Name], two inventory rows use SKU [SKU]. Please confirm whether both rows are valid and identify the approved quantity record. I will retain both entries until written confirmation is received.</x:t>
  </x:si>
  <x:si>
    <x:t xml:space="preserve">Approved row and correction instruction</x:t>
  </x:si>
  <x:si>
    <x:t xml:space="preserve">Quantity variance</x:t>
  </x:si>
  <x:si>
    <x:t xml:space="preserve">Stock variance review — [SKU]</x:t>
  </x:si>
  <x:si>
    <x:t xml:space="preserve">Hello [Name], the physical count differs from the system quantity for [SKU] at [Location]. Please review the attached evidence and confirm the approved resolution in writing.</x:t>
  </x:si>
  <x:si>
    <x:t xml:space="preserve">Approved resolution and evidence</x:t>
  </x:si>
  <x:si>
    <x:t xml:space="preserve">Invalid master data</x:t>
  </x:si>
  <x:si>
    <x:t xml:space="preserve">Master-data correction — [SKU]</x:t>
  </x:si>
  <x:si>
    <x:t xml:space="preserve">Hello [Name], the category, location, cost, or quantity for [SKU] is outside the approved rules. Please provide the correct value and supporting source.</x:t>
  </x:si>
  <x:si>
    <x:t xml:space="preserve">Correct value and source</x:t>
  </x:si>
  <x:si>
    <x:t xml:space="preserve">Replenishment review — [SKU]</x:t>
  </x:si>
  <x:si>
    <x:t xml:space="preserve">Hello [Name], the physical quantity for [SKU] is at or below its reorder point. Please confirm whether a replenishment task should be created.</x:t>
  </x:si>
  <x:si>
    <x:t xml:space="preserve">Written replenishment decision</x:t>
  </x:si>
  <x:si>
    <x:t xml:space="preserve">PROJ-005 | PROJECT NOTES</x:t>
  </x:si>
  <x:si>
    <x:t xml:space="preserve">Portfolio scope • source boundaries • recruiter-facing context</x:t>
  </x:si>
  <x:si>
    <x:t xml:space="preserve">Item</x:t>
  </x:si>
  <x:si>
    <x:t xml:space="preserve">Detail</x:t>
  </x:si>
  <x:si>
    <x:t xml:space="preserve">Project classification</x:t>
  </x:si>
  <x:si>
    <x:t xml:space="preserve">Independent portfolio project; fictional company and simulated inventory data</x:t>
  </x:si>
  <x:si>
    <x:t xml:space="preserve">Business purpose</x:t>
  </x:si>
  <x:si>
    <x:t xml:space="preserve">Audit system stock against physical counts and route exceptions for written resolution</x:t>
  </x:si>
  <x:si>
    <x:t xml:space="preserve">Source records</x:t>
  </x:si>
  <x:si>
    <x:t xml:space="preserve">60 count rows retained; no source row deleted</x:t>
  </x:si>
  <x:si>
    <x:t xml:space="preserve">Formula-driven work</x:t>
  </x:si>
  <x:si>
    <x:t xml:space="preserve">Communication model</x:t>
  </x:si>
  <x:si>
    <x:t xml:space="preserve">Email, chat, spreadsheet tasks and documented handoffs; no cold calling required</x:t>
  </x:si>
  <x:si>
    <x:t xml:space="preserve">Primary strengths</x:t>
  </x:si>
  <x:si>
    <x:t xml:space="preserve">Inventory data entry, reconciliation, quality control, exception tracking and document discipline</x:t>
  </x:si>
  <x:si>
    <x:t xml:space="preserve">Out of scope</x:t>
  </x:si>
  <x:si>
    <x:t xml:space="preserve">Live warehouse changes, procurement approval, financial posting, real company data</x:t>
  </x:si>
  <x:si>
    <x:t xml:space="preserve">Impact boundary</x:t>
  </x:si>
  <x:si>
    <x:t xml:space="preserve">No claims about savings, shrinkage reduction, time savings or business impact</x:t>
  </x:si>
  <x:si>
    <x:t xml:space="preserve">Currency note</x:t>
  </x:si>
  <x:si>
    <x:t xml:space="preserve">USD values are simulated portfolio data and not real transactions</x:t>
  </x:si>
</x:sst>
</file>

<file path=xl/styles.xml><?xml version="1.0" encoding="utf-8"?>
<x:styleSheet xmlns:x="http://schemas.openxmlformats.org/spreadsheetml/2006/main">
  <x:numFmts count="5">
    <x:numFmt numFmtId="164" formatCode="yyyy\-mm\-dd"/>
    <x:numFmt numFmtId="165" formatCode="&quot;$&quot;#,##0.00"/>
    <x:numFmt numFmtId="166" formatCode="&quot;$&quot;#,##0.00;[Red]\-&quot;$&quot;#,##0.00"/>
    <x:numFmt numFmtId="200" formatCode="&quot;$&quot;#,##0.00;[Red]-&quot;$&quot;#,##0.00"/>
    <x:numFmt numFmtId="201" formatCode="yyyy-mm-dd"/>
  </x:numFmts>
  <x:fonts count="16">
    <x:font>
      <x:sz val="11"/>
      <x:name val="Carlito"/>
    </x:font>
    <x:font>
      <x:b/>
      <x:sz val="11"/>
      <x:color rgb="FFFFFFFF"/>
      <x:name val="Carlito"/>
    </x:font>
    <x:font>
      <x:b/>
      <x:i/>
      <x:sz val="11"/>
      <x:color rgb="FF111111"/>
      <x:name val="Carlito"/>
    </x:font>
    <x:font>
      <x:sz val="11"/>
      <x:color rgb="FF111111"/>
      <x:name val="Carlito"/>
    </x:font>
    <x:font>
      <x:b/>
      <x:sz val="11"/>
      <x:color rgb="FF1C5E35"/>
      <x:name val="Carlito"/>
    </x:font>
    <x:font>
      <x:b/>
      <x:sz val="11"/>
      <x:color rgb="FF8A4B08"/>
      <x:name val="Carlito"/>
    </x:font>
    <x:font>
      <x:b/>
      <x:sz val="11"/>
      <x:color rgb="FF9C271C"/>
      <x:name val="Carlito"/>
    </x:font>
    <x:font>
      <x:b/>
      <x:sz val="11"/>
      <x:color rgb="FFC7FF00"/>
      <x:name val="Carlito"/>
    </x:font>
    <x:font>
      <x:b/>
      <x:sz val="11"/>
      <x:color rgb="FF17365D"/>
      <x:name val="Carlito"/>
    </x:font>
    <x:font>
      <x:b/>
      <x:sz val="11"/>
      <x:color rgb="FF111111"/>
      <x:name val="Carlito"/>
    </x:font>
    <x:font>
      <x:b/>
      <x:sz val="11"/>
      <x:color rgb="FF5F497A"/>
      <x:name val="Carlito"/>
    </x:font>
    <x:font>
      <x:sz val="11"/>
      <x:color rgb="FF0F6B78"/>
      <x:name val="Carlito"/>
    </x:font>
    <x:font>
      <x:b/>
      <x:sz val="11"/>
      <x:name val="Carlito"/>
    </x:font>
    <x:font>
      <x:sz val="11"/>
      <x:color rgb="FF17365D"/>
      <x:name val="Carlito"/>
    </x:font>
    <x:font>
      <x:sz val="11"/>
      <x:color rgb="FF5F497A"/>
      <x:name val="Carlito"/>
    </x:font>
    <x:font>
      <x:sz val="11"/>
      <x:color rgb="FF1C5E35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D9EAD3"/>
      </x:patternFill>
    </x:fill>
    <x:fill>
      <x:patternFill patternType="solid">
        <x:fgColor rgb="FFFFE4B8"/>
      </x:patternFill>
    </x:fill>
    <x:fill>
      <x:patternFill patternType="solid">
        <x:fgColor rgb="FFF7C7C7"/>
      </x:patternFill>
    </x:fill>
    <x:fill>
      <x:patternFill patternType="solid">
        <x:fgColor rgb="FF2B2B2B"/>
      </x:patternFill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DEBF1"/>
      </x:patternFill>
    </x:fill>
    <x:fill>
      <x:patternFill patternType="solid">
        <x:fgColor rgb="FFF7C7C7"/>
      </x:patternFill>
    </x:fill>
    <x:fill>
      <x:patternFill patternType="solid">
        <x:fgColor rgb="FFFFE4B8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8A4B08"/>
      </x:patternFill>
    </x:fill>
    <x:fill>
      <x:patternFill patternType="solid">
        <x:fgColor rgb="FFF2F4F3"/>
      </x:patternFill>
    </x:fill>
    <x:fill>
      <x:patternFill patternType="solid">
        <x:fgColor rgb="FFA9D18E"/>
      </x:patternFill>
    </x:fill>
    <x:fill>
      <x:patternFill patternType="solid">
        <x:fgColor rgb="FFFFD966"/>
      </x:patternFill>
    </x:fill>
    <x:fill>
      <x:patternFill patternType="solid">
        <x:fgColor rgb="FFE6B8AF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DDEBF1"/>
      </x:patternFill>
    </x:fill>
    <x:fill>
      <x:patternFill patternType="solid">
        <x:fgColor rgb="FFFFF2CC"/>
      </x:patternFill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DDEBF1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53">
    <x:border/>
    <x:border>
      <x:left style="thin">
        <x:color rgb="FF4A4A4A"/>
      </x:left>
      <x:right style="thin">
        <x:color rgb="FF4A4A4A"/>
      </x:right>
      <x:top style="thin">
        <x:color rgb="FF4A4A4A"/>
      </x:top>
      <x:bottom style="thin">
        <x:color rgb="FF4A4A4A"/>
      </x:bottom>
    </x:border>
    <x:border>
      <x:bottom style="thin">
        <x:color rgb="FFD8DDDA"/>
      </x:bottom>
    </x:border>
    <x:border>
      <x:top style="thin">
        <x:color rgb="FFD8DDDA"/>
      </x:top>
      <x:bottom style="thin">
        <x:color rgb="FFD8DDDA"/>
      </x:bottom>
    </x:border>
    <x:border>
      <x:top style="thin">
        <x:color rgb="FFD8DDDA"/>
      </x:top>
    </x:border>
    <x:border>
      <x:left style="medium">
        <x:color rgb="FFFFFFFF"/>
      </x:left>
      <x:top style="medium">
        <x:color rgb="FFFFFFFF"/>
      </x:top>
    </x:border>
    <x:border>
      <x:right style="medium">
        <x:color rgb="FFFFFFFF"/>
      </x:right>
      <x:top style="medium">
        <x:color rgb="FFFFFFFF"/>
      </x:top>
    </x:border>
    <x:border>
      <x:left style="medium">
        <x:color rgb="FFFFFFFF"/>
      </x:left>
    </x:border>
    <x:border>
      <x:right style="medium">
        <x:color rgb="FFFFFFFF"/>
      </x:right>
    </x:border>
    <x:border>
      <x:left style="medium">
        <x:color rgb="FFFFFFFF"/>
      </x:left>
      <x:bottom style="medium">
        <x:color rgb="FFFFFFFF"/>
      </x:bottom>
    </x:border>
    <x:border>
      <x:right style="medium">
        <x:color rgb="FFFFFFFF"/>
      </x:right>
      <x:bottom style="medium">
        <x:color rgb="FFFFFFFF"/>
      </x:bottom>
    </x:border>
    <x:border>
      <x:left style="medium">
        <x:color rgb="FF1C5E35"/>
      </x:left>
      <x:top style="medium">
        <x:color rgb="FF1C5E35"/>
      </x:top>
    </x:border>
    <x:border>
      <x:right style="medium">
        <x:color rgb="FF1C5E35"/>
      </x:right>
      <x:top style="medium">
        <x:color rgb="FF1C5E35"/>
      </x:top>
    </x:border>
    <x:border>
      <x:left style="medium">
        <x:color rgb="FF1C5E35"/>
      </x:left>
    </x:border>
    <x:border>
      <x:right style="medium">
        <x:color rgb="FF1C5E35"/>
      </x:right>
    </x:border>
    <x:border>
      <x:left style="medium">
        <x:color rgb="FF1C5E35"/>
      </x:left>
      <x:bottom style="medium">
        <x:color rgb="FF1C5E35"/>
      </x:bottom>
    </x:border>
    <x:border>
      <x:right style="medium">
        <x:color rgb="FF1C5E35"/>
      </x:right>
      <x:bottom style="medium">
        <x:color rgb="FF1C5E35"/>
      </x:bottom>
    </x:border>
    <x:border>
      <x:left style="medium">
        <x:color rgb="FF8A4B08"/>
      </x:left>
      <x:top style="medium">
        <x:color rgb="FF8A4B08"/>
      </x:top>
    </x:border>
    <x:border>
      <x:right style="medium">
        <x:color rgb="FF8A4B08"/>
      </x:right>
      <x:top style="medium">
        <x:color rgb="FF8A4B08"/>
      </x:top>
    </x:border>
    <x:border>
      <x:left style="medium">
        <x:color rgb="FF8A4B08"/>
      </x:left>
    </x:border>
    <x:border>
      <x:right style="medium">
        <x:color rgb="FF8A4B08"/>
      </x:right>
    </x:border>
    <x:border>
      <x:left style="medium">
        <x:color rgb="FF8A4B08"/>
      </x:left>
      <x:bottom style="medium">
        <x:color rgb="FF8A4B08"/>
      </x:bottom>
    </x:border>
    <x:border>
      <x:right style="medium">
        <x:color rgb="FF8A4B08"/>
      </x:right>
      <x:bottom style="medium">
        <x:color rgb="FF8A4B08"/>
      </x:bottom>
    </x:border>
    <x:border>
      <x:left style="medium">
        <x:color rgb="FF9C271C"/>
      </x:left>
      <x:top style="medium">
        <x:color rgb="FF9C271C"/>
      </x:top>
    </x:border>
    <x:border>
      <x:right style="medium">
        <x:color rgb="FF9C271C"/>
      </x:right>
      <x:top style="medium">
        <x:color rgb="FF9C271C"/>
      </x:top>
    </x:border>
    <x:border>
      <x:left style="medium">
        <x:color rgb="FF9C271C"/>
      </x:left>
    </x:border>
    <x:border>
      <x:right style="medium">
        <x:color rgb="FF9C271C"/>
      </x:right>
    </x:border>
    <x:border>
      <x:left style="medium">
        <x:color rgb="FF9C271C"/>
      </x:left>
      <x:bottom style="medium">
        <x:color rgb="FF9C271C"/>
      </x:bottom>
    </x:border>
    <x:border>
      <x:right style="medium">
        <x:color rgb="FF9C271C"/>
      </x:right>
      <x:bottom style="medium">
        <x:color rgb="FF9C271C"/>
      </x:bottom>
    </x:border>
    <x:border>
      <x:left style="medium">
        <x:color rgb="FFC7FF00"/>
      </x:left>
      <x:top style="medium">
        <x:color rgb="FFC7FF00"/>
      </x:top>
    </x:border>
    <x:border>
      <x:top style="medium">
        <x:color rgb="FFC7FF00"/>
      </x:top>
    </x:border>
    <x:border>
      <x:right style="medium">
        <x:color rgb="FFC7FF00"/>
      </x:right>
      <x:top style="medium">
        <x:color rgb="FFC7FF00"/>
      </x:top>
    </x:border>
    <x:border>
      <x:left style="medium">
        <x:color rgb="FFC7FF00"/>
      </x:left>
    </x:border>
    <x:border>
      <x:right style="medium">
        <x:color rgb="FFC7FF00"/>
      </x:right>
    </x:border>
    <x:border>
      <x:left style="medium">
        <x:color rgb="FFC7FF00"/>
      </x:left>
      <x:bottom style="medium">
        <x:color rgb="FFC7FF00"/>
      </x:bottom>
    </x:border>
    <x:border>
      <x:bottom style="medium">
        <x:color rgb="FFC7FF00"/>
      </x:bottom>
    </x:border>
    <x:border>
      <x:right style="medium">
        <x:color rgb="FFC7FF00"/>
      </x:right>
      <x:bottom style="medium">
        <x:color rgb="FFC7FF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bottom style="thin">
        <x:color rgb="FFCCD3D0"/>
      </x:bottom>
    </x:border>
    <x:border>
      <x:top style="thin">
        <x:color rgb="FFCCD3D0"/>
      </x:top>
      <x:bottom style="thin">
        <x:color rgb="FFCCD3D0"/>
      </x:bottom>
    </x:border>
    <x:border>
      <x:top style="thin">
        <x:color rgb="FFCCD3D0"/>
      </x:top>
      <x:bottom style="thin">
        <x:color rgb="FFD8DDDA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CCD3D0"/>
      </x:bottom>
    </x:border>
    <x:border>
      <x:left style="thin">
        <x:color indexed="64"/>
      </x:left>
      <x:right style="thin">
        <x:color indexed="64"/>
      </x:right>
      <x:top style="thin">
        <x:color rgb="FFCCD3D0"/>
      </x:top>
      <x:bottom style="thin">
        <x:color rgb="FFCCD3D0"/>
      </x:bottom>
    </x:border>
    <x:border>
      <x:left style="thin">
        <x:color indexed="64"/>
      </x:left>
      <x:right style="thin">
        <x:color indexed="64"/>
      </x:right>
      <x:top style="thin">
        <x:color rgb="FFCCD3D0"/>
      </x:top>
      <x:bottom style="thin">
        <x:color indexed="64"/>
      </x:bottom>
    </x:border>
    <x:border>
      <x:top style="thin">
        <x:color rgb="FFCCD3D0"/>
      </x:top>
    </x:border>
  </x:borders>
  <x:cellStyleXfs count="1">
    <x:xf numFmtId="0" fontId="0" fillId="0" borderId="0"/>
  </x:cellStyleXfs>
  <x:cellXfs count="428">
    <x:xf numFmtId="0" fontId="0" fillId="0" borderId="0" xfId="0"/>
    <x:xf numFmtId="0" fontId="1" fillId="2" borderId="1" xfId="0" applyFont="1" applyFill="1" applyBorder="1" applyAlignment="1">
      <x:alignment vertical="center" wrapText="1"/>
    </x:xf>
    <x:xf numFmtId="0" fontId="3" fillId="0" borderId="2" xfId="0" applyFont="1" applyBorder="1" applyAlignment="1">
      <x:alignment vertical="center"/>
    </x:xf>
    <x:xf numFmtId="0" fontId="3" fillId="0" borderId="3" xfId="0" applyFont="1" applyBorder="1" applyAlignment="1">
      <x:alignment vertical="center"/>
    </x:xf>
    <x:xf numFmtId="0" fontId="3" fillId="0" borderId="4" xfId="0" applyFont="1" applyBorder="1" applyAlignment="1">
      <x:alignment vertical="center"/>
    </x:xf>
    <x:xf numFmtId="164" fontId="3" fillId="0" borderId="2" xfId="0" applyNumberFormat="1" applyFont="1" applyBorder="1" applyAlignment="1">
      <x:alignment vertical="center"/>
    </x:xf>
    <x:xf numFmtId="164" fontId="3" fillId="0" borderId="3" xfId="0" applyNumberFormat="1" applyFont="1" applyBorder="1" applyAlignment="1">
      <x:alignment vertical="center"/>
    </x:xf>
    <x:xf numFmtId="164" fontId="3" fillId="0" borderId="4" xfId="0" applyNumberFormat="1" applyFont="1" applyBorder="1" applyAlignment="1">
      <x:alignment vertical="center"/>
    </x:xf>
    <x:xf numFmtId="165" fontId="3" fillId="0" borderId="2" xfId="0" applyNumberFormat="1" applyFont="1" applyBorder="1" applyAlignment="1">
      <x:alignment vertical="center"/>
    </x:xf>
    <x:xf numFmtId="165" fontId="3" fillId="0" borderId="3" xfId="0" applyNumberFormat="1" applyFont="1" applyBorder="1" applyAlignment="1">
      <x:alignment vertical="center"/>
    </x:xf>
    <x:xf numFmtId="165" fontId="3" fillId="0" borderId="4" xfId="0" applyNumberFormat="1" applyFont="1" applyBorder="1" applyAlignment="1">
      <x:alignment vertical="center"/>
    </x:xf>
    <x:xf numFmtId="3" fontId="3" fillId="0" borderId="2" xfId="0" applyNumberFormat="1" applyFont="1" applyBorder="1" applyAlignment="1">
      <x:alignment vertical="center"/>
    </x:xf>
    <x:xf numFmtId="3" fontId="3" fillId="0" borderId="3" xfId="0" applyNumberFormat="1" applyFont="1" applyBorder="1" applyAlignment="1">
      <x:alignment vertical="center"/>
    </x:xf>
    <x:xf numFmtId="3" fontId="3" fillId="0" borderId="4" xfId="0" applyNumberFormat="1" applyFont="1" applyBorder="1" applyAlignment="1">
      <x:alignment vertical="center"/>
    </x:xf>
    <x:xf numFmtId="166" fontId="3" fillId="0" borderId="2" xfId="0" applyNumberFormat="1" applyFont="1" applyBorder="1" applyAlignment="1">
      <x:alignment vertical="center"/>
    </x:xf>
    <x:xf numFmtId="166" fontId="3" fillId="0" borderId="3" xfId="0" applyNumberFormat="1" applyFont="1" applyBorder="1" applyAlignment="1">
      <x:alignment vertical="center"/>
    </x:xf>
    <x:xf numFmtId="166" fontId="3" fillId="0" borderId="4" xfId="0" applyNumberFormat="1" applyFont="1" applyBorder="1" applyAlignment="1">
      <x:alignment vertical="center"/>
    </x:xf>
    <x:xf numFmtId="0" fontId="3" fillId="0" borderId="2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7" fillId="2" borderId="2" xfId="0" applyFont="1" applyFill="1" applyBorder="1" applyAlignment="1">
      <x:alignment horizontal="center" vertical="center"/>
    </x:xf>
    <x:xf numFmtId="0" fontId="7" fillId="2" borderId="3" xfId="0" applyFont="1" applyFill="1" applyBorder="1" applyAlignment="1">
      <x:alignment horizontal="center" vertical="center"/>
    </x:xf>
    <x:xf numFmtId="0" fontId="7" fillId="2" borderId="4" xfId="0" applyFont="1" applyFill="1" applyBorder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1" fillId="2" borderId="5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2" borderId="9" xfId="0" applyFont="1" applyFill="1" applyBorder="1" applyAlignment="1">
      <x:alignment horizontal="center" vertical="center" wrapText="1"/>
    </x:xf>
    <x:xf numFmtId="0" fontId="1" fillId="2" borderId="10" xfId="0" applyFont="1" applyFill="1" applyBorder="1" applyAlignment="1">
      <x:alignment horizontal="center" vertical="center" wrapText="1"/>
    </x:xf>
    <x:xf numFmtId="0" fontId="4" fillId="4" borderId="11" xfId="0" applyFont="1" applyFill="1" applyBorder="1" applyAlignment="1">
      <x:alignment horizontal="center" vertical="center" wrapText="1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4" fillId="4" borderId="14" xfId="0" applyFont="1" applyFill="1" applyBorder="1" applyAlignment="1">
      <x:alignment horizontal="center" vertical="center" wrapText="1"/>
    </x:xf>
    <x:xf numFmtId="0" fontId="4" fillId="4" borderId="15" xfId="0" applyFont="1" applyFill="1" applyBorder="1" applyAlignment="1">
      <x:alignment horizontal="center" vertical="center" wrapText="1"/>
    </x:xf>
    <x:xf numFmtId="0" fontId="4" fillId="4" borderId="16" xfId="0" applyFont="1" applyFill="1" applyBorder="1" applyAlignment="1">
      <x:alignment horizontal="center" vertical="center" wrapText="1"/>
    </x:xf>
    <x:xf numFmtId="0" fontId="5" fillId="5" borderId="17" xfId="0" applyFont="1" applyFill="1" applyBorder="1" applyAlignment="1">
      <x:alignment horizontal="center" vertical="center" wrapText="1"/>
    </x:xf>
    <x:xf numFmtId="0" fontId="5" fillId="5" borderId="18" xfId="0" applyFont="1" applyFill="1" applyBorder="1" applyAlignment="1">
      <x:alignment horizontal="center" vertical="center" wrapText="1"/>
    </x:xf>
    <x:xf numFmtId="0" fontId="5" fillId="5" borderId="19" xfId="0" applyFont="1" applyFill="1" applyBorder="1" applyAlignment="1">
      <x:alignment horizontal="center" vertical="center" wrapText="1"/>
    </x:xf>
    <x:xf numFmtId="0" fontId="5" fillId="5" borderId="20" xfId="0" applyFont="1" applyFill="1" applyBorder="1" applyAlignment="1">
      <x:alignment horizontal="center" vertical="center" wrapText="1"/>
    </x:xf>
    <x:xf numFmtId="0" fontId="5" fillId="5" borderId="21" xfId="0" applyFont="1" applyFill="1" applyBorder="1" applyAlignment="1">
      <x:alignment horizontal="center" vertical="center" wrapText="1"/>
    </x:xf>
    <x:xf numFmtId="0" fontId="5" fillId="5" borderId="22" xfId="0" applyFont="1" applyFill="1" applyBorder="1" applyAlignment="1">
      <x:alignment horizontal="center" vertical="center" wrapText="1"/>
    </x:xf>
    <x:xf numFmtId="0" fontId="6" fillId="6" borderId="23" xfId="0" applyFont="1" applyFill="1" applyBorder="1" applyAlignment="1">
      <x:alignment horizontal="center" vertical="center" wrapText="1"/>
    </x:xf>
    <x:xf numFmtId="0" fontId="6" fillId="6" borderId="24" xfId="0" applyFont="1" applyFill="1" applyBorder="1" applyAlignment="1">
      <x:alignment horizontal="center" vertical="center" wrapText="1"/>
    </x:xf>
    <x:xf numFmtId="0" fontId="6" fillId="6" borderId="25" xfId="0" applyFont="1" applyFill="1" applyBorder="1" applyAlignment="1">
      <x:alignment horizontal="center" vertical="center" wrapText="1"/>
    </x:xf>
    <x:xf numFmtId="0" fontId="6" fillId="6" borderId="26" xfId="0" applyFont="1" applyFill="1" applyBorder="1" applyAlignment="1">
      <x:alignment horizontal="center" vertical="center" wrapText="1"/>
    </x:xf>
    <x:xf numFmtId="0" fontId="6" fillId="6" borderId="27" xfId="0" applyFont="1" applyFill="1" applyBorder="1" applyAlignment="1">
      <x:alignment horizontal="center" vertical="center" wrapText="1"/>
    </x:xf>
    <x:xf numFmtId="0" fontId="6" fillId="6" borderId="28" xfId="0" applyFont="1" applyFill="1" applyBorder="1" applyAlignment="1">
      <x:alignment horizontal="center" vertical="center" wrapText="1"/>
    </x:xf>
    <x:xf numFmtId="0" fontId="7" fillId="7" borderId="29" xfId="0" applyFont="1" applyFill="1" applyBorder="1" applyAlignment="1">
      <x:alignment horizontal="center" vertical="center" wrapText="1"/>
    </x:xf>
    <x:xf numFmtId="0" fontId="7" fillId="7" borderId="30" xfId="0" applyFont="1" applyFill="1" applyBorder="1" applyAlignment="1">
      <x:alignment horizontal="center" vertical="center" wrapText="1"/>
    </x:xf>
    <x:xf numFmtId="0" fontId="7" fillId="7" borderId="31" xfId="0" applyFont="1" applyFill="1" applyBorder="1" applyAlignment="1">
      <x:alignment horizontal="center" vertical="center" wrapText="1"/>
    </x:xf>
    <x:xf numFmtId="0" fontId="7" fillId="7" borderId="32" xfId="0" applyFont="1" applyFill="1" applyBorder="1" applyAlignment="1">
      <x:alignment horizontal="center" vertical="center" wrapText="1"/>
    </x:xf>
    <x:xf numFmtId="0" fontId="7" fillId="7" borderId="0" xfId="0" applyFont="1" applyFill="1" applyAlignment="1">
      <x:alignment horizontal="center" vertical="center" wrapText="1"/>
    </x:xf>
    <x:xf numFmtId="0" fontId="7" fillId="7" borderId="33" xfId="0" applyFont="1" applyFill="1" applyBorder="1" applyAlignment="1">
      <x:alignment horizontal="center" vertical="center" wrapText="1"/>
    </x:xf>
    <x:xf numFmtId="0" fontId="7" fillId="7" borderId="34" xfId="0" applyFont="1" applyFill="1" applyBorder="1" applyAlignment="1">
      <x:alignment horizontal="center" vertical="center" wrapText="1"/>
    </x:xf>
    <x:xf numFmtId="0" fontId="7" fillId="7" borderId="35" xfId="0" applyFont="1" applyFill="1" applyBorder="1" applyAlignment="1">
      <x:alignment horizontal="center" vertical="center" wrapText="1"/>
    </x:xf>
    <x:xf numFmtId="0" fontId="7" fillId="7" borderId="36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vertical="center" wrapText="1"/>
    </x:xf>
    <x:xf numFmtId="0" fontId="7" fillId="7" borderId="29" xfId="0" applyFont="1" applyFill="1" applyBorder="1" applyAlignment="1">
      <x:alignment vertical="center" wrapText="1"/>
    </x:xf>
    <x:xf numFmtId="0" fontId="7" fillId="7" borderId="30" xfId="0" applyFont="1" applyFill="1" applyBorder="1" applyAlignment="1">
      <x:alignment vertical="center" wrapText="1"/>
    </x:xf>
    <x:xf numFmtId="0" fontId="7" fillId="7" borderId="31" xfId="0" applyFont="1" applyFill="1" applyBorder="1" applyAlignment="1">
      <x:alignment vertical="center" wrapText="1"/>
    </x:xf>
    <x:xf numFmtId="0" fontId="7" fillId="7" borderId="32" xfId="0" applyFont="1" applyFill="1" applyBorder="1" applyAlignment="1">
      <x:alignment vertical="center" wrapText="1"/>
    </x:xf>
    <x:xf numFmtId="0" fontId="7" fillId="7" borderId="0" xfId="0" applyFont="1" applyFill="1" applyAlignment="1">
      <x:alignment vertical="center" wrapText="1"/>
    </x:xf>
    <x:xf numFmtId="0" fontId="7" fillId="7" borderId="33" xfId="0" applyFont="1" applyFill="1" applyBorder="1" applyAlignment="1">
      <x:alignment vertical="center" wrapText="1"/>
    </x:xf>
    <x:xf numFmtId="0" fontId="7" fillId="7" borderId="34" xfId="0" applyFont="1" applyFill="1" applyBorder="1" applyAlignment="1">
      <x:alignment vertical="center" wrapText="1"/>
    </x:xf>
    <x:xf numFmtId="0" fontId="7" fillId="7" borderId="35" xfId="0" applyFont="1" applyFill="1" applyBorder="1" applyAlignment="1">
      <x:alignment vertical="center" wrapText="1"/>
    </x:xf>
    <x:xf numFmtId="0" fontId="7" fillId="7" borderId="36" xfId="0" applyFont="1" applyFill="1" applyBorder="1" applyAlignment="1">
      <x:alignment vertical="center" wrapText="1"/>
    </x:xf>
    <x:xf numFmtId="0" fontId="1" fillId="2" borderId="37" xfId="0" applyFont="1" applyFill="1" applyBorder="1" applyAlignment="1">
      <x:alignment vertical="center" wrapText="1"/>
    </x:xf>
    <x:xf numFmtId="0" fontId="3" fillId="0" borderId="37" xfId="0" applyFont="1" applyBorder="1" applyAlignment="1">
      <x:alignment vertical="center"/>
    </x:xf>
    <x:xf numFmtId="0" fontId="0" fillId="0" borderId="0" xfId="0" applyAlignment="1">
      <x:alignment horizontal="center"/>
    </x:xf>
    <x:xf numFmtId="0" fontId="1" fillId="2" borderId="37" xfId="0" applyFont="1" applyFill="1" applyBorder="1" applyAlignment="1">
      <x:alignment horizontal="center" vertical="center" wrapText="1"/>
    </x:xf>
    <x:xf numFmtId="0" fontId="3" fillId="0" borderId="37" xfId="0" applyFon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1" fillId="2" borderId="38" xfId="0" applyFont="1" applyFill="1" applyBorder="1" applyAlignment="1">
      <x:alignment horizontal="center" vertical="center"/>
    </x:xf>
    <x:xf numFmtId="0" fontId="1" fillId="2" borderId="39" xfId="0" applyFont="1" applyFill="1" applyBorder="1" applyAlignment="1">
      <x:alignment horizontal="center" vertical="center"/>
    </x:xf>
    <x:xf numFmtId="0" fontId="1" fillId="2" borderId="40" xfId="0" applyFont="1" applyFill="1" applyBorder="1" applyAlignment="1">
      <x:alignment horizontal="center" vertical="center"/>
    </x:xf>
    <x:xf numFmtId="0" fontId="2" fillId="3" borderId="41" xfId="0" applyFont="1" applyFill="1" applyBorder="1" applyAlignment="1">
      <x:alignment horizontal="center" vertical="center"/>
    </x:xf>
    <x:xf numFmtId="0" fontId="2" fillId="3" borderId="42" xfId="0" applyFont="1" applyFill="1" applyBorder="1" applyAlignment="1">
      <x:alignment horizontal="center" vertical="center"/>
    </x:xf>
    <x:xf numFmtId="0" fontId="2" fillId="3" borderId="43" xfId="0" applyFont="1" applyFill="1" applyBorder="1" applyAlignment="1">
      <x:alignment horizontal="center" vertical="center"/>
    </x:xf>
    <x:xf numFmtId="0" fontId="0" fillId="0" borderId="44" xfId="0" applyBorder="1"/>
    <x:xf numFmtId="0" fontId="0" fillId="0" borderId="0" xfId="0" applyBorder="1"/>
    <x:xf numFmtId="0" fontId="0" fillId="0" borderId="0" xfId="0" applyBorder="1" applyAlignment="1">
      <x:alignment horizontal="center"/>
    </x:xf>
    <x:xf numFmtId="0" fontId="0" fillId="0" borderId="45" xfId="0" applyBorder="1" applyAlignment="1">
      <x:alignment horizontal="center"/>
    </x:xf>
    <x:xf numFmtId="3" fontId="3" fillId="0" borderId="2" xfId="0" applyNumberFormat="1" applyFont="1" applyBorder="1" applyAlignment="1">
      <x:alignment horizontal="center" vertical="center"/>
    </x:xf>
    <x:xf numFmtId="3" fontId="3" fillId="0" borderId="3" xfId="0" applyNumberFormat="1" applyFont="1" applyBorder="1" applyAlignment="1">
      <x:alignment horizontal="center" vertical="center"/>
    </x:xf>
    <x:xf numFmtId="3" fontId="3" fillId="0" borderId="4" xfId="0" applyNumberFormat="1" applyFont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164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165" fontId="3" fillId="0" borderId="2" xfId="0" applyNumberFormat="1" applyFont="1" applyFill="1" applyBorder="1" applyAlignment="1">
      <x:alignment vertical="center"/>
    </x:xf>
    <x:xf numFmtId="3" fontId="3" fillId="0" borderId="2" xfId="0" applyNumberFormat="1" applyFont="1" applyFill="1" applyBorder="1" applyAlignment="1">
      <x:alignment vertical="center"/>
    </x:xf>
    <x:xf numFmtId="164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165" fontId="3" fillId="0" borderId="3" xfId="0" applyNumberFormat="1" applyFont="1" applyFill="1" applyBorder="1" applyAlignment="1">
      <x:alignment vertical="center"/>
    </x:xf>
    <x:xf numFmtId="3" fontId="3" fillId="0" borderId="3" xfId="0" applyNumberFormat="1" applyFont="1" applyFill="1" applyBorder="1" applyAlignment="1">
      <x:alignment vertical="center"/>
    </x:xf>
    <x:xf numFmtId="164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165" fontId="3" fillId="0" borderId="4" xfId="0" applyNumberFormat="1" applyFont="1" applyFill="1" applyBorder="1" applyAlignment="1">
      <x:alignment vertical="center"/>
    </x:xf>
    <x:xf numFmtId="3" fontId="3" fillId="0" borderId="4" xfId="0" applyNumberFormat="1" applyFont="1" applyFill="1" applyBorder="1" applyAlignment="1">
      <x:alignment vertical="center"/>
    </x:xf>
    <x:xf numFmtId="164" fontId="3" fillId="0" borderId="46" xfId="0" applyNumberFormat="1" applyFont="1" applyFill="1" applyBorder="1" applyAlignment="1">
      <x:alignment vertical="center"/>
    </x:xf>
    <x:xf numFmtId="0" fontId="3" fillId="0" borderId="46" xfId="0" applyNumberFormat="1" applyFont="1" applyFill="1" applyBorder="1" applyAlignment="1">
      <x:alignment vertical="center"/>
    </x:xf>
    <x:xf numFmtId="165" fontId="3" fillId="0" borderId="46" xfId="0" applyNumberFormat="1" applyFont="1" applyFill="1" applyBorder="1" applyAlignment="1">
      <x:alignment vertical="center"/>
    </x:xf>
    <x:xf numFmtId="3" fontId="3" fillId="0" borderId="46" xfId="0" applyNumberFormat="1" applyFont="1" applyFill="1" applyBorder="1" applyAlignment="1">
      <x:alignment vertical="center"/>
    </x:xf>
    <x:xf numFmtId="164" fontId="3" fillId="0" borderId="47" xfId="0" applyNumberFormat="1" applyFont="1" applyFill="1" applyBorder="1" applyAlignment="1">
      <x:alignment vertical="center"/>
    </x:xf>
    <x:xf numFmtId="0" fontId="3" fillId="0" borderId="47" xfId="0" applyNumberFormat="1" applyFont="1" applyFill="1" applyBorder="1" applyAlignment="1">
      <x:alignment vertical="center"/>
    </x:xf>
    <x:xf numFmtId="165" fontId="3" fillId="0" borderId="47" xfId="0" applyNumberFormat="1" applyFont="1" applyFill="1" applyBorder="1" applyAlignment="1">
      <x:alignment vertical="center"/>
    </x:xf>
    <x:xf numFmtId="3" fontId="3" fillId="0" borderId="47" xfId="0" applyNumberFormat="1" applyFont="1" applyFill="1" applyBorder="1" applyAlignment="1">
      <x:alignment vertical="center"/>
    </x:xf>
    <x:xf numFmtId="164" fontId="3" fillId="0" borderId="48" xfId="0" applyNumberFormat="1" applyFont="1" applyFill="1" applyBorder="1" applyAlignment="1">
      <x:alignment vertical="center"/>
    </x:xf>
    <x:xf numFmtId="0" fontId="3" fillId="0" borderId="48" xfId="0" applyNumberFormat="1" applyFont="1" applyFill="1" applyBorder="1" applyAlignment="1">
      <x:alignment vertical="center"/>
    </x:xf>
    <x:xf numFmtId="165" fontId="3" fillId="0" borderId="48" xfId="0" applyNumberFormat="1" applyFont="1" applyFill="1" applyBorder="1" applyAlignment="1">
      <x:alignment vertical="center"/>
    </x:xf>
    <x:xf numFmtId="3" fontId="3" fillId="0" borderId="48" xfId="0" applyNumberFormat="1" applyFont="1" applyFill="1" applyBorder="1" applyAlignment="1">
      <x:alignment vertical="center"/>
    </x:xf>
    <x:xf numFmtId="0" fontId="1" fillId="8" borderId="38" xfId="0" applyNumberFormat="1" applyFont="1" applyFill="1" applyBorder="1" applyAlignment="1">
      <x:alignment horizontal="center" vertical="center"/>
    </x:xf>
    <x:xf numFmtId="0" fontId="1" fillId="8" borderId="39" xfId="0" applyNumberFormat="1" applyFont="1" applyFill="1" applyBorder="1" applyAlignment="1">
      <x:alignment horizontal="center" vertical="center"/>
    </x:xf>
    <x:xf numFmtId="0" fontId="1" fillId="8" borderId="40" xfId="0" applyNumberFormat="1" applyFont="1" applyFill="1" applyBorder="1" applyAlignment="1">
      <x:alignment horizontal="center" vertical="center"/>
    </x:xf>
    <x:xf numFmtId="0" fontId="2" fillId="9" borderId="41" xfId="0" applyNumberFormat="1" applyFont="1" applyFill="1" applyBorder="1" applyAlignment="1">
      <x:alignment horizontal="center" vertical="center"/>
    </x:xf>
    <x:xf numFmtId="0" fontId="2" fillId="9" borderId="42" xfId="0" applyNumberFormat="1" applyFont="1" applyFill="1" applyBorder="1" applyAlignment="1">
      <x:alignment horizontal="center" vertical="center"/>
    </x:xf>
    <x:xf numFmtId="0" fontId="2" fillId="9" borderId="43" xfId="0" applyNumberFormat="1" applyFont="1" applyFill="1" applyBorder="1" applyAlignment="1">
      <x:alignment horizontal="center" vertical="center"/>
    </x:xf>
    <x:xf numFmtId="0" fontId="1" fillId="11" borderId="37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1" fillId="11" borderId="37" xfId="0" applyNumberFormat="1" applyFont="1" applyFill="1" applyBorder="1" applyAlignment="1">
      <x:alignment horizontal="center" vertical="center" wrapText="1"/>
    </x:xf>
    <x:xf numFmtId="0" fontId="3" fillId="12" borderId="37" xfId="0" applyNumberFormat="1" applyFont="1" applyFill="1" applyBorder="1" applyAlignment="1">
      <x:alignment vertical="center"/>
    </x:xf>
    <x:xf numFmtId="0" fontId="3" fillId="12" borderId="49" xfId="0" applyNumberFormat="1" applyFont="1" applyFill="1" applyBorder="1" applyAlignment="1">
      <x:alignment vertical="center"/>
    </x:xf>
    <x:xf numFmtId="0" fontId="3" fillId="12" borderId="50" xfId="0" applyNumberFormat="1" applyFont="1" applyFill="1" applyBorder="1" applyAlignment="1">
      <x:alignment vertical="center"/>
    </x:xf>
    <x:xf numFmtId="0" fontId="3" fillId="12" borderId="51" xfId="0" applyNumberFormat="1" applyFont="1" applyFill="1" applyBorder="1" applyAlignment="1">
      <x:alignment vertical="center"/>
    </x:xf>
    <x:xf numFmtId="0" fontId="3" fillId="12" borderId="37" xfId="0" applyNumberFormat="1" applyFont="1" applyFill="1" applyBorder="1" applyAlignment="1">
      <x:alignment horizontal="center" vertical="center"/>
    </x:xf>
    <x:xf numFmtId="0" fontId="3" fillId="12" borderId="49" xfId="0" applyNumberFormat="1" applyFont="1" applyFill="1" applyBorder="1" applyAlignment="1">
      <x:alignment horizontal="center" vertical="center"/>
    </x:xf>
    <x:xf numFmtId="0" fontId="3" fillId="12" borderId="50" xfId="0" applyNumberFormat="1" applyFont="1" applyFill="1" applyBorder="1" applyAlignment="1">
      <x:alignment horizontal="center" vertical="center"/>
    </x:xf>
    <x:xf numFmtId="0" fontId="3" fillId="12" borderId="51" xfId="0" applyNumberFormat="1" applyFont="1" applyFill="1" applyBorder="1" applyAlignment="1">
      <x:alignment horizontal="center" vertical="center"/>
    </x:xf>
    <x:xf numFmtId="0" fontId="3" fillId="13" borderId="50" xfId="0" applyNumberFormat="1" applyFont="1" applyFill="1" applyBorder="1" applyAlignment="1">
      <x:alignment vertical="center"/>
    </x:xf>
    <x:xf numFmtId="0" fontId="3" fillId="13" borderId="51" xfId="0" applyNumberFormat="1" applyFont="1" applyFill="1" applyBorder="1" applyAlignment="1">
      <x:alignment vertical="center"/>
    </x:xf>
    <x:xf numFmtId="0" fontId="6" fillId="13" borderId="50" xfId="0" applyNumberFormat="1" applyFont="1" applyFill="1" applyBorder="1" applyAlignment="1">
      <x:alignment vertical="center"/>
    </x:xf>
    <x:xf numFmtId="0" fontId="6" fillId="13" borderId="51" xfId="0" applyNumberFormat="1" applyFont="1" applyFill="1" applyBorder="1" applyAlignment="1">
      <x:alignment vertical="center"/>
    </x:xf>
    <x:xf numFmtId="0" fontId="3" fillId="13" borderId="51" xfId="0" applyNumberFormat="1" applyFont="1" applyFill="1" applyBorder="1" applyAlignment="1">
      <x:alignment horizontal="center" vertical="center"/>
    </x:xf>
    <x:xf numFmtId="0" fontId="6" fillId="13" borderId="51" xfId="0" applyNumberFormat="1" applyFont="1" applyFill="1" applyBorder="1" applyAlignment="1">
      <x:alignment horizontal="center" vertical="center"/>
    </x:xf>
    <x:xf numFmtId="0" fontId="1" fillId="10" borderId="37" xfId="0" applyNumberFormat="1" applyFont="1" applyFill="1" applyBorder="1" applyAlignment="1">
      <x:alignment vertical="center" wrapText="1"/>
    </x:xf>
    <x:xf numFmtId="0" fontId="1" fillId="10" borderId="37" xfId="0" applyNumberFormat="1" applyFont="1" applyFill="1" applyBorder="1" applyAlignment="1">
      <x:alignment horizontal="center" vertical="center" wrapText="1"/>
    </x:xf>
    <x:xf numFmtId="0" fontId="3" fillId="0" borderId="37" xfId="0" applyNumberFormat="1" applyFont="1" applyFill="1" applyBorder="1" applyAlignment="1">
      <x:alignment vertical="center"/>
    </x:xf>
    <x:xf numFmtId="0" fontId="3" fillId="0" borderId="37" xfId="0" applyNumberFormat="1" applyFont="1" applyFill="1" applyBorder="1" applyAlignment="1">
      <x:alignment horizontal="center" vertical="center"/>
    </x:xf>
    <x:xf numFmtId="0" fontId="3" fillId="0" borderId="49" xfId="0" applyNumberFormat="1" applyFont="1" applyFill="1" applyBorder="1" applyAlignment="1">
      <x:alignment vertical="center"/>
    </x:xf>
    <x:xf numFmtId="0" fontId="3" fillId="0" borderId="49" xfId="0" applyNumberFormat="1" applyFont="1" applyFill="1" applyBorder="1" applyAlignment="1">
      <x:alignment horizontal="center" vertical="center"/>
    </x:xf>
    <x:xf numFmtId="0" fontId="3" fillId="0" borderId="50" xfId="0" applyNumberFormat="1" applyFont="1" applyFill="1" applyBorder="1" applyAlignment="1">
      <x:alignment vertical="center"/>
    </x:xf>
    <x:xf numFmtId="0" fontId="3" fillId="0" borderId="50" xfId="0" applyNumberFormat="1" applyFont="1" applyFill="1" applyBorder="1" applyAlignment="1">
      <x:alignment horizontal="center" vertical="center"/>
    </x:xf>
    <x:xf numFmtId="0" fontId="3" fillId="0" borderId="51" xfId="0" applyNumberFormat="1" applyFont="1" applyFill="1" applyBorder="1" applyAlignment="1">
      <x:alignment vertical="center"/>
    </x:xf>
    <x:xf numFmtId="0" fontId="3" fillId="0" borderId="51" xfId="0" applyNumberFormat="1" applyFont="1" applyFill="1" applyBorder="1" applyAlignment="1">
      <x:alignment horizontal="center" vertical="center"/>
    </x:xf>
    <x:xf numFmtId="0" fontId="3" fillId="13" borderId="49" xfId="0" applyNumberFormat="1" applyFont="1" applyFill="1" applyBorder="1" applyAlignment="1">
      <x:alignment horizontal="center" vertical="center"/>
    </x:xf>
    <x:xf numFmtId="0" fontId="3" fillId="13" borderId="50" xfId="0" applyNumberFormat="1" applyFont="1" applyFill="1" applyBorder="1" applyAlignment="1">
      <x:alignment horizontal="center" vertical="center"/>
    </x:xf>
    <x:xf numFmtId="0" fontId="6" fillId="13" borderId="49" xfId="0" applyNumberFormat="1" applyFont="1" applyFill="1" applyBorder="1" applyAlignment="1">
      <x:alignment horizontal="center" vertical="center"/>
    </x:xf>
    <x:xf numFmtId="0" fontId="6" fillId="13" borderId="50" xfId="0" applyNumberFormat="1" applyFont="1" applyFill="1" applyBorder="1" applyAlignment="1">
      <x:alignment horizontal="center" vertical="center"/>
    </x:xf>
    <x:xf numFmtId="0" fontId="3" fillId="14" borderId="50" xfId="0" applyNumberFormat="1" applyFont="1" applyFill="1" applyBorder="1" applyAlignment="1">
      <x:alignment horizontal="center" vertical="center"/>
    </x:xf>
    <x:xf numFmtId="0" fontId="3" fillId="14" borderId="51" xfId="0" applyNumberFormat="1" applyFont="1" applyFill="1" applyBorder="1" applyAlignment="1">
      <x:alignment horizontal="center" vertical="center"/>
    </x:xf>
    <x:xf numFmtId="0" fontId="5" fillId="14" borderId="50" xfId="0" applyNumberFormat="1" applyFont="1" applyFill="1" applyBorder="1" applyAlignment="1">
      <x:alignment horizontal="center" vertical="center"/>
    </x:xf>
    <x:xf numFmtId="0" fontId="5" fillId="14" borderId="51" xfId="0" applyNumberFormat="1" applyFont="1" applyFill="1" applyBorder="1" applyAlignment="1">
      <x:alignment horizontal="center" vertical="center"/>
    </x:xf>
    <x:xf numFmtId="0" fontId="3" fillId="15" borderId="50" xfId="0" applyNumberFormat="1" applyFont="1" applyFill="1" applyBorder="1" applyAlignment="1">
      <x:alignment horizontal="center" vertical="center"/>
    </x:xf>
    <x:xf numFmtId="0" fontId="4" fillId="15" borderId="50" xfId="0" applyNumberFormat="1" applyFont="1" applyFill="1" applyBorder="1" applyAlignment="1">
      <x:alignment horizontal="center" vertical="center"/>
    </x:xf>
    <x:xf numFmtId="0" fontId="3" fillId="16" borderId="49" xfId="0" applyNumberFormat="1" applyFont="1" applyFill="1" applyBorder="1" applyAlignment="1">
      <x:alignment horizontal="center" vertical="center"/>
    </x:xf>
    <x:xf numFmtId="0" fontId="3" fillId="16" borderId="50" xfId="0" applyNumberFormat="1" applyFont="1" applyFill="1" applyBorder="1" applyAlignment="1">
      <x:alignment horizontal="center" vertical="center"/>
    </x:xf>
    <x:xf numFmtId="0" fontId="3" fillId="16" borderId="51" xfId="0" applyNumberFormat="1" applyFont="1" applyFill="1" applyBorder="1" applyAlignment="1">
      <x:alignment horizontal="center" vertical="center"/>
    </x:xf>
    <x:xf numFmtId="0" fontId="8" fillId="16" borderId="49" xfId="0" applyNumberFormat="1" applyFont="1" applyFill="1" applyBorder="1" applyAlignment="1">
      <x:alignment horizontal="center" vertical="center"/>
    </x:xf>
    <x:xf numFmtId="0" fontId="8" fillId="16" borderId="50" xfId="0" applyNumberFormat="1" applyFont="1" applyFill="1" applyBorder="1" applyAlignment="1">
      <x:alignment horizontal="center" vertical="center"/>
    </x:xf>
    <x:xf numFmtId="0" fontId="8" fillId="16" borderId="51" xfId="0" applyNumberFormat="1" applyFont="1" applyFill="1" applyBorder="1" applyAlignment="1">
      <x:alignment horizontal="center" vertical="center"/>
    </x:xf>
    <x:xf numFmtId="0" fontId="1" fillId="1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/>
    </x:xf>
    <x:xf numFmtId="3" fontId="3" fillId="0" borderId="2" xfId="0" applyNumberFormat="1" applyFont="1" applyFill="1" applyBorder="1" applyAlignment="1">
      <x:alignment horizontal="center" vertical="center"/>
    </x:xf>
    <x:xf numFmtId="166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center" vertical="center"/>
    </x:xf>
    <x:xf numFmtId="3" fontId="3" fillId="0" borderId="3" xfId="0" applyNumberFormat="1" applyFont="1" applyFill="1" applyBorder="1" applyAlignment="1">
      <x:alignment horizontal="center" vertical="center"/>
    </x:xf>
    <x:xf numFmtId="166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3" fontId="3" fillId="0" borderId="4" xfId="0" applyNumberFormat="1" applyFont="1" applyFill="1" applyBorder="1" applyAlignment="1">
      <x:alignment horizontal="center" vertical="center"/>
    </x:xf>
    <x:xf numFmtId="166" fontId="3" fillId="0" borderId="4" xfId="0" applyNumberFormat="1" applyFont="1" applyFill="1" applyBorder="1" applyAlignment="1">
      <x:alignment vertical="center"/>
    </x:xf>
    <x:xf numFmtId="0" fontId="3" fillId="0" borderId="46" xfId="0" applyNumberFormat="1" applyFont="1" applyFill="1" applyBorder="1" applyAlignment="1">
      <x:alignment horizontal="center" vertical="center"/>
    </x:xf>
    <x:xf numFmtId="3" fontId="3" fillId="0" borderId="46" xfId="0" applyNumberFormat="1" applyFont="1" applyFill="1" applyBorder="1" applyAlignment="1">
      <x:alignment horizontal="center" vertical="center"/>
    </x:xf>
    <x:xf numFmtId="166" fontId="3" fillId="0" borderId="46" xfId="0" applyNumberFormat="1" applyFont="1" applyFill="1" applyBorder="1" applyAlignment="1">
      <x:alignment vertical="center"/>
    </x:xf>
    <x:xf numFmtId="0" fontId="3" fillId="0" borderId="47" xfId="0" applyNumberFormat="1" applyFont="1" applyFill="1" applyBorder="1" applyAlignment="1">
      <x:alignment horizontal="center" vertical="center"/>
    </x:xf>
    <x:xf numFmtId="3" fontId="3" fillId="0" borderId="47" xfId="0" applyNumberFormat="1" applyFont="1" applyFill="1" applyBorder="1" applyAlignment="1">
      <x:alignment horizontal="center" vertical="center"/>
    </x:xf>
    <x:xf numFmtId="166" fontId="3" fillId="0" borderId="47" xfId="0" applyNumberFormat="1" applyFont="1" applyFill="1" applyBorder="1" applyAlignment="1">
      <x:alignment vertical="center"/>
    </x:xf>
    <x:xf numFmtId="0" fontId="3" fillId="0" borderId="48" xfId="0" applyNumberFormat="1" applyFont="1" applyFill="1" applyBorder="1" applyAlignment="1">
      <x:alignment horizontal="center" vertical="center"/>
    </x:xf>
    <x:xf numFmtId="3" fontId="3" fillId="0" borderId="48" xfId="0" applyNumberFormat="1" applyFont="1" applyFill="1" applyBorder="1" applyAlignment="1">
      <x:alignment horizontal="center" vertical="center"/>
    </x:xf>
    <x:xf numFmtId="166" fontId="3" fillId="0" borderId="48" xfId="0" applyNumberFormat="1" applyFont="1" applyFill="1" applyBorder="1" applyAlignment="1">
      <x:alignment vertical="center"/>
    </x:xf>
    <x:xf numFmtId="0" fontId="9" fillId="0" borderId="46" xfId="0" applyNumberFormat="1" applyFont="1" applyFill="1" applyBorder="1" applyAlignment="1">
      <x:alignment horizontal="center" vertical="center"/>
    </x:xf>
    <x:xf numFmtId="0" fontId="9" fillId="0" borderId="47" xfId="0" applyNumberFormat="1" applyFont="1" applyFill="1" applyBorder="1" applyAlignment="1">
      <x:alignment horizontal="center" vertical="center"/>
    </x:xf>
    <x:xf numFmtId="0" fontId="9" fillId="0" borderId="48" xfId="0" applyNumberFormat="1" applyFont="1" applyFill="1" applyBorder="1" applyAlignment="1">
      <x:alignment horizontal="center" vertical="center"/>
    </x:xf>
    <x:xf numFmtId="0" fontId="3" fillId="0" borderId="46" xfId="0" applyNumberFormat="1" applyFont="1" applyFill="1" applyBorder="1" applyAlignment="1">
      <x:alignment horizontal="center" vertical="center" wrapText="1"/>
    </x:xf>
    <x:xf numFmtId="0" fontId="3" fillId="0" borderId="47" xfId="0" applyNumberFormat="1" applyFont="1" applyFill="1" applyBorder="1" applyAlignment="1">
      <x:alignment horizontal="center" vertical="center" wrapText="1"/>
    </x:xf>
    <x:xf numFmtId="0" fontId="3" fillId="0" borderId="48" xfId="0" applyNumberFormat="1" applyFont="1" applyFill="1" applyBorder="1" applyAlignment="1">
      <x:alignment horizontal="center" vertical="center" wrapText="1"/>
    </x:xf>
    <x:xf numFmtId="0" fontId="3" fillId="18" borderId="46" xfId="0" applyNumberFormat="1" applyFont="1" applyFill="1" applyBorder="1" applyAlignment="1">
      <x:alignment vertical="center"/>
    </x:xf>
    <x:xf numFmtId="0" fontId="3" fillId="18" borderId="47" xfId="0" applyNumberFormat="1" applyFont="1" applyFill="1" applyBorder="1" applyAlignment="1">
      <x:alignment vertical="center"/>
    </x:xf>
    <x:xf numFmtId="0" fontId="3" fillId="18" borderId="48" xfId="0" applyNumberFormat="1" applyFont="1" applyFill="1" applyBorder="1" applyAlignment="1">
      <x:alignment vertical="center"/>
    </x:xf>
    <x:xf numFmtId="0" fontId="9" fillId="18" borderId="46" xfId="0" applyNumberFormat="1" applyFont="1" applyFill="1" applyBorder="1" applyAlignment="1">
      <x:alignment vertical="center"/>
    </x:xf>
    <x:xf numFmtId="0" fontId="9" fillId="18" borderId="47" xfId="0" applyNumberFormat="1" applyFont="1" applyFill="1" applyBorder="1" applyAlignment="1">
      <x:alignment vertical="center"/>
    </x:xf>
    <x:xf numFmtId="0" fontId="9" fillId="18" borderId="48" xfId="0" applyNumberFormat="1" applyFont="1" applyFill="1" applyBorder="1" applyAlignment="1">
      <x:alignment vertical="center"/>
    </x:xf>
    <x:xf numFmtId="3" fontId="3" fillId="8" borderId="46" xfId="0" applyNumberFormat="1" applyFont="1" applyFill="1" applyBorder="1" applyAlignment="1">
      <x:alignment vertical="center"/>
    </x:xf>
    <x:xf numFmtId="3" fontId="1" fillId="8" borderId="46" xfId="0" applyNumberFormat="1" applyFont="1" applyFill="1" applyBorder="1" applyAlignment="1">
      <x:alignment vertical="center"/>
    </x:xf>
    <x:xf numFmtId="3" fontId="1" fillId="8" borderId="46" xfId="0" applyNumberFormat="1" applyFont="1" applyFill="1" applyBorder="1" applyAlignment="1">
      <x:alignment horizontal="center" vertical="center"/>
    </x:xf>
    <x:xf numFmtId="3" fontId="3" fillId="19" borderId="47" xfId="0" applyNumberFormat="1" applyFont="1" applyFill="1" applyBorder="1" applyAlignment="1">
      <x:alignment vertical="center"/>
    </x:xf>
    <x:xf numFmtId="3" fontId="4" fillId="19" borderId="47" xfId="0" applyNumberFormat="1" applyFont="1" applyFill="1" applyBorder="1" applyAlignment="1">
      <x:alignment vertical="center"/>
    </x:xf>
    <x:xf numFmtId="3" fontId="4" fillId="19" borderId="47" xfId="0" applyNumberFormat="1" applyFont="1" applyFill="1" applyBorder="1" applyAlignment="1">
      <x:alignment horizontal="center" vertical="center"/>
    </x:xf>
    <x:xf numFmtId="3" fontId="3" fillId="20" borderId="47" xfId="0" applyNumberFormat="1" applyFont="1" applyFill="1" applyBorder="1" applyAlignment="1">
      <x:alignment vertical="center"/>
    </x:xf>
    <x:xf numFmtId="3" fontId="5" fillId="20" borderId="47" xfId="0" applyNumberFormat="1" applyFont="1" applyFill="1" applyBorder="1" applyAlignment="1">
      <x:alignment vertical="center"/>
    </x:xf>
    <x:xf numFmtId="3" fontId="5" fillId="20" borderId="47" xfId="0" applyNumberFormat="1" applyFont="1" applyFill="1" applyBorder="1" applyAlignment="1">
      <x:alignment horizontal="center" vertical="center"/>
    </x:xf>
    <x:xf numFmtId="3" fontId="3" fillId="21" borderId="47" xfId="0" applyNumberFormat="1" applyFont="1" applyFill="1" applyBorder="1" applyAlignment="1">
      <x:alignment vertical="center"/>
    </x:xf>
    <x:xf numFmtId="3" fontId="6" fillId="21" borderId="47" xfId="0" applyNumberFormat="1" applyFont="1" applyFill="1" applyBorder="1" applyAlignment="1">
      <x:alignment vertical="center"/>
    </x:xf>
    <x:xf numFmtId="3" fontId="6" fillId="21" borderId="47" xfId="0" applyNumberFormat="1" applyFont="1" applyFill="1" applyBorder="1" applyAlignment="1">
      <x:alignment horizontal="center" vertical="center"/>
    </x:xf>
    <x:xf numFmtId="3" fontId="3" fillId="13" borderId="47" xfId="0" applyNumberFormat="1" applyFont="1" applyFill="1" applyBorder="1" applyAlignment="1">
      <x:alignment vertical="center"/>
    </x:xf>
    <x:xf numFmtId="3" fontId="6" fillId="13" borderId="47" xfId="0" applyNumberFormat="1" applyFont="1" applyFill="1" applyBorder="1" applyAlignment="1">
      <x:alignment vertical="center"/>
    </x:xf>
    <x:xf numFmtId="3" fontId="6" fillId="13" borderId="47" xfId="0" applyNumberFormat="1" applyFont="1" applyFill="1" applyBorder="1" applyAlignment="1">
      <x:alignment horizontal="center" vertical="center"/>
    </x:xf>
    <x:xf numFmtId="3" fontId="3" fillId="14" borderId="47" xfId="0" applyNumberFormat="1" applyFont="1" applyFill="1" applyBorder="1" applyAlignment="1">
      <x:alignment vertical="center"/>
    </x:xf>
    <x:xf numFmtId="3" fontId="5" fillId="14" borderId="47" xfId="0" applyNumberFormat="1" applyFont="1" applyFill="1" applyBorder="1" applyAlignment="1">
      <x:alignment vertical="center"/>
    </x:xf>
    <x:xf numFmtId="3" fontId="5" fillId="14" borderId="47" xfId="0" applyNumberFormat="1" applyFont="1" applyFill="1" applyBorder="1" applyAlignment="1">
      <x:alignment horizontal="center" vertical="center"/>
    </x:xf>
    <x:xf numFmtId="165" fontId="3" fillId="22" borderId="48" xfId="0" applyNumberFormat="1" applyFont="1" applyFill="1" applyBorder="1" applyAlignment="1">
      <x:alignment vertical="center"/>
    </x:xf>
    <x:xf numFmtId="165" fontId="10" fillId="22" borderId="48" xfId="0" applyNumberFormat="1" applyFont="1" applyFill="1" applyBorder="1" applyAlignment="1">
      <x:alignment vertical="center"/>
    </x:xf>
    <x:xf numFmtId="165" fontId="10" fillId="22" borderId="48" xfId="0" applyNumberFormat="1" applyFont="1" applyFill="1" applyBorder="1" applyAlignment="1">
      <x:alignment horizontal="center" vertical="center"/>
    </x:xf>
    <x:xf numFmtId="0" fontId="3" fillId="12" borderId="2" xfId="0" applyNumberFormat="1" applyFont="1" applyFill="1" applyBorder="1" applyAlignment="1">
      <x:alignment vertical="center" wrapText="1"/>
    </x:xf>
    <x:xf numFmtId="0" fontId="3" fillId="12" borderId="3" xfId="0" applyNumberFormat="1" applyFont="1" applyFill="1" applyBorder="1" applyAlignment="1">
      <x:alignment vertical="center" wrapText="1"/>
    </x:xf>
    <x:xf numFmtId="0" fontId="3" fillId="12" borderId="4" xfId="0" applyNumberFormat="1" applyFont="1" applyFill="1" applyBorder="1" applyAlignment="1">
      <x:alignment vertical="center" wrapText="1"/>
    </x:xf>
    <x:xf numFmtId="0" fontId="11" fillId="12" borderId="2" xfId="0" applyNumberFormat="1" applyFont="1" applyFill="1" applyBorder="1" applyAlignment="1">
      <x:alignment vertical="center" wrapText="1"/>
    </x:xf>
    <x:xf numFmtId="0" fontId="11" fillId="12" borderId="3" xfId="0" applyNumberFormat="1" applyFont="1" applyFill="1" applyBorder="1" applyAlignment="1">
      <x:alignment vertical="center" wrapText="1"/>
    </x:xf>
    <x:xf numFmtId="0" fontId="11" fillId="12" borderId="4" xfId="0" applyNumberFormat="1" applyFont="1" applyFill="1" applyBorder="1" applyAlignment="1">
      <x:alignment vertical="center" wrapText="1"/>
    </x:xf>
    <x:xf numFmtId="0" fontId="11" fillId="12" borderId="46" xfId="0" applyNumberFormat="1" applyFont="1" applyFill="1" applyBorder="1" applyAlignment="1">
      <x:alignment vertical="center" wrapText="1"/>
    </x:xf>
    <x:xf numFmtId="0" fontId="11" fillId="12" borderId="47" xfId="0" applyNumberFormat="1" applyFont="1" applyFill="1" applyBorder="1" applyAlignment="1">
      <x:alignment vertical="center" wrapText="1"/>
    </x:xf>
    <x:xf numFmtId="0" fontId="11" fillId="12" borderId="48" xfId="0" applyNumberFormat="1" applyFont="1" applyFill="1" applyBorder="1" applyAlignment="1">
      <x:alignment vertical="center" wrapText="1"/>
    </x:xf>
    <x:xf numFmtId="0" fontId="3" fillId="16" borderId="46" xfId="0" applyNumberFormat="1" applyFont="1" applyFill="1" applyBorder="1" applyAlignment="1">
      <x:alignment vertical="center"/>
    </x:xf>
    <x:xf numFmtId="0" fontId="3" fillId="16" borderId="47" xfId="0" applyNumberFormat="1" applyFont="1" applyFill="1" applyBorder="1" applyAlignment="1">
      <x:alignment vertical="center"/>
    </x:xf>
    <x:xf numFmtId="0" fontId="3" fillId="16" borderId="48" xfId="0" applyNumberFormat="1" applyFont="1" applyFill="1" applyBorder="1" applyAlignment="1">
      <x:alignment vertical="center"/>
    </x:xf>
    <x:xf numFmtId="0" fontId="8" fillId="16" borderId="46" xfId="0" applyNumberFormat="1" applyFont="1" applyFill="1" applyBorder="1" applyAlignment="1">
      <x:alignment vertical="center"/>
    </x:xf>
    <x:xf numFmtId="0" fontId="8" fillId="16" borderId="47" xfId="0" applyNumberFormat="1" applyFont="1" applyFill="1" applyBorder="1" applyAlignment="1">
      <x:alignment vertical="center"/>
    </x:xf>
    <x:xf numFmtId="0" fontId="8" fillId="16" borderId="48" xfId="0" applyNumberFormat="1" applyFont="1" applyFill="1" applyBorder="1" applyAlignment="1">
      <x:alignment vertical="center"/>
    </x:xf>
    <x:xf numFmtId="0" fontId="8" fillId="16" borderId="46" xfId="0" applyNumberFormat="1" applyFont="1" applyFill="1" applyBorder="1" applyAlignment="1">
      <x:alignment horizontal="center" vertical="center"/>
    </x:xf>
    <x:xf numFmtId="0" fontId="8" fillId="16" borderId="47" xfId="0" applyNumberFormat="1" applyFont="1" applyFill="1" applyBorder="1" applyAlignment="1">
      <x:alignment horizontal="center" vertical="center"/>
    </x:xf>
    <x:xf numFmtId="0" fontId="8" fillId="16" borderId="48" xfId="0" applyNumberFormat="1" applyFont="1" applyFill="1" applyBorder="1" applyAlignment="1">
      <x:alignment horizontal="center" vertical="center"/>
    </x:xf>
    <x:xf numFmtId="0" fontId="3" fillId="12" borderId="2" xfId="0" applyNumberFormat="1" applyFont="1" applyFill="1" applyBorder="1" applyAlignment="1">
      <x:alignment vertical="center"/>
    </x:xf>
    <x:xf numFmtId="0" fontId="3" fillId="12" borderId="3" xfId="0" applyNumberFormat="1" applyFont="1" applyFill="1" applyBorder="1" applyAlignment="1">
      <x:alignment vertical="center"/>
    </x:xf>
    <x:xf numFmtId="0" fontId="3" fillId="12" borderId="4" xfId="0" applyNumberFormat="1" applyFont="1" applyFill="1" applyBorder="1" applyAlignment="1">
      <x:alignment vertical="center"/>
    </x:xf>
    <x:xf numFmtId="0" fontId="3" fillId="12" borderId="46" xfId="0" applyNumberFormat="1" applyFont="1" applyFill="1" applyBorder="1" applyAlignment="1">
      <x:alignment vertical="center"/>
    </x:xf>
    <x:xf numFmtId="0" fontId="3" fillId="12" borderId="47" xfId="0" applyNumberFormat="1" applyFont="1" applyFill="1" applyBorder="1" applyAlignment="1">
      <x:alignment vertical="center"/>
    </x:xf>
    <x:xf numFmtId="0" fontId="3" fillId="12" borderId="48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horizontal="center"/>
    </x:xf>
    <x:xf numFmtId="0" fontId="8" fillId="0" borderId="46" xfId="0" applyNumberFormat="1" applyFont="1" applyFill="1" applyBorder="1" applyAlignment="1">
      <x:alignment vertical="center"/>
    </x:xf>
    <x:xf numFmtId="0" fontId="8" fillId="0" borderId="47" xfId="0" applyNumberFormat="1" applyFont="1" applyFill="1" applyBorder="1" applyAlignment="1">
      <x:alignment vertical="center"/>
    </x:xf>
    <x:xf numFmtId="0" fontId="8" fillId="0" borderId="48" xfId="0" applyNumberFormat="1" applyFont="1" applyFill="1" applyBorder="1" applyAlignment="1">
      <x:alignment vertical="center"/>
    </x:xf>
    <x:xf numFmtId="0" fontId="13" fillId="16" borderId="46" xfId="0" applyNumberFormat="1" applyFont="1" applyFill="1" applyBorder="1" applyAlignment="1">
      <x:alignment vertical="center"/>
    </x:xf>
    <x:xf numFmtId="0" fontId="13" fillId="16" borderId="47" xfId="0" applyNumberFormat="1" applyFont="1" applyFill="1" applyBorder="1" applyAlignment="1">
      <x:alignment vertical="center"/>
    </x:xf>
    <x:xf numFmtId="0" fontId="13" fillId="16" borderId="48" xfId="0" applyNumberFormat="1" applyFont="1" applyFill="1" applyBorder="1" applyAlignment="1">
      <x:alignment vertical="center"/>
    </x:xf>
    <x:xf numFmtId="0" fontId="3" fillId="12" borderId="46" xfId="0" applyNumberFormat="1" applyFont="1" applyFill="1" applyBorder="1" applyAlignment="1">
      <x:alignment vertical="center" wrapText="1"/>
    </x:xf>
    <x:xf numFmtId="0" fontId="3" fillId="12" borderId="47" xfId="0" applyNumberFormat="1" applyFont="1" applyFill="1" applyBorder="1" applyAlignment="1">
      <x:alignment vertical="center" wrapText="1"/>
    </x:xf>
    <x:xf numFmtId="0" fontId="3" fillId="12" borderId="48" xfId="0" applyNumberFormat="1" applyFont="1" applyFill="1" applyBorder="1" applyAlignment="1">
      <x:alignment vertical="center" wrapText="1"/>
    </x:xf>
    <x:xf numFmtId="0" fontId="3" fillId="23" borderId="46" xfId="0" applyNumberFormat="1" applyFont="1" applyFill="1" applyBorder="1" applyAlignment="1">
      <x:alignment vertical="center"/>
    </x:xf>
    <x:xf numFmtId="0" fontId="3" fillId="23" borderId="47" xfId="0" applyNumberFormat="1" applyFont="1" applyFill="1" applyBorder="1" applyAlignment="1">
      <x:alignment vertical="center"/>
    </x:xf>
    <x:xf numFmtId="0" fontId="3" fillId="23" borderId="48" xfId="0" applyNumberFormat="1" applyFont="1" applyFill="1" applyBorder="1" applyAlignment="1">
      <x:alignment vertical="center"/>
    </x:xf>
    <x:xf numFmtId="0" fontId="3" fillId="23" borderId="46" xfId="0" applyNumberFormat="1" applyFont="1" applyFill="1" applyBorder="1" applyAlignment="1">
      <x:alignment vertical="center" wrapText="1"/>
    </x:xf>
    <x:xf numFmtId="0" fontId="3" fillId="23" borderId="47" xfId="0" applyNumberFormat="1" applyFont="1" applyFill="1" applyBorder="1" applyAlignment="1">
      <x:alignment vertical="center" wrapText="1"/>
    </x:xf>
    <x:xf numFmtId="0" fontId="3" fillId="23" borderId="48" xfId="0" applyNumberFormat="1" applyFont="1" applyFill="1" applyBorder="1" applyAlignment="1">
      <x:alignment vertical="center" wrapText="1"/>
    </x:xf>
    <x:xf numFmtId="164" fontId="3" fillId="16" borderId="46" xfId="0" applyNumberFormat="1" applyFont="1" applyFill="1" applyBorder="1" applyAlignment="1">
      <x:alignment vertical="center"/>
    </x:xf>
    <x:xf numFmtId="164" fontId="3" fillId="16" borderId="47" xfId="0" applyNumberFormat="1" applyFont="1" applyFill="1" applyBorder="1" applyAlignment="1">
      <x:alignment vertical="center"/>
    </x:xf>
    <x:xf numFmtId="164" fontId="3" fillId="16" borderId="48" xfId="0" applyNumberFormat="1" applyFont="1" applyFill="1" applyBorder="1" applyAlignment="1">
      <x:alignment vertical="center"/>
    </x:xf>
    <x:xf numFmtId="164" fontId="3" fillId="16" borderId="46" xfId="0" applyNumberFormat="1" applyFont="1" applyFill="1" applyBorder="1" applyAlignment="1">
      <x:alignment horizontal="center" vertical="center"/>
    </x:xf>
    <x:xf numFmtId="164" fontId="3" fillId="16" borderId="47" xfId="0" applyNumberFormat="1" applyFont="1" applyFill="1" applyBorder="1" applyAlignment="1">
      <x:alignment horizontal="center" vertical="center"/>
    </x:xf>
    <x:xf numFmtId="164" fontId="3" fillId="16" borderId="48" xfId="0" applyNumberFormat="1" applyFont="1" applyFill="1" applyBorder="1" applyAlignment="1">
      <x:alignment horizontal="center" vertical="center"/>
    </x:xf>
    <x:xf numFmtId="0" fontId="3" fillId="8" borderId="46" xfId="0" applyNumberFormat="1" applyFont="1" applyFill="1" applyBorder="1" applyAlignment="1">
      <x:alignment vertical="center"/>
    </x:xf>
    <x:xf numFmtId="0" fontId="3" fillId="8" borderId="47" xfId="0" applyNumberFormat="1" applyFont="1" applyFill="1" applyBorder="1" applyAlignment="1">
      <x:alignment vertical="center"/>
    </x:xf>
    <x:xf numFmtId="0" fontId="3" fillId="8" borderId="48" xfId="0" applyNumberFormat="1" applyFont="1" applyFill="1" applyBorder="1" applyAlignment="1">
      <x:alignment vertical="center"/>
    </x:xf>
    <x:xf numFmtId="0" fontId="7" fillId="8" borderId="46" xfId="0" applyNumberFormat="1" applyFont="1" applyFill="1" applyBorder="1" applyAlignment="1">
      <x:alignment vertical="center"/>
    </x:xf>
    <x:xf numFmtId="0" fontId="7" fillId="8" borderId="47" xfId="0" applyNumberFormat="1" applyFont="1" applyFill="1" applyBorder="1" applyAlignment="1">
      <x:alignment vertical="center"/>
    </x:xf>
    <x:xf numFmtId="0" fontId="7" fillId="8" borderId="48" xfId="0" applyNumberFormat="1" applyFont="1" applyFill="1" applyBorder="1" applyAlignment="1">
      <x:alignment vertical="center"/>
    </x:xf>
    <x:xf numFmtId="0" fontId="7" fillId="8" borderId="46" xfId="0" applyNumberFormat="1" applyFont="1" applyFill="1" applyBorder="1" applyAlignment="1">
      <x:alignment horizontal="center" vertical="center"/>
    </x:xf>
    <x:xf numFmtId="0" fontId="7" fillId="8" borderId="47" xfId="0" applyNumberFormat="1" applyFont="1" applyFill="1" applyBorder="1" applyAlignment="1">
      <x:alignment horizontal="center" vertical="center"/>
    </x:xf>
    <x:xf numFmtId="0" fontId="7" fillId="8" borderId="48" xfId="0" applyNumberFormat="1" applyFont="1" applyFill="1" applyBorder="1" applyAlignment="1">
      <x:alignment horizontal="center" vertical="center"/>
    </x:xf>
    <x:xf numFmtId="0" fontId="11" fillId="12" borderId="46" xfId="0" applyNumberFormat="1" applyFont="1" applyFill="1" applyBorder="1" applyAlignment="1">
      <x:alignment vertical="center"/>
    </x:xf>
    <x:xf numFmtId="0" fontId="11" fillId="12" borderId="47" xfId="0" applyNumberFormat="1" applyFont="1" applyFill="1" applyBorder="1" applyAlignment="1">
      <x:alignment vertical="center"/>
    </x:xf>
    <x:xf numFmtId="0" fontId="11" fillId="12" borderId="48" xfId="0" applyNumberFormat="1" applyFont="1" applyFill="1" applyBorder="1" applyAlignment="1">
      <x:alignment vertical="center"/>
    </x:xf>
    <x:xf numFmtId="0" fontId="3" fillId="22" borderId="46" xfId="0" applyNumberFormat="1" applyFont="1" applyFill="1" applyBorder="1" applyAlignment="1">
      <x:alignment vertical="center"/>
    </x:xf>
    <x:xf numFmtId="0" fontId="3" fillId="22" borderId="47" xfId="0" applyNumberFormat="1" applyFont="1" applyFill="1" applyBorder="1" applyAlignment="1">
      <x:alignment vertical="center"/>
    </x:xf>
    <x:xf numFmtId="0" fontId="3" fillId="22" borderId="48" xfId="0" applyNumberFormat="1" applyFont="1" applyFill="1" applyBorder="1" applyAlignment="1">
      <x:alignment vertical="center"/>
    </x:xf>
    <x:xf numFmtId="0" fontId="14" fillId="22" borderId="46" xfId="0" applyNumberFormat="1" applyFont="1" applyFill="1" applyBorder="1" applyAlignment="1">
      <x:alignment vertical="center"/>
    </x:xf>
    <x:xf numFmtId="0" fontId="14" fillId="22" borderId="47" xfId="0" applyNumberFormat="1" applyFont="1" applyFill="1" applyBorder="1" applyAlignment="1">
      <x:alignment vertical="center"/>
    </x:xf>
    <x:xf numFmtId="0" fontId="14" fillId="22" borderId="48" xfId="0" applyNumberFormat="1" applyFont="1" applyFill="1" applyBorder="1" applyAlignment="1">
      <x:alignment vertical="center"/>
    </x:xf>
    <x:xf numFmtId="0" fontId="3" fillId="15" borderId="46" xfId="0" applyNumberFormat="1" applyFont="1" applyFill="1" applyBorder="1" applyAlignment="1">
      <x:alignment vertical="center"/>
    </x:xf>
    <x:xf numFmtId="0" fontId="3" fillId="15" borderId="47" xfId="0" applyNumberFormat="1" applyFont="1" applyFill="1" applyBorder="1" applyAlignment="1">
      <x:alignment vertical="center"/>
    </x:xf>
    <x:xf numFmtId="0" fontId="3" fillId="15" borderId="48" xfId="0" applyNumberFormat="1" applyFont="1" applyFill="1" applyBorder="1" applyAlignment="1">
      <x:alignment vertical="center"/>
    </x:xf>
    <x:xf numFmtId="0" fontId="15" fillId="15" borderId="46" xfId="0" applyNumberFormat="1" applyFont="1" applyFill="1" applyBorder="1" applyAlignment="1">
      <x:alignment vertical="center"/>
    </x:xf>
    <x:xf numFmtId="0" fontId="15" fillId="15" borderId="47" xfId="0" applyNumberFormat="1" applyFont="1" applyFill="1" applyBorder="1" applyAlignment="1">
      <x:alignment vertical="center"/>
    </x:xf>
    <x:xf numFmtId="0" fontId="15" fillId="15" borderId="48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46" xfId="0" applyNumberFormat="1" applyFont="1" applyFill="1" applyBorder="1" applyAlignment="1">
      <x:alignment vertical="center" wrapText="1"/>
    </x:xf>
    <x:xf numFmtId="0" fontId="3" fillId="0" borderId="47" xfId="0" applyNumberFormat="1" applyFont="1" applyFill="1" applyBorder="1" applyAlignment="1">
      <x:alignment vertical="center" wrapText="1"/>
    </x:xf>
    <x:xf numFmtId="0" fontId="3" fillId="0" borderId="48" xfId="0" applyNumberFormat="1" applyFont="1" applyFill="1" applyBorder="1" applyAlignment="1">
      <x:alignment vertical="center" wrapText="1"/>
    </x:xf>
    <x:xf numFmtId="0" fontId="3" fillId="8" borderId="46" xfId="0" applyNumberFormat="1" applyFont="1" applyFill="1" applyBorder="1" applyAlignment="1">
      <x:alignment vertical="center" wrapText="1"/>
    </x:xf>
    <x:xf numFmtId="0" fontId="3" fillId="8" borderId="47" xfId="0" applyNumberFormat="1" applyFont="1" applyFill="1" applyBorder="1" applyAlignment="1">
      <x:alignment vertical="center" wrapText="1"/>
    </x:xf>
    <x:xf numFmtId="0" fontId="3" fillId="8" borderId="48" xfId="0" applyNumberFormat="1" applyFont="1" applyFill="1" applyBorder="1" applyAlignment="1">
      <x:alignment vertical="center" wrapText="1"/>
    </x:xf>
    <x:xf numFmtId="0" fontId="7" fillId="8" borderId="46" xfId="0" applyNumberFormat="1" applyFont="1" applyFill="1" applyBorder="1" applyAlignment="1">
      <x:alignment vertical="center" wrapText="1"/>
    </x:xf>
    <x:xf numFmtId="0" fontId="7" fillId="8" borderId="47" xfId="0" applyNumberFormat="1" applyFont="1" applyFill="1" applyBorder="1" applyAlignment="1">
      <x:alignment vertical="center" wrapText="1"/>
    </x:xf>
    <x:xf numFmtId="0" fontId="7" fillId="8" borderId="48" xfId="0" applyNumberFormat="1" applyFont="1" applyFill="1" applyBorder="1" applyAlignment="1">
      <x:alignment vertical="center" wrapText="1"/>
    </x:xf>
    <x:xf numFmtId="0" fontId="3" fillId="16" borderId="46" xfId="0" applyNumberFormat="1" applyFont="1" applyFill="1" applyBorder="1" applyAlignment="1">
      <x:alignment vertical="center" wrapText="1"/>
    </x:xf>
    <x:xf numFmtId="0" fontId="3" fillId="16" borderId="47" xfId="0" applyNumberFormat="1" applyFont="1" applyFill="1" applyBorder="1" applyAlignment="1">
      <x:alignment vertical="center" wrapText="1"/>
    </x:xf>
    <x:xf numFmtId="0" fontId="3" fillId="16" borderId="48" xfId="0" applyNumberFormat="1" applyFont="1" applyFill="1" applyBorder="1" applyAlignment="1">
      <x:alignment vertical="center" wrapText="1"/>
    </x:xf>
    <x:xf numFmtId="0" fontId="8" fillId="16" borderId="46" xfId="0" applyNumberFormat="1" applyFont="1" applyFill="1" applyBorder="1" applyAlignment="1">
      <x:alignment vertical="center" wrapText="1"/>
    </x:xf>
    <x:xf numFmtId="0" fontId="8" fillId="16" borderId="47" xfId="0" applyNumberFormat="1" applyFont="1" applyFill="1" applyBorder="1" applyAlignment="1">
      <x:alignment vertical="center" wrapText="1"/>
    </x:xf>
    <x:xf numFmtId="0" fontId="8" fillId="16" borderId="48" xfId="0" applyNumberFormat="1" applyFont="1" applyFill="1" applyBorder="1" applyAlignment="1">
      <x:alignment vertical="center" wrapText="1"/>
    </x:xf>
    <x:xf numFmtId="0" fontId="3" fillId="15" borderId="46" xfId="0" applyNumberFormat="1" applyFont="1" applyFill="1" applyBorder="1" applyAlignment="1">
      <x:alignment vertical="center" wrapText="1"/>
    </x:xf>
    <x:xf numFmtId="0" fontId="3" fillId="15" borderId="47" xfId="0" applyNumberFormat="1" applyFont="1" applyFill="1" applyBorder="1" applyAlignment="1">
      <x:alignment vertical="center" wrapText="1"/>
    </x:xf>
    <x:xf numFmtId="0" fontId="3" fillId="15" borderId="48" xfId="0" applyNumberFormat="1" applyFont="1" applyFill="1" applyBorder="1" applyAlignment="1">
      <x:alignment vertical="center" wrapText="1"/>
    </x:xf>
    <x:xf numFmtId="0" fontId="4" fillId="15" borderId="46" xfId="0" applyNumberFormat="1" applyFont="1" applyFill="1" applyBorder="1" applyAlignment="1">
      <x:alignment vertical="center" wrapText="1"/>
    </x:xf>
    <x:xf numFmtId="0" fontId="4" fillId="15" borderId="47" xfId="0" applyNumberFormat="1" applyFont="1" applyFill="1" applyBorder="1" applyAlignment="1">
      <x:alignment vertical="center" wrapText="1"/>
    </x:xf>
    <x:xf numFmtId="0" fontId="4" fillId="15" borderId="48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1" xfId="0" applyNumberFormat="1" applyFont="1" applyFill="1" applyBorder="1"/>
    <x:xf numFmtId="0" fontId="1" fillId="26" borderId="1" xfId="0" applyNumberFormat="1" applyFont="1" applyFill="1" applyBorder="1" applyAlignment="1">
      <x:alignment wrapText="1"/>
    </x:xf>
    <x:xf numFmtId="0" fontId="1" fillId="26" borderId="1" xfId="0" applyNumberFormat="1" applyFont="1" applyFill="1" applyBorder="1" applyAlignment="1">
      <x:alignment horizontal="center" wrapText="1"/>
    </x:xf>
    <x:xf numFmtId="0" fontId="1" fillId="26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6" xfId="0" applyNumberFormat="1" applyFont="1" applyFill="1" applyBorder="1"/>
    <x:xf numFmtId="0" fontId="3" fillId="0" borderId="47" xfId="0" applyNumberFormat="1" applyFont="1" applyFill="1" applyBorder="1"/>
    <x:xf numFmtId="0" fontId="3" fillId="0" borderId="52" xfId="0" applyNumberFormat="1" applyFont="1" applyFill="1" applyBorder="1"/>
    <x:xf numFmtId="0" fontId="3" fillId="0" borderId="52" xfId="0" applyNumberFormat="1" applyFont="1" applyFill="1" applyBorder="1" applyAlignment="1">
      <x:alignment vertical="center"/>
    </x:xf>
    <x:xf numFmtId="0" fontId="3" fillId="24" borderId="46" xfId="0" applyNumberFormat="1" applyFont="1" applyFill="1" applyBorder="1" applyAlignment="1">
      <x:alignment vertical="center"/>
    </x:xf>
    <x:xf numFmtId="0" fontId="3" fillId="24" borderId="47" xfId="0" applyNumberFormat="1" applyFont="1" applyFill="1" applyBorder="1" applyAlignment="1">
      <x:alignment vertical="center"/>
    </x:xf>
    <x:xf numFmtId="0" fontId="3" fillId="24" borderId="52" xfId="0" applyNumberFormat="1" applyFont="1" applyFill="1" applyBorder="1" applyAlignment="1">
      <x:alignment vertical="center"/>
    </x:xf>
    <x:xf numFmtId="0" fontId="7" fillId="24" borderId="46" xfId="0" applyNumberFormat="1" applyFont="1" applyFill="1" applyBorder="1" applyAlignment="1">
      <x:alignment vertical="center"/>
    </x:xf>
    <x:xf numFmtId="0" fontId="7" fillId="24" borderId="47" xfId="0" applyNumberFormat="1" applyFont="1" applyFill="1" applyBorder="1" applyAlignment="1">
      <x:alignment vertical="center"/>
    </x:xf>
    <x:xf numFmtId="0" fontId="7" fillId="24" borderId="52" xfId="0" applyNumberFormat="1" applyFont="1" applyFill="1" applyBorder="1" applyAlignment="1">
      <x:alignment vertical="center"/>
    </x:xf>
    <x:xf numFmtId="0" fontId="7" fillId="24" borderId="46" xfId="0" applyNumberFormat="1" applyFont="1" applyFill="1" applyBorder="1" applyAlignment="1">
      <x:alignment horizontal="center" vertical="center"/>
    </x:xf>
    <x:xf numFmtId="0" fontId="7" fillId="24" borderId="47" xfId="0" applyNumberFormat="1" applyFont="1" applyFill="1" applyBorder="1" applyAlignment="1">
      <x:alignment horizontal="center" vertical="center"/>
    </x:xf>
    <x:xf numFmtId="0" fontId="7" fillId="24" borderId="52" xfId="0" applyNumberFormat="1" applyFont="1" applyFill="1" applyBorder="1" applyAlignment="1">
      <x:alignment horizontal="center" vertical="center"/>
    </x:xf>
    <x:xf numFmtId="0" fontId="3" fillId="27" borderId="46" xfId="0" applyNumberFormat="1" applyFont="1" applyFill="1" applyBorder="1" applyAlignment="1">
      <x:alignment vertical="center"/>
    </x:xf>
    <x:xf numFmtId="0" fontId="3" fillId="27" borderId="47" xfId="0" applyNumberFormat="1" applyFont="1" applyFill="1" applyBorder="1" applyAlignment="1">
      <x:alignment vertical="center"/>
    </x:xf>
    <x:xf numFmtId="0" fontId="3" fillId="27" borderId="52" xfId="0" applyNumberFormat="1" applyFont="1" applyFill="1" applyBorder="1" applyAlignment="1">
      <x:alignment vertical="center"/>
    </x:xf>
    <x:xf numFmtId="0" fontId="3" fillId="28" borderId="46" xfId="0" applyNumberFormat="1" applyFont="1" applyFill="1" applyBorder="1" applyAlignment="1">
      <x:alignment vertical="center"/>
    </x:xf>
    <x:xf numFmtId="0" fontId="3" fillId="28" borderId="47" xfId="0" applyNumberFormat="1" applyFont="1" applyFill="1" applyBorder="1" applyAlignment="1">
      <x:alignment vertical="center"/>
    </x:xf>
    <x:xf numFmtId="0" fontId="3" fillId="28" borderId="52" xfId="0" applyNumberFormat="1" applyFont="1" applyFill="1" applyBorder="1" applyAlignment="1">
      <x:alignment vertical="center"/>
    </x:xf>
    <x:xf numFmtId="0" fontId="3" fillId="29" borderId="46" xfId="0" applyNumberFormat="1" applyFont="1" applyFill="1" applyBorder="1" applyAlignment="1">
      <x:alignment vertical="center"/>
    </x:xf>
    <x:xf numFmtId="0" fontId="3" fillId="29" borderId="47" xfId="0" applyNumberFormat="1" applyFont="1" applyFill="1" applyBorder="1" applyAlignment="1">
      <x:alignment vertical="center"/>
    </x:xf>
    <x:xf numFmtId="0" fontId="3" fillId="29" borderId="52" xfId="0" applyNumberFormat="1" applyFont="1" applyFill="1" applyBorder="1" applyAlignment="1">
      <x:alignment vertical="center"/>
    </x:xf>
    <x:xf numFmtId="200" fontId="3" fillId="28" borderId="46" xfId="0" applyNumberFormat="1" applyFont="1" applyFill="1" applyBorder="1" applyAlignment="1">
      <x:alignment vertical="center"/>
    </x:xf>
    <x:xf numFmtId="200" fontId="3" fillId="28" borderId="47" xfId="0" applyNumberFormat="1" applyFont="1" applyFill="1" applyBorder="1" applyAlignment="1">
      <x:alignment vertical="center"/>
    </x:xf>
    <x:xf numFmtId="200" fontId="3" fillId="28" borderId="52" xfId="0" applyNumberFormat="1" applyFont="1" applyFill="1" applyBorder="1" applyAlignment="1">
      <x:alignment vertical="center"/>
    </x:xf>
    <x:xf numFmtId="201" fontId="3" fillId="29" borderId="46" xfId="0" applyNumberFormat="1" applyFont="1" applyFill="1" applyBorder="1" applyAlignment="1">
      <x:alignment vertical="center"/>
    </x:xf>
    <x:xf numFmtId="201" fontId="3" fillId="29" borderId="47" xfId="0" applyNumberFormat="1" applyFont="1" applyFill="1" applyBorder="1" applyAlignment="1">
      <x:alignment vertical="center"/>
    </x:xf>
    <x:xf numFmtId="201" fontId="3" fillId="29" borderId="52" xfId="0" applyNumberFormat="1" applyFont="1" applyFill="1" applyBorder="1" applyAlignment="1">
      <x:alignment vertical="center"/>
    </x:xf>
    <x:xf numFmtId="0" fontId="3" fillId="28" borderId="46" xfId="0" applyNumberFormat="1" applyFont="1" applyFill="1" applyBorder="1" applyAlignment="1">
      <x:alignment vertical="center" wrapText="1"/>
    </x:xf>
    <x:xf numFmtId="0" fontId="3" fillId="28" borderId="47" xfId="0" applyNumberFormat="1" applyFont="1" applyFill="1" applyBorder="1" applyAlignment="1">
      <x:alignment vertical="center" wrapText="1"/>
    </x:xf>
    <x:xf numFmtId="0" fontId="3" fillId="28" borderId="52" xfId="0" applyNumberFormat="1" applyFont="1" applyFill="1" applyBorder="1" applyAlignment="1">
      <x:alignment vertical="center" wrapText="1"/>
    </x:xf>
    <x:xf numFmtId="0" fontId="3" fillId="29" borderId="46" xfId="0" applyNumberFormat="1" applyFont="1" applyFill="1" applyBorder="1" applyAlignment="1">
      <x:alignment vertical="center" wrapText="1"/>
    </x:xf>
    <x:xf numFmtId="0" fontId="3" fillId="29" borderId="47" xfId="0" applyNumberFormat="1" applyFont="1" applyFill="1" applyBorder="1" applyAlignment="1">
      <x:alignment vertical="center" wrapText="1"/>
    </x:xf>
    <x:xf numFmtId="0" fontId="3" fillId="29" borderId="52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1" xfId="0" applyNumberFormat="1" applyFont="1" applyFill="1" applyBorder="1"/>
    <x:xf numFmtId="0" fontId="1" fillId="32" borderId="1" xfId="0" applyNumberFormat="1" applyFont="1" applyFill="1" applyBorder="1" applyAlignment="1">
      <x:alignment wrapText="1"/>
    </x:xf>
    <x:xf numFmtId="0" fontId="1" fillId="32" borderId="1" xfId="0" applyNumberFormat="1" applyFont="1" applyFill="1" applyBorder="1" applyAlignment="1">
      <x:alignment horizontal="center" wrapText="1"/>
    </x:xf>
    <x:xf numFmtId="0" fontId="1" fillId="32" borderId="1" xfId="0" applyNumberFormat="1" applyFont="1" applyFill="1" applyBorder="1" applyAlignment="1">
      <x:alignment horizontal="center" vertical="center" wrapText="1"/>
    </x:xf>
    <x:xf numFmtId="0" fontId="3" fillId="30" borderId="46" xfId="0" applyNumberFormat="1" applyFont="1" applyFill="1" applyBorder="1" applyAlignment="1">
      <x:alignment vertical="center"/>
    </x:xf>
    <x:xf numFmtId="0" fontId="3" fillId="30" borderId="47" xfId="0" applyNumberFormat="1" applyFont="1" applyFill="1" applyBorder="1" applyAlignment="1">
      <x:alignment vertical="center"/>
    </x:xf>
    <x:xf numFmtId="0" fontId="3" fillId="30" borderId="52" xfId="0" applyNumberFormat="1" applyFont="1" applyFill="1" applyBorder="1" applyAlignment="1">
      <x:alignment vertical="center"/>
    </x:xf>
    <x:xf numFmtId="0" fontId="7" fillId="30" borderId="46" xfId="0" applyNumberFormat="1" applyFont="1" applyFill="1" applyBorder="1" applyAlignment="1">
      <x:alignment vertical="center"/>
    </x:xf>
    <x:xf numFmtId="0" fontId="7" fillId="30" borderId="47" xfId="0" applyNumberFormat="1" applyFont="1" applyFill="1" applyBorder="1" applyAlignment="1">
      <x:alignment vertical="center"/>
    </x:xf>
    <x:xf numFmtId="0" fontId="7" fillId="30" borderId="52" xfId="0" applyNumberFormat="1" applyFont="1" applyFill="1" applyBorder="1" applyAlignment="1">
      <x:alignment vertical="center"/>
    </x:xf>
    <x:xf numFmtId="0" fontId="7" fillId="30" borderId="46" xfId="0" applyNumberFormat="1" applyFont="1" applyFill="1" applyBorder="1" applyAlignment="1">
      <x:alignment horizontal="center" vertical="center"/>
    </x:xf>
    <x:xf numFmtId="0" fontId="7" fillId="30" borderId="47" xfId="0" applyNumberFormat="1" applyFont="1" applyFill="1" applyBorder="1" applyAlignment="1">
      <x:alignment horizontal="center" vertical="center"/>
    </x:xf>
    <x:xf numFmtId="0" fontId="7" fillId="30" borderId="52" xfId="0" applyNumberFormat="1" applyFont="1" applyFill="1" applyBorder="1" applyAlignment="1">
      <x:alignment horizontal="center" vertical="center"/>
    </x:xf>
    <x:xf numFmtId="0" fontId="3" fillId="33" borderId="46" xfId="0" applyNumberFormat="1" applyFont="1" applyFill="1" applyBorder="1" applyAlignment="1">
      <x:alignment vertical="center"/>
    </x:xf>
    <x:xf numFmtId="0" fontId="3" fillId="33" borderId="47" xfId="0" applyNumberFormat="1" applyFont="1" applyFill="1" applyBorder="1" applyAlignment="1">
      <x:alignment vertical="center"/>
    </x:xf>
    <x:xf numFmtId="0" fontId="3" fillId="33" borderId="52" xfId="0" applyNumberFormat="1" applyFont="1" applyFill="1" applyBorder="1" applyAlignment="1">
      <x:alignment vertical="center"/>
    </x:xf>
    <x:xf numFmtId="0" fontId="3" fillId="34" borderId="46" xfId="0" applyNumberFormat="1" applyFont="1" applyFill="1" applyBorder="1" applyAlignment="1">
      <x:alignment vertical="center"/>
    </x:xf>
    <x:xf numFmtId="0" fontId="3" fillId="34" borderId="47" xfId="0" applyNumberFormat="1" applyFont="1" applyFill="1" applyBorder="1" applyAlignment="1">
      <x:alignment vertical="center"/>
    </x:xf>
    <x:xf numFmtId="0" fontId="3" fillId="34" borderId="52" xfId="0" applyNumberFormat="1" applyFont="1" applyFill="1" applyBorder="1" applyAlignment="1">
      <x:alignment vertical="center"/>
    </x:xf>
    <x:xf numFmtId="0" fontId="3" fillId="35" borderId="46" xfId="0" applyNumberFormat="1" applyFont="1" applyFill="1" applyBorder="1" applyAlignment="1">
      <x:alignment vertical="center"/>
    </x:xf>
    <x:xf numFmtId="0" fontId="3" fillId="35" borderId="47" xfId="0" applyNumberFormat="1" applyFont="1" applyFill="1" applyBorder="1" applyAlignment="1">
      <x:alignment vertical="center"/>
    </x:xf>
    <x:xf numFmtId="0" fontId="3" fillId="35" borderId="52" xfId="0" applyNumberFormat="1" applyFont="1" applyFill="1" applyBorder="1" applyAlignment="1">
      <x:alignment vertical="center"/>
    </x:xf>
    <x:xf numFmtId="200" fontId="3" fillId="34" borderId="46" xfId="0" applyNumberFormat="1" applyFont="1" applyFill="1" applyBorder="1" applyAlignment="1">
      <x:alignment vertical="center"/>
    </x:xf>
    <x:xf numFmtId="200" fontId="3" fillId="34" borderId="47" xfId="0" applyNumberFormat="1" applyFont="1" applyFill="1" applyBorder="1" applyAlignment="1">
      <x:alignment vertical="center"/>
    </x:xf>
    <x:xf numFmtId="200" fontId="3" fillId="34" borderId="52" xfId="0" applyNumberFormat="1" applyFont="1" applyFill="1" applyBorder="1" applyAlignment="1">
      <x:alignment vertical="center"/>
    </x:xf>
    <x:xf numFmtId="201" fontId="3" fillId="35" borderId="46" xfId="0" applyNumberFormat="1" applyFont="1" applyFill="1" applyBorder="1" applyAlignment="1">
      <x:alignment vertical="center"/>
    </x:xf>
    <x:xf numFmtId="201" fontId="3" fillId="35" borderId="47" xfId="0" applyNumberFormat="1" applyFont="1" applyFill="1" applyBorder="1" applyAlignment="1">
      <x:alignment vertical="center"/>
    </x:xf>
    <x:xf numFmtId="201" fontId="3" fillId="35" borderId="52" xfId="0" applyNumberFormat="1" applyFont="1" applyFill="1" applyBorder="1" applyAlignment="1">
      <x:alignment vertical="center"/>
    </x:xf>
    <x:xf numFmtId="0" fontId="3" fillId="34" borderId="46" xfId="0" applyNumberFormat="1" applyFont="1" applyFill="1" applyBorder="1" applyAlignment="1">
      <x:alignment vertical="center" wrapText="1"/>
    </x:xf>
    <x:xf numFmtId="0" fontId="3" fillId="34" borderId="47" xfId="0" applyNumberFormat="1" applyFont="1" applyFill="1" applyBorder="1" applyAlignment="1">
      <x:alignment vertical="center" wrapText="1"/>
    </x:xf>
    <x:xf numFmtId="0" fontId="3" fillId="34" borderId="52" xfId="0" applyNumberFormat="1" applyFont="1" applyFill="1" applyBorder="1" applyAlignment="1">
      <x:alignment vertical="center" wrapText="1"/>
    </x:xf>
    <x:xf numFmtId="0" fontId="3" fillId="35" borderId="46" xfId="0" applyNumberFormat="1" applyFont="1" applyFill="1" applyBorder="1" applyAlignment="1">
      <x:alignment vertical="center" wrapText="1"/>
    </x:xf>
    <x:xf numFmtId="0" fontId="3" fillId="35" borderId="47" xfId="0" applyNumberFormat="1" applyFont="1" applyFill="1" applyBorder="1" applyAlignment="1">
      <x:alignment vertical="center" wrapText="1"/>
    </x:xf>
    <x:xf numFmtId="0" fontId="3" fillId="35" borderId="52" xfId="0" applyNumberFormat="1" applyFont="1" applyFill="1" applyBorder="1" applyAlignment="1">
      <x:alignment vertical="center" wrapText="1"/>
    </x:xf>
    <x:xf numFmtId="201" fontId="3" fillId="16" borderId="46" xfId="0" applyNumberFormat="1" applyFont="1" applyFill="1" applyBorder="1" applyAlignment="1">
      <x:alignment horizontal="center" vertical="center"/>
    </x:xf>
    <x:xf numFmtId="201" fontId="3" fillId="16" borderId="47" xfId="0" applyNumberFormat="1" applyFont="1" applyFill="1" applyBorder="1" applyAlignment="1">
      <x:alignment horizontal="center" vertical="center"/>
    </x:xf>
    <x:xf numFmtId="201" fontId="3" fillId="16" borderId="48" xfId="0" applyNumberFormat="1" applyFont="1" applyFill="1" applyBorder="1" applyAlignment="1">
      <x:alignment horizontal="center" vertical="center"/>
    </x:xf>
    <x:xf numFmtId="0" fontId="1" fillId="36" borderId="1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1" xfId="0" applyNumberFormat="1" applyFont="1" applyFill="1" applyBorder="1"/>
    <x:xf numFmtId="0" fontId="1" fillId="36" borderId="1" xfId="0" applyNumberFormat="1" applyFont="1" applyFill="1" applyBorder="1" applyAlignment="1">
      <x:alignment wrapText="1"/>
    </x:xf>
    <x:xf numFmtId="0" fontId="1" fillId="36" borderId="1" xfId="0" applyNumberFormat="1" applyFont="1" applyFill="1" applyBorder="1" applyAlignment="1">
      <x:alignment horizontal="center" wrapText="1"/>
    </x:xf>
    <x:xf numFmtId="201" fontId="3" fillId="23" borderId="46" xfId="0" applyNumberFormat="1" applyFont="1" applyFill="1" applyBorder="1" applyAlignment="1">
      <x:alignment vertical="center"/>
    </x:xf>
    <x:xf numFmtId="201" fontId="3" fillId="23" borderId="47" xfId="0" applyNumberFormat="1" applyFont="1" applyFill="1" applyBorder="1" applyAlignment="1">
      <x:alignment vertical="center"/>
    </x:xf>
    <x:xf numFmtId="201" fontId="3" fillId="23" borderId="5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  <x:dxfs count="48"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ill>
        <x:patternFill>
          <x:bgColor rgb="FFF2F4F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ill>
        <x:patternFill>
          <x:bgColor rgb="FFF2F4F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E4B8"/>
        </x:patternFill>
      </x:fill>
    </x:dxf>
    <x:dxf>
      <x:fill>
        <x:patternFill>
          <x:bgColor rgb="FFF7C7C7"/>
        </x:patternFill>
      </x:fill>
    </x:dxf>
    <x:dxf>
      <x:font>
        <x:b/>
        <x:color rgb="FFC00000"/>
      </x:font>
    </x:dxf>
    <x:dxf>
      <x:font>
        <x:b/>
        <x:color rgb="FF1C5E35"/>
      </x:font>
    </x:dxf>
    <x:dxf>
      <x:font>
        <x:b/>
        <x:color rgb="FF9C271C"/>
      </x:font>
      <x:fill>
        <x:patternFill>
          <x:bgColor rgb="FFE6B8AF"/>
        </x:patternFill>
      </x:fill>
    </x:dxf>
    <x:dxf>
      <x:font>
        <x:b/>
        <x:color rgb="FF8A4B08"/>
      </x:font>
      <x:fill>
        <x:patternFill>
          <x:bgColor rgb="FFFFD966"/>
        </x:patternFill>
      </x:fill>
    </x:dxf>
    <x:dxf>
      <x:fill>
        <x:patternFill>
          <x:bgColor rgb="FFF2F4F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ill>
        <x:patternFill>
          <x:bgColor rgb="FFF2F4F3"/>
        </x:patternFill>
      </x:fill>
    </x:dxf>
    <x:dxf>
      <x:fill>
        <x:patternFill>
          <x:bgColor rgb="FFF2F4F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ill>
        <x:patternFill>
          <x:bgColor rgb="FFF2F4F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4c122000f4239" /><Relationship Type="http://schemas.openxmlformats.org/officeDocument/2006/relationships/theme" Target="/xl/theme/theme1.xml" Id="R7b30fb1958934676" /><Relationship Type="http://schemas.openxmlformats.org/officeDocument/2006/relationships/sharedStrings" Target="/xl/sharedStrings.xml" Id="Rb116e620b15847ea" /><Relationship Type="http://schemas.openxmlformats.org/officeDocument/2006/relationships/worksheet" Target="/xl/worksheets/sheet1.xml" Id="R15e94136b43d4e87" /><Relationship Type="http://schemas.openxmlformats.org/officeDocument/2006/relationships/worksheet" Target="/xl/worksheets/sheet2.xml" Id="R291114aaf5984ab5" /><Relationship Type="http://schemas.openxmlformats.org/officeDocument/2006/relationships/worksheet" Target="/xl/worksheets/sheet3.xml" Id="R2932c968c3e84ff0" /><Relationship Type="http://schemas.openxmlformats.org/officeDocument/2006/relationships/worksheet" Target="/xl/worksheets/sheet4.xml" Id="R9f45be9d72aa46f4" /><Relationship Type="http://schemas.openxmlformats.org/officeDocument/2006/relationships/worksheet" Target="/xl/worksheets/sheet5.xml" Id="R21c4af14cc844e8e" /><Relationship Type="http://schemas.openxmlformats.org/officeDocument/2006/relationships/worksheet" Target="/xl/worksheets/sheet6.xml" Id="R59447e2387f84ff6" /><Relationship Type="http://schemas.openxmlformats.org/officeDocument/2006/relationships/worksheet" Target="/xl/worksheets/sheet7.xml" Id="R3387cd6b22194a0e" /><Relationship Type="http://schemas.openxmlformats.org/officeDocument/2006/relationships/worksheet" Target="/xl/worksheets/sheet8.xml" Id="R35dcd1d7422541e9" /><Relationship Type="http://schemas.openxmlformats.org/officeDocument/2006/relationships/worksheet" Target="/xl/worksheets/sheet9.xml" Id="Rf6bcac0e583347bb" /><Relationship Type="http://schemas.openxmlformats.org/officeDocument/2006/relationships/worksheet" Target="/xl/worksheets/sheet10.xml" Id="R903e7393727547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d868a873554bdb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/>
              <a:t>Inventory Count Outcomes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/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ROWS</c:v>
          </c:tx>
          <c:spPr>
            <a:solidFill xmlns:a="http://schemas.openxmlformats.org/drawingml/2006/main">
              <a:srgbClr val="C7FF00"/>
            </a:solidFill>
          </c:spPr>
          <c:cat>
            <c:strRef>
              <c:f>Dashboard!$A$22:$A$24</c:f>
              <c:strCache>
                <c:ptCount val="3"/>
                <c:pt idx="0">
                  <c:v>Shortage</c:v>
                </c:pt>
                <c:pt idx="1">
                  <c:v>Overage</c:v>
                </c:pt>
                <c:pt idx="2">
                  <c:v>Exact Match</c:v>
                </c:pt>
              </c:strCache>
            </c:strRef>
          </c:cat>
          <c:val>
            <c:numRef>
              <c:f>Dashboard!$B$22:$B$24</c:f>
              <c:numCache>
                <c:formatCode>General</c:formatCode>
                <c:ptCount val="3"/>
                <c:pt idx="0">
                  <c:v>16</c:v>
                </c:pt>
                <c:pt idx="1">
                  <c:v>16</c:v>
                </c:pt>
                <c:pt idx="2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d868a873554b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120f0b6cc0e4d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16" customWidth="1"/>
    <x:col min="3" max="3" width="24" customWidth="1"/>
    <x:col min="4" max="5" width="17" customWidth="1"/>
    <x:col min="6" max="6" width="12.375" customWidth="1"/>
    <x:col min="7" max="7" width="9.125" customWidth="1"/>
    <x:col min="8" max="8" width="9.875" customWidth="1"/>
    <x:col min="9" max="9" width="11.125" customWidth="1"/>
    <x:col min="10" max="11" width="16" customWidth="1"/>
  </x:cols>
  <x:sheetData>
    <x:row r="1" ht="36" customHeight="1">
      <x:c r="A1" s="90" t="s">
        <x:v>0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</x:row>
    <x:row r="2" ht="25" customHeight="1">
      <x:c r="A2" s="91" t="s">
        <x:v>1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3" ht="28" customHeight="1">
      <x:c r="A3" s="93" t="s">
        <x:v>2</x:v>
      </x:c>
      <x:c r="B3" s="93" t="s">
        <x:v>3</x:v>
      </x:c>
      <x:c r="C3" s="93" t="s">
        <x:v>4</x:v>
      </x:c>
      <x:c r="D3" s="93" t="s">
        <x:v>5</x:v>
      </x:c>
      <x:c r="E3" s="93" t="s">
        <x:v>6</x:v>
      </x:c>
      <x:c r="F3" s="93" t="s">
        <x:v>7</x:v>
      </x:c>
      <x:c r="G3" s="93" t="s">
        <x:v>8</x:v>
      </x:c>
      <x:c r="H3" s="93" t="s">
        <x:v>9</x:v>
      </x:c>
      <x:c r="I3" s="93" t="s">
        <x:v>10</x:v>
      </x:c>
      <x:c r="J3" s="93" t="s">
        <x:v>11</x:v>
      </x:c>
      <x:c r="K3" s="93" t="s">
        <x:v>12</x:v>
      </x:c>
    </x:row>
    <x:row r="4" ht="21" customHeight="1">
      <x:c r="A4" s="106">
        <x:v>46235</x:v>
      </x:c>
      <x:c r="B4" s="107" t="s">
        <x:v>13</x:v>
      </x:c>
      <x:c r="C4" s="107" t="s">
        <x:v>14</x:v>
      </x:c>
      <x:c r="D4" s="107" t="s">
        <x:v>15</x:v>
      </x:c>
      <x:c r="E4" s="107" t="s">
        <x:v>16</x:v>
      </x:c>
      <x:c r="F4" s="108">
        <x:v>19</x:v>
      </x:c>
      <x:c r="G4" s="109">
        <x:v>31</x:v>
      </x:c>
      <x:c r="H4" s="109">
        <x:v>29</x:v>
      </x:c>
      <x:c r="I4" s="109">
        <x:v>23</x:v>
      </x:c>
      <x:c r="J4" s="107" t="s">
        <x:v>17</x:v>
      </x:c>
      <x:c r="K4" s="107" t="s">
        <x:v>18</x:v>
      </x:c>
    </x:row>
    <x:row r="5" ht="21" customHeight="1">
      <x:c r="A5" s="110">
        <x:v>46236</x:v>
      </x:c>
      <x:c r="B5" s="111" t="s">
        <x:v>19</x:v>
      </x:c>
      <x:c r="C5" s="111" t="s">
        <x:v>20</x:v>
      </x:c>
      <x:c r="D5" s="111" t="s">
        <x:v>21</x:v>
      </x:c>
      <x:c r="E5" s="111" t="s">
        <x:v>22</x:v>
      </x:c>
      <x:c r="F5" s="112">
        <x:v>26</x:v>
      </x:c>
      <x:c r="G5" s="113">
        <x:v>44</x:v>
      </x:c>
      <x:c r="H5" s="113">
        <x:v>44</x:v>
      </x:c>
      <x:c r="I5" s="113">
        <x:v>26</x:v>
      </x:c>
      <x:c r="J5" s="111" t="s">
        <x:v>23</x:v>
      </x:c>
      <x:c r="K5" s="111" t="s">
        <x:v>24</x:v>
      </x:c>
    </x:row>
    <x:row r="6" ht="21" customHeight="1">
      <x:c r="A6" s="110">
        <x:v>46237</x:v>
      </x:c>
      <x:c r="B6" s="111" t="s">
        <x:v>25</x:v>
      </x:c>
      <x:c r="C6" s="111" t="s">
        <x:v>26</x:v>
      </x:c>
      <x:c r="D6" s="111" t="s">
        <x:v>27</x:v>
      </x:c>
      <x:c r="E6" s="111" t="s">
        <x:v>28</x:v>
      </x:c>
      <x:c r="F6" s="112">
        <x:v>33</x:v>
      </x:c>
      <x:c r="G6" s="113">
        <x:v>57</x:v>
      </x:c>
      <x:c r="H6" s="113">
        <x:v>57</x:v>
      </x:c>
      <x:c r="I6" s="113">
        <x:v>29</x:v>
      </x:c>
      <x:c r="J6" s="111" t="s">
        <x:v>29</x:v>
      </x:c>
      <x:c r="K6" s="111" t="s">
        <x:v>30</x:v>
      </x:c>
    </x:row>
    <x:row r="7" ht="21" customHeight="1">
      <x:c r="A7" s="110">
        <x:v>46238</x:v>
      </x:c>
      <x:c r="B7" s="111" t="s">
        <x:v>31</x:v>
      </x:c>
      <x:c r="C7" s="111" t="s">
        <x:v>32</x:v>
      </x:c>
      <x:c r="D7" s="111" t="s">
        <x:v>33</x:v>
      </x:c>
      <x:c r="E7" s="111" t="s">
        <x:v>34</x:v>
      </x:c>
      <x:c r="F7" s="112">
        <x:v>40</x:v>
      </x:c>
      <x:c r="G7" s="113">
        <x:v>70</x:v>
      </x:c>
      <x:c r="H7" s="113">
        <x:v>70</x:v>
      </x:c>
      <x:c r="I7" s="113">
        <x:v>32</x:v>
      </x:c>
      <x:c r="J7" s="111" t="s">
        <x:v>35</x:v>
      </x:c>
      <x:c r="K7" s="111" t="s">
        <x:v>36</x:v>
      </x:c>
    </x:row>
    <x:row r="8" ht="21" customHeight="1">
      <x:c r="A8" s="110">
        <x:v>46239</x:v>
      </x:c>
      <x:c r="B8" s="111" t="s">
        <x:v>37</x:v>
      </x:c>
      <x:c r="C8" s="111" t="s">
        <x:v>38</x:v>
      </x:c>
      <x:c r="D8" s="111" t="s">
        <x:v>15</x:v>
      </x:c>
      <x:c r="E8" s="111" t="s">
        <x:v>16</x:v>
      </x:c>
      <x:c r="F8" s="112">
        <x:v>47</x:v>
      </x:c>
      <x:c r="G8" s="113">
        <x:v>83</x:v>
      </x:c>
      <x:c r="H8" s="113">
        <x:v>84</x:v>
      </x:c>
      <x:c r="I8" s="113">
        <x:v>35</x:v>
      </x:c>
      <x:c r="J8" s="111" t="s">
        <x:v>17</x:v>
      </x:c>
      <x:c r="K8" s="111" t="s">
        <x:v>39</x:v>
      </x:c>
    </x:row>
    <x:row r="9" ht="21" customHeight="1">
      <x:c r="A9" s="110">
        <x:v>46235</x:v>
      </x:c>
      <x:c r="B9" s="111" t="s">
        <x:v>40</x:v>
      </x:c>
      <x:c r="C9" s="111" t="s">
        <x:v>41</x:v>
      </x:c>
      <x:c r="D9" s="111" t="s">
        <x:v>21</x:v>
      </x:c>
      <x:c r="E9" s="111" t="s">
        <x:v>22</x:v>
      </x:c>
      <x:c r="F9" s="112">
        <x:v>54</x:v>
      </x:c>
      <x:c r="G9" s="113">
        <x:v>96</x:v>
      </x:c>
      <x:c r="H9" s="113">
        <x:v>99</x:v>
      </x:c>
      <x:c r="I9" s="113">
        <x:v>22</x:v>
      </x:c>
      <x:c r="J9" s="111" t="s">
        <x:v>23</x:v>
      </x:c>
      <x:c r="K9" s="111" t="s">
        <x:v>42</x:v>
      </x:c>
    </x:row>
    <x:row r="10" ht="21" customHeight="1">
      <x:c r="A10" s="110">
        <x:v>46236</x:v>
      </x:c>
      <x:c r="B10" s="111" t="s">
        <x:v>43</x:v>
      </x:c>
      <x:c r="C10" s="111" t="s">
        <x:v>44</x:v>
      </x:c>
      <x:c r="D10" s="111" t="s">
        <x:v>27</x:v>
      </x:c>
      <x:c r="E10" s="111" t="s">
        <x:v>28</x:v>
      </x:c>
      <x:c r="F10" s="112">
        <x:v>61</x:v>
      </x:c>
      <x:c r="G10" s="113">
        <x:v>26</x:v>
      </x:c>
      <x:c r="H10" s="113">
        <x:v>22</x:v>
      </x:c>
      <x:c r="I10" s="113">
        <x:v>25</x:v>
      </x:c>
      <x:c r="J10" s="111" t="s">
        <x:v>29</x:v>
      </x:c>
      <x:c r="K10" s="111"/>
    </x:row>
    <x:row r="11" ht="21" customHeight="1">
      <x:c r="A11" s="110">
        <x:v>46237</x:v>
      </x:c>
      <x:c r="B11" s="111" t="s">
        <x:v>45</x:v>
      </x:c>
      <x:c r="C11" s="111" t="s">
        <x:v>46</x:v>
      </x:c>
      <x:c r="D11" s="111" t="s">
        <x:v>33</x:v>
      </x:c>
      <x:c r="E11" s="111" t="s">
        <x:v>34</x:v>
      </x:c>
      <x:c r="F11" s="112">
        <x:v>68</x:v>
      </x:c>
      <x:c r="G11" s="113">
        <x:v>39</x:v>
      </x:c>
      <x:c r="H11" s="113">
        <x:v>37</x:v>
      </x:c>
      <x:c r="I11" s="113">
        <x:v>28</x:v>
      </x:c>
      <x:c r="J11" s="111" t="s">
        <x:v>35</x:v>
      </x:c>
      <x:c r="K11" s="111" t="s">
        <x:v>47</x:v>
      </x:c>
    </x:row>
    <x:row r="12" ht="21" customHeight="1">
      <x:c r="A12" s="110">
        <x:v>46238</x:v>
      </x:c>
      <x:c r="B12" s="111" t="s">
        <x:v>48</x:v>
      </x:c>
      <x:c r="C12" s="111" t="s">
        <x:v>49</x:v>
      </x:c>
      <x:c r="D12" s="111" t="s">
        <x:v>50</x:v>
      </x:c>
      <x:c r="E12" s="111" t="s">
        <x:v>16</x:v>
      </x:c>
      <x:c r="F12" s="112">
        <x:v>75</x:v>
      </x:c>
      <x:c r="G12" s="113">
        <x:v>52</x:v>
      </x:c>
      <x:c r="H12" s="113">
        <x:v>52</x:v>
      </x:c>
      <x:c r="I12" s="113">
        <x:v>31</x:v>
      </x:c>
      <x:c r="J12" s="111" t="s">
        <x:v>17</x:v>
      </x:c>
      <x:c r="K12" s="111" t="s">
        <x:v>51</x:v>
      </x:c>
    </x:row>
    <x:row r="13" ht="21" customHeight="1">
      <x:c r="A13" s="110">
        <x:v>46239</x:v>
      </x:c>
      <x:c r="B13" s="111" t="s">
        <x:v>52</x:v>
      </x:c>
      <x:c r="C13" s="111" t="s">
        <x:v>53</x:v>
      </x:c>
      <x:c r="D13" s="111" t="s">
        <x:v>21</x:v>
      </x:c>
      <x:c r="E13" s="111" t="s">
        <x:v>22</x:v>
      </x:c>
      <x:c r="F13" s="112">
        <x:v>82</x:v>
      </x:c>
      <x:c r="G13" s="113">
        <x:v>65</x:v>
      </x:c>
      <x:c r="H13" s="113">
        <x:v>65</x:v>
      </x:c>
      <x:c r="I13" s="113">
        <x:v>34</x:v>
      </x:c>
      <x:c r="J13" s="111" t="s">
        <x:v>23</x:v>
      </x:c>
      <x:c r="K13" s="111" t="s">
        <x:v>54</x:v>
      </x:c>
    </x:row>
    <x:row r="14" ht="21" customHeight="1">
      <x:c r="A14" s="110">
        <x:v>46235</x:v>
      </x:c>
      <x:c r="B14" s="111" t="s">
        <x:v>55</x:v>
      </x:c>
      <x:c r="C14" s="111" t="s">
        <x:v>56</x:v>
      </x:c>
      <x:c r="D14" s="111" t="s">
        <x:v>57</x:v>
      </x:c>
      <x:c r="E14" s="111" t="s">
        <x:v>28</x:v>
      </x:c>
      <x:c r="F14" s="112">
        <x:v>16</x:v>
      </x:c>
      <x:c r="G14" s="113">
        <x:v>78</x:v>
      </x:c>
      <x:c r="H14" s="113">
        <x:v>78</x:v>
      </x:c>
      <x:c r="I14" s="113">
        <x:v>21</x:v>
      </x:c>
      <x:c r="J14" s="111" t="s">
        <x:v>29</x:v>
      </x:c>
      <x:c r="K14" s="111" t="s">
        <x:v>58</x:v>
      </x:c>
    </x:row>
    <x:row r="15" ht="21" customHeight="1">
      <x:c r="A15" s="110">
        <x:v>46236</x:v>
      </x:c>
      <x:c r="B15" s="111" t="s">
        <x:v>59</x:v>
      </x:c>
      <x:c r="C15" s="111" t="s">
        <x:v>60</x:v>
      </x:c>
      <x:c r="D15" s="111" t="s">
        <x:v>33</x:v>
      </x:c>
      <x:c r="E15" s="111" t="s">
        <x:v>34</x:v>
      </x:c>
      <x:c r="F15" s="112">
        <x:v>23</x:v>
      </x:c>
      <x:c r="G15" s="113">
        <x:v>91</x:v>
      </x:c>
      <x:c r="H15" s="113">
        <x:v>92</x:v>
      </x:c>
      <x:c r="I15" s="113">
        <x:v>24</x:v>
      </x:c>
      <x:c r="J15" s="111" t="s">
        <x:v>35</x:v>
      </x:c>
      <x:c r="K15" s="111" t="s">
        <x:v>61</x:v>
      </x:c>
    </x:row>
    <x:row r="16" ht="21" customHeight="1">
      <x:c r="A16" s="110">
        <x:v>46237</x:v>
      </x:c>
      <x:c r="B16" s="111" t="s">
        <x:v>62</x:v>
      </x:c>
      <x:c r="C16" s="111" t="s">
        <x:v>63</x:v>
      </x:c>
      <x:c r="D16" s="111" t="s">
        <x:v>15</x:v>
      </x:c>
      <x:c r="E16" s="111" t="s">
        <x:v>64</x:v>
      </x:c>
      <x:c r="F16" s="112">
        <x:v>30</x:v>
      </x:c>
      <x:c r="G16" s="113">
        <x:v>21</x:v>
      </x:c>
      <x:c r="H16" s="113">
        <x:v>24</x:v>
      </x:c>
      <x:c r="I16" s="113">
        <x:v>27</x:v>
      </x:c>
      <x:c r="J16" s="111" t="s">
        <x:v>17</x:v>
      </x:c>
      <x:c r="K16" s="111" t="s">
        <x:v>65</x:v>
      </x:c>
    </x:row>
    <x:row r="17" ht="21" customHeight="1">
      <x:c r="A17" s="110">
        <x:v>46238</x:v>
      </x:c>
      <x:c r="B17" s="111" t="s">
        <x:v>62</x:v>
      </x:c>
      <x:c r="C17" s="111" t="s">
        <x:v>66</x:v>
      </x:c>
      <x:c r="D17" s="111" t="s">
        <x:v>21</x:v>
      </x:c>
      <x:c r="E17" s="111" t="s">
        <x:v>22</x:v>
      </x:c>
      <x:c r="F17" s="112">
        <x:v>37</x:v>
      </x:c>
      <x:c r="G17" s="113">
        <x:v>34</x:v>
      </x:c>
      <x:c r="H17" s="113">
        <x:v>30</x:v>
      </x:c>
      <x:c r="I17" s="113">
        <x:v>30</x:v>
      </x:c>
      <x:c r="J17" s="111" t="s">
        <x:v>23</x:v>
      </x:c>
      <x:c r="K17" s="111" t="s">
        <x:v>67</x:v>
      </x:c>
    </x:row>
    <x:row r="18" ht="21" customHeight="1">
      <x:c r="A18" s="110">
        <x:v>46239</x:v>
      </x:c>
      <x:c r="B18" s="111" t="s">
        <x:v>68</x:v>
      </x:c>
      <x:c r="C18" s="111" t="s">
        <x:v>69</x:v>
      </x:c>
      <x:c r="D18" s="111" t="s">
        <x:v>27</x:v>
      </x:c>
      <x:c r="E18" s="111" t="s">
        <x:v>28</x:v>
      </x:c>
      <x:c r="F18" s="112">
        <x:v>44</x:v>
      </x:c>
      <x:c r="G18" s="113">
        <x:v>47</x:v>
      </x:c>
      <x:c r="H18" s="113">
        <x:v>45</x:v>
      </x:c>
      <x:c r="I18" s="113">
        <x:v>33</x:v>
      </x:c>
      <x:c r="J18" s="111" t="s">
        <x:v>29</x:v>
      </x:c>
      <x:c r="K18" s="111" t="s">
        <x:v>70</x:v>
      </x:c>
    </x:row>
    <x:row r="19" ht="21" customHeight="1">
      <x:c r="A19" s="110">
        <x:v>46235</x:v>
      </x:c>
      <x:c r="B19" s="111" t="s">
        <x:v>71</x:v>
      </x:c>
      <x:c r="C19" s="111" t="s">
        <x:v>72</x:v>
      </x:c>
      <x:c r="D19" s="111" t="s">
        <x:v>33</x:v>
      </x:c>
      <x:c r="E19" s="111" t="s">
        <x:v>34</x:v>
      </x:c>
      <x:c r="F19" s="112">
        <x:v>51</x:v>
      </x:c>
      <x:c r="G19" s="113">
        <x:v>60</x:v>
      </x:c>
      <x:c r="H19" s="113">
        <x:v>60</x:v>
      </x:c>
      <x:c r="I19" s="113">
        <x:v>20</x:v>
      </x:c>
      <x:c r="J19" s="111" t="s">
        <x:v>35</x:v>
      </x:c>
      <x:c r="K19" s="111" t="s">
        <x:v>73</x:v>
      </x:c>
    </x:row>
    <x:row r="20" ht="21" customHeight="1">
      <x:c r="A20" s="110">
        <x:v>46236</x:v>
      </x:c>
      <x:c r="B20" s="111" t="s">
        <x:v>74</x:v>
      </x:c>
      <x:c r="C20" s="111" t="s">
        <x:v>75</x:v>
      </x:c>
      <x:c r="D20" s="111" t="s">
        <x:v>15</x:v>
      </x:c>
      <x:c r="E20" s="111" t="s">
        <x:v>16</x:v>
      </x:c>
      <x:c r="F20" s="112">
        <x:v>58</x:v>
      </x:c>
      <x:c r="G20" s="113">
        <x:v>73</x:v>
      </x:c>
      <x:c r="H20" s="113">
        <x:v>73</x:v>
      </x:c>
      <x:c r="I20" s="113">
        <x:v>23</x:v>
      </x:c>
      <x:c r="J20" s="111" t="s">
        <x:v>17</x:v>
      </x:c>
      <x:c r="K20" s="111" t="s">
        <x:v>76</x:v>
      </x:c>
    </x:row>
    <x:row r="21" ht="21" customHeight="1">
      <x:c r="A21" s="110">
        <x:v>46237</x:v>
      </x:c>
      <x:c r="B21" s="111" t="s">
        <x:v>77</x:v>
      </x:c>
      <x:c r="C21" s="111" t="s">
        <x:v>78</x:v>
      </x:c>
      <x:c r="D21" s="111" t="s">
        <x:v>21</x:v>
      </x:c>
      <x:c r="E21" s="111" t="s">
        <x:v>22</x:v>
      </x:c>
      <x:c r="F21" s="112">
        <x:v>65</x:v>
      </x:c>
      <x:c r="G21" s="113">
        <x:v>86</x:v>
      </x:c>
      <x:c r="H21" s="113"/>
      <x:c r="I21" s="113">
        <x:v>26</x:v>
      </x:c>
      <x:c r="J21" s="111" t="s">
        <x:v>23</x:v>
      </x:c>
      <x:c r="K21" s="111" t="s">
        <x:v>79</x:v>
      </x:c>
    </x:row>
    <x:row r="22" ht="21" customHeight="1">
      <x:c r="A22" s="110">
        <x:v>46238</x:v>
      </x:c>
      <x:c r="B22" s="111" t="s">
        <x:v>80</x:v>
      </x:c>
      <x:c r="C22" s="111" t="s">
        <x:v>81</x:v>
      </x:c>
      <x:c r="D22" s="111" t="s">
        <x:v>27</x:v>
      </x:c>
      <x:c r="E22" s="111" t="s">
        <x:v>28</x:v>
      </x:c>
      <x:c r="F22" s="112">
        <x:v>72</x:v>
      </x:c>
      <x:c r="G22" s="113">
        <x:v>99</x:v>
      </x:c>
      <x:c r="H22" s="113">
        <x:v>100</x:v>
      </x:c>
      <x:c r="I22" s="113">
        <x:v>29</x:v>
      </x:c>
      <x:c r="J22" s="111" t="s">
        <x:v>29</x:v>
      </x:c>
      <x:c r="K22" s="111" t="s">
        <x:v>82</x:v>
      </x:c>
    </x:row>
    <x:row r="23" ht="21" customHeight="1">
      <x:c r="A23" s="110">
        <x:v>46239</x:v>
      </x:c>
      <x:c r="B23" s="111" t="s">
        <x:v>83</x:v>
      </x:c>
      <x:c r="C23" s="111" t="s">
        <x:v>84</x:v>
      </x:c>
      <x:c r="D23" s="111" t="s">
        <x:v>33</x:v>
      </x:c>
      <x:c r="E23" s="111" t="s">
        <x:v>34</x:v>
      </x:c>
      <x:c r="F23" s="112">
        <x:v>79</x:v>
      </x:c>
      <x:c r="G23" s="113">
        <x:v>29</x:v>
      </x:c>
      <x:c r="H23" s="113">
        <x:v>32</x:v>
      </x:c>
      <x:c r="I23" s="113">
        <x:v>32</x:v>
      </x:c>
      <x:c r="J23" s="111" t="s">
        <x:v>35</x:v>
      </x:c>
      <x:c r="K23" s="111" t="s">
        <x:v>85</x:v>
      </x:c>
    </x:row>
    <x:row r="24" ht="21" customHeight="1">
      <x:c r="A24" s="110">
        <x:v>46235</x:v>
      </x:c>
      <x:c r="B24" s="111" t="s">
        <x:v>86</x:v>
      </x:c>
      <x:c r="C24" s="111" t="s">
        <x:v>87</x:v>
      </x:c>
      <x:c r="D24" s="111" t="s">
        <x:v>15</x:v>
      </x:c>
      <x:c r="E24" s="111" t="s">
        <x:v>16</x:v>
      </x:c>
      <x:c r="F24" s="112">
        <x:v>13</x:v>
      </x:c>
      <x:c r="G24" s="113">
        <x:v>42</x:v>
      </x:c>
      <x:c r="H24" s="113">
        <x:v>38</x:v>
      </x:c>
      <x:c r="I24" s="113">
        <x:v>35</x:v>
      </x:c>
      <x:c r="J24" s="111" t="s">
        <x:v>17</x:v>
      </x:c>
      <x:c r="K24" s="111" t="s">
        <x:v>88</x:v>
      </x:c>
    </x:row>
    <x:row r="25" ht="21" customHeight="1">
      <x:c r="A25" s="110">
        <x:v>46236</x:v>
      </x:c>
      <x:c r="B25" s="111" t="s">
        <x:v>89</x:v>
      </x:c>
      <x:c r="C25" s="111" t="s">
        <x:v>90</x:v>
      </x:c>
      <x:c r="D25" s="111" t="s">
        <x:v>91</x:v>
      </x:c>
      <x:c r="E25" s="111" t="s">
        <x:v>22</x:v>
      </x:c>
      <x:c r="F25" s="112">
        <x:v>-18</x:v>
      </x:c>
      <x:c r="G25" s="113">
        <x:v>55</x:v>
      </x:c>
      <x:c r="H25" s="113">
        <x:v>53</x:v>
      </x:c>
      <x:c r="I25" s="113">
        <x:v>22</x:v>
      </x:c>
      <x:c r="J25" s="111" t="s">
        <x:v>23</x:v>
      </x:c>
      <x:c r="K25" s="111" t="s">
        <x:v>92</x:v>
      </x:c>
    </x:row>
    <x:row r="26" ht="21" customHeight="1">
      <x:c r="A26" s="110">
        <x:v>46237</x:v>
      </x:c>
      <x:c r="B26" s="111" t="s">
        <x:v>93</x:v>
      </x:c>
      <x:c r="C26" s="111" t="s">
        <x:v>94</x:v>
      </x:c>
      <x:c r="D26" s="111" t="s">
        <x:v>27</x:v>
      </x:c>
      <x:c r="E26" s="111" t="s">
        <x:v>28</x:v>
      </x:c>
      <x:c r="F26" s="112">
        <x:v>27</x:v>
      </x:c>
      <x:c r="G26" s="113">
        <x:v>68</x:v>
      </x:c>
      <x:c r="H26" s="113">
        <x:v>68</x:v>
      </x:c>
      <x:c r="I26" s="113">
        <x:v>25</x:v>
      </x:c>
      <x:c r="J26" s="111" t="s">
        <x:v>29</x:v>
      </x:c>
      <x:c r="K26" s="111" t="s">
        <x:v>95</x:v>
      </x:c>
    </x:row>
    <x:row r="27" ht="21" customHeight="1">
      <x:c r="A27" s="110">
        <x:v>46238</x:v>
      </x:c>
      <x:c r="B27" s="111" t="s">
        <x:v>96</x:v>
      </x:c>
      <x:c r="C27" s="111" t="s">
        <x:v>97</x:v>
      </x:c>
      <x:c r="D27" s="111" t="s">
        <x:v>33</x:v>
      </x:c>
      <x:c r="E27" s="111" t="s">
        <x:v>34</x:v>
      </x:c>
      <x:c r="F27" s="112">
        <x:v>34</x:v>
      </x:c>
      <x:c r="G27" s="113">
        <x:v>81</x:v>
      </x:c>
      <x:c r="H27" s="113">
        <x:v>81</x:v>
      </x:c>
      <x:c r="I27" s="113">
        <x:v>28</x:v>
      </x:c>
      <x:c r="J27" s="111" t="s">
        <x:v>35</x:v>
      </x:c>
      <x:c r="K27" s="111" t="s">
        <x:v>98</x:v>
      </x:c>
    </x:row>
    <x:row r="28" ht="21" customHeight="1">
      <x:c r="A28" s="110">
        <x:v>46239</x:v>
      </x:c>
      <x:c r="B28" s="111" t="s">
        <x:v>99</x:v>
      </x:c>
      <x:c r="C28" s="111" t="s">
        <x:v>100</x:v>
      </x:c>
      <x:c r="D28" s="111" t="s">
        <x:v>15</x:v>
      </x:c>
      <x:c r="E28" s="111" t="s">
        <x:v>16</x:v>
      </x:c>
      <x:c r="F28" s="112">
        <x:v>41</x:v>
      </x:c>
      <x:c r="G28" s="113">
        <x:v>94</x:v>
      </x:c>
      <x:c r="H28" s="113">
        <x:v>94</x:v>
      </x:c>
      <x:c r="I28" s="113">
        <x:v>31</x:v>
      </x:c>
      <x:c r="J28" s="111" t="s">
        <x:v>17</x:v>
      </x:c>
      <x:c r="K28" s="111" t="s">
        <x:v>101</x:v>
      </x:c>
    </x:row>
    <x:row r="29" ht="21" customHeight="1">
      <x:c r="A29" s="110">
        <x:v>46235</x:v>
      </x:c>
      <x:c r="B29" s="111" t="s">
        <x:v>102</x:v>
      </x:c>
      <x:c r="C29" s="111" t="s">
        <x:v>103</x:v>
      </x:c>
      <x:c r="D29" s="111" t="s">
        <x:v>21</x:v>
      </x:c>
      <x:c r="E29" s="111" t="s">
        <x:v>104</x:v>
      </x:c>
      <x:c r="F29" s="112">
        <x:v>48</x:v>
      </x:c>
      <x:c r="G29" s="113">
        <x:v>24</x:v>
      </x:c>
      <x:c r="H29" s="113">
        <x:v>25</x:v>
      </x:c>
      <x:c r="I29" s="113">
        <x:v>34</x:v>
      </x:c>
      <x:c r="J29" s="111" t="s">
        <x:v>23</x:v>
      </x:c>
      <x:c r="K29" s="111" t="s">
        <x:v>105</x:v>
      </x:c>
    </x:row>
    <x:row r="30" ht="21" customHeight="1">
      <x:c r="A30" s="110">
        <x:v>46236</x:v>
      </x:c>
      <x:c r="B30" s="111" t="s">
        <x:v>106</x:v>
      </x:c>
      <x:c r="C30" s="111" t="s">
        <x:v>107</x:v>
      </x:c>
      <x:c r="D30" s="111" t="s">
        <x:v>27</x:v>
      </x:c>
      <x:c r="E30" s="111" t="s">
        <x:v>108</x:v>
      </x:c>
      <x:c r="F30" s="112">
        <x:v>55</x:v>
      </x:c>
      <x:c r="G30" s="113">
        <x:v>37</x:v>
      </x:c>
      <x:c r="H30" s="113">
        <x:v>40</x:v>
      </x:c>
      <x:c r="I30" s="113">
        <x:v>21</x:v>
      </x:c>
      <x:c r="J30" s="111" t="s">
        <x:v>29</x:v>
      </x:c>
      <x:c r="K30" s="111" t="s">
        <x:v>109</x:v>
      </x:c>
    </x:row>
    <x:row r="31" ht="21" customHeight="1">
      <x:c r="A31" s="110">
        <x:v>46237</x:v>
      </x:c>
      <x:c r="B31" s="111" t="s">
        <x:v>110</x:v>
      </x:c>
      <x:c r="C31" s="111" t="s">
        <x:v>111</x:v>
      </x:c>
      <x:c r="D31" s="111" t="s">
        <x:v>33</x:v>
      </x:c>
      <x:c r="E31" s="111" t="s">
        <x:v>34</x:v>
      </x:c>
      <x:c r="F31" s="112">
        <x:v>62</x:v>
      </x:c>
      <x:c r="G31" s="113">
        <x:v>50</x:v>
      </x:c>
      <x:c r="H31" s="113">
        <x:v>46</x:v>
      </x:c>
      <x:c r="I31" s="113">
        <x:v>24</x:v>
      </x:c>
      <x:c r="J31" s="111" t="s">
        <x:v>35</x:v>
      </x:c>
      <x:c r="K31" s="111" t="s">
        <x:v>112</x:v>
      </x:c>
    </x:row>
    <x:row r="32" ht="21" customHeight="1">
      <x:c r="A32" s="110">
        <x:v>46238</x:v>
      </x:c>
      <x:c r="B32" s="111" t="s">
        <x:v>113</x:v>
      </x:c>
      <x:c r="C32" s="111" t="s">
        <x:v>114</x:v>
      </x:c>
      <x:c r="D32" s="111" t="s">
        <x:v>15</x:v>
      </x:c>
      <x:c r="E32" s="111" t="s">
        <x:v>16</x:v>
      </x:c>
      <x:c r="F32" s="112">
        <x:v>69</x:v>
      </x:c>
      <x:c r="G32" s="113">
        <x:v>63</x:v>
      </x:c>
      <x:c r="H32" s="113">
        <x:v>61</x:v>
      </x:c>
      <x:c r="I32" s="113">
        <x:v>27</x:v>
      </x:c>
      <x:c r="J32" s="111" t="s">
        <x:v>17</x:v>
      </x:c>
      <x:c r="K32" s="111" t="s">
        <x:v>115</x:v>
      </x:c>
    </x:row>
    <x:row r="33" ht="21" customHeight="1">
      <x:c r="A33" s="110">
        <x:v>46239</x:v>
      </x:c>
      <x:c r="B33" s="111" t="s">
        <x:v>116</x:v>
      </x:c>
      <x:c r="C33" s="111" t="s">
        <x:v>117</x:v>
      </x:c>
      <x:c r="D33" s="111" t="s">
        <x:v>21</x:v>
      </x:c>
      <x:c r="E33" s="111" t="s">
        <x:v>22</x:v>
      </x:c>
      <x:c r="F33" s="112">
        <x:v>76</x:v>
      </x:c>
      <x:c r="G33" s="113">
        <x:v>76</x:v>
      </x:c>
      <x:c r="H33" s="113">
        <x:v>76</x:v>
      </x:c>
      <x:c r="I33" s="113">
        <x:v>30</x:v>
      </x:c>
      <x:c r="J33" s="111" t="s">
        <x:v>23</x:v>
      </x:c>
      <x:c r="K33" s="111" t="s">
        <x:v>118</x:v>
      </x:c>
    </x:row>
    <x:row r="34" ht="21" customHeight="1">
      <x:c r="A34" s="110">
        <x:v>46235</x:v>
      </x:c>
      <x:c r="B34" s="111" t="s">
        <x:v>119</x:v>
      </x:c>
      <x:c r="C34" s="111" t="s">
        <x:v>120</x:v>
      </x:c>
      <x:c r="D34" s="111" t="s">
        <x:v>27</x:v>
      </x:c>
      <x:c r="E34" s="111" t="s">
        <x:v>28</x:v>
      </x:c>
      <x:c r="F34" s="112">
        <x:v>83</x:v>
      </x:c>
      <x:c r="G34" s="113">
        <x:v>-4</x:v>
      </x:c>
      <x:c r="H34" s="113">
        <x:v>12</x:v>
      </x:c>
      <x:c r="I34" s="113">
        <x:v>33</x:v>
      </x:c>
      <x:c r="J34" s="111" t="s">
        <x:v>29</x:v>
      </x:c>
      <x:c r="K34" s="111" t="s">
        <x:v>121</x:v>
      </x:c>
    </x:row>
    <x:row r="35" ht="21" customHeight="1">
      <x:c r="A35" s="110">
        <x:v>46236</x:v>
      </x:c>
      <x:c r="B35" s="111" t="s">
        <x:v>122</x:v>
      </x:c>
      <x:c r="C35" s="111" t="s">
        <x:v>123</x:v>
      </x:c>
      <x:c r="D35" s="111" t="s">
        <x:v>33</x:v>
      </x:c>
      <x:c r="E35" s="111" t="s">
        <x:v>34</x:v>
      </x:c>
      <x:c r="F35" s="112">
        <x:v>17</x:v>
      </x:c>
      <x:c r="G35" s="113">
        <x:v>19</x:v>
      </x:c>
      <x:c r="H35" s="113">
        <x:v>19</x:v>
      </x:c>
      <x:c r="I35" s="113">
        <x:v>20</x:v>
      </x:c>
      <x:c r="J35" s="111" t="s">
        <x:v>35</x:v>
      </x:c>
      <x:c r="K35" s="111" t="s">
        <x:v>124</x:v>
      </x:c>
    </x:row>
    <x:row r="36" ht="21" customHeight="1">
      <x:c r="A36" s="110">
        <x:v>46237</x:v>
      </x:c>
      <x:c r="B36" s="111" t="s">
        <x:v>125</x:v>
      </x:c>
      <x:c r="C36" s="111" t="s">
        <x:v>126</x:v>
      </x:c>
      <x:c r="D36" s="111" t="s">
        <x:v>127</x:v>
      </x:c>
      <x:c r="E36" s="111" t="s">
        <x:v>16</x:v>
      </x:c>
      <x:c r="F36" s="112">
        <x:v>24</x:v>
      </x:c>
      <x:c r="G36" s="113">
        <x:v>32</x:v>
      </x:c>
      <x:c r="H36" s="113">
        <x:v>33</x:v>
      </x:c>
      <x:c r="I36" s="113">
        <x:v>23</x:v>
      </x:c>
      <x:c r="J36" s="111" t="s">
        <x:v>17</x:v>
      </x:c>
      <x:c r="K36" s="111" t="s">
        <x:v>128</x:v>
      </x:c>
    </x:row>
    <x:row r="37" ht="21" customHeight="1">
      <x:c r="A37" s="110">
        <x:v>46238</x:v>
      </x:c>
      <x:c r="B37" s="111" t="s">
        <x:v>129</x:v>
      </x:c>
      <x:c r="C37" s="111" t="s">
        <x:v>130</x:v>
      </x:c>
      <x:c r="D37" s="111" t="s">
        <x:v>21</x:v>
      </x:c>
      <x:c r="E37" s="111" t="s">
        <x:v>22</x:v>
      </x:c>
      <x:c r="F37" s="112">
        <x:v>31</x:v>
      </x:c>
      <x:c r="G37" s="113">
        <x:v>45</x:v>
      </x:c>
      <x:c r="H37" s="113">
        <x:v>48</x:v>
      </x:c>
      <x:c r="I37" s="113">
        <x:v>26</x:v>
      </x:c>
      <x:c r="J37" s="111" t="s">
        <x:v>23</x:v>
      </x:c>
      <x:c r="K37" s="111" t="s">
        <x:v>131</x:v>
      </x:c>
    </x:row>
    <x:row r="38" ht="21" customHeight="1">
      <x:c r="A38" s="110">
        <x:v>46239</x:v>
      </x:c>
      <x:c r="B38" s="111" t="s">
        <x:v>132</x:v>
      </x:c>
      <x:c r="C38" s="111" t="s">
        <x:v>133</x:v>
      </x:c>
      <x:c r="D38" s="111" t="s">
        <x:v>27</x:v>
      </x:c>
      <x:c r="E38" s="111" t="s">
        <x:v>28</x:v>
      </x:c>
      <x:c r="F38" s="112">
        <x:v>38</x:v>
      </x:c>
      <x:c r="G38" s="113">
        <x:v>58</x:v>
      </x:c>
      <x:c r="H38" s="113">
        <x:v>54</x:v>
      </x:c>
      <x:c r="I38" s="113">
        <x:v>29</x:v>
      </x:c>
      <x:c r="J38" s="111" t="s">
        <x:v>29</x:v>
      </x:c>
      <x:c r="K38" s="111" t="s">
        <x:v>134</x:v>
      </x:c>
    </x:row>
    <x:row r="39" ht="21" customHeight="1">
      <x:c r="A39" s="110">
        <x:v>46235</x:v>
      </x:c>
      <x:c r="B39" s="111" t="s">
        <x:v>135</x:v>
      </x:c>
      <x:c r="C39" s="111" t="s">
        <x:v>136</x:v>
      </x:c>
      <x:c r="D39" s="111" t="s">
        <x:v>33</x:v>
      </x:c>
      <x:c r="E39" s="111" t="s">
        <x:v>34</x:v>
      </x:c>
      <x:c r="F39" s="112">
        <x:v>45</x:v>
      </x:c>
      <x:c r="G39" s="113">
        <x:v>71</x:v>
      </x:c>
      <x:c r="H39" s="113">
        <x:v>69</x:v>
      </x:c>
      <x:c r="I39" s="113">
        <x:v>32</x:v>
      </x:c>
      <x:c r="J39" s="111" t="s">
        <x:v>35</x:v>
      </x:c>
      <x:c r="K39" s="111"/>
    </x:row>
    <x:row r="40" ht="21" customHeight="1">
      <x:c r="A40" s="110">
        <x:v>46236</x:v>
      </x:c>
      <x:c r="B40" s="111" t="s">
        <x:v>137</x:v>
      </x:c>
      <x:c r="C40" s="111" t="s">
        <x:v>138</x:v>
      </x:c>
      <x:c r="D40" s="111" t="s">
        <x:v>15</x:v>
      </x:c>
      <x:c r="E40" s="111" t="s">
        <x:v>16</x:v>
      </x:c>
      <x:c r="F40" s="112">
        <x:v>52</x:v>
      </x:c>
      <x:c r="G40" s="113">
        <x:v>84</x:v>
      </x:c>
      <x:c r="H40" s="113">
        <x:v>84</x:v>
      </x:c>
      <x:c r="I40" s="113">
        <x:v>35</x:v>
      </x:c>
      <x:c r="J40" s="111" t="s">
        <x:v>17</x:v>
      </x:c>
      <x:c r="K40" s="111" t="s">
        <x:v>139</x:v>
      </x:c>
    </x:row>
    <x:row r="41" ht="21" customHeight="1">
      <x:c r="A41" s="110">
        <x:v>46237</x:v>
      </x:c>
      <x:c r="B41" s="111" t="s">
        <x:v>140</x:v>
      </x:c>
      <x:c r="C41" s="111" t="s">
        <x:v>141</x:v>
      </x:c>
      <x:c r="D41" s="111" t="s">
        <x:v>21</x:v>
      </x:c>
      <x:c r="E41" s="111" t="s">
        <x:v>22</x:v>
      </x:c>
      <x:c r="F41" s="112">
        <x:v>59</x:v>
      </x:c>
      <x:c r="G41" s="113">
        <x:v>97</x:v>
      </x:c>
      <x:c r="H41" s="113">
        <x:v>97</x:v>
      </x:c>
      <x:c r="I41" s="113">
        <x:v>22</x:v>
      </x:c>
      <x:c r="J41" s="111" t="s">
        <x:v>23</x:v>
      </x:c>
      <x:c r="K41" s="111" t="s">
        <x:v>142</x:v>
      </x:c>
    </x:row>
    <x:row r="42" ht="21" customHeight="1">
      <x:c r="A42" s="110">
        <x:v>46238</x:v>
      </x:c>
      <x:c r="B42" s="111" t="s">
        <x:v>143</x:v>
      </x:c>
      <x:c r="C42" s="111" t="s">
        <x:v>144</x:v>
      </x:c>
      <x:c r="D42" s="111" t="s">
        <x:v>27</x:v>
      </x:c>
      <x:c r="E42" s="111" t="s">
        <x:v>145</x:v>
      </x:c>
      <x:c r="F42" s="112">
        <x:v>66</x:v>
      </x:c>
      <x:c r="G42" s="113">
        <x:v>27</x:v>
      </x:c>
      <x:c r="H42" s="113">
        <x:v>27</x:v>
      </x:c>
      <x:c r="I42" s="113">
        <x:v>25</x:v>
      </x:c>
      <x:c r="J42" s="111" t="s">
        <x:v>29</x:v>
      </x:c>
      <x:c r="K42" s="111" t="s">
        <x:v>146</x:v>
      </x:c>
    </x:row>
    <x:row r="43" ht="21" customHeight="1">
      <x:c r="A43" s="110">
        <x:v>46239</x:v>
      </x:c>
      <x:c r="B43" s="111" t="s">
        <x:v>147</x:v>
      </x:c>
      <x:c r="C43" s="111" t="s">
        <x:v>148</x:v>
      </x:c>
      <x:c r="D43" s="111" t="s">
        <x:v>33</x:v>
      </x:c>
      <x:c r="E43" s="111" t="s">
        <x:v>34</x:v>
      </x:c>
      <x:c r="F43" s="112">
        <x:v>73</x:v>
      </x:c>
      <x:c r="G43" s="113">
        <x:v>40</x:v>
      </x:c>
      <x:c r="H43" s="113">
        <x:v>41</x:v>
      </x:c>
      <x:c r="I43" s="113">
        <x:v>28</x:v>
      </x:c>
      <x:c r="J43" s="111" t="s">
        <x:v>35</x:v>
      </x:c>
      <x:c r="K43" s="111" t="s">
        <x:v>149</x:v>
      </x:c>
    </x:row>
    <x:row r="44" ht="21" customHeight="1">
      <x:c r="A44" s="110">
        <x:v>46235</x:v>
      </x:c>
      <x:c r="B44" s="111" t="s">
        <x:v>150</x:v>
      </x:c>
      <x:c r="C44" s="111" t="s">
        <x:v>151</x:v>
      </x:c>
      <x:c r="D44" s="111" t="s">
        <x:v>15</x:v>
      </x:c>
      <x:c r="E44" s="111" t="s">
        <x:v>16</x:v>
      </x:c>
      <x:c r="F44" s="112">
        <x:v>80</x:v>
      </x:c>
      <x:c r="G44" s="113">
        <x:v>53</x:v>
      </x:c>
      <x:c r="H44" s="113">
        <x:v>56</x:v>
      </x:c>
      <x:c r="I44" s="113">
        <x:v>31</x:v>
      </x:c>
      <x:c r="J44" s="111" t="s">
        <x:v>17</x:v>
      </x:c>
      <x:c r="K44" s="111" t="s">
        <x:v>152</x:v>
      </x:c>
    </x:row>
    <x:row r="45" ht="21" customHeight="1">
      <x:c r="A45" s="110">
        <x:v>46236</x:v>
      </x:c>
      <x:c r="B45" s="111" t="s">
        <x:v>150</x:v>
      </x:c>
      <x:c r="C45" s="111" t="s">
        <x:v>153</x:v>
      </x:c>
      <x:c r="D45" s="111" t="s">
        <x:v>21</x:v>
      </x:c>
      <x:c r="E45" s="111" t="s">
        <x:v>22</x:v>
      </x:c>
      <x:c r="F45" s="112">
        <x:v>14</x:v>
      </x:c>
      <x:c r="G45" s="113">
        <x:v>66</x:v>
      </x:c>
      <x:c r="H45" s="113">
        <x:v>62</x:v>
      </x:c>
      <x:c r="I45" s="113">
        <x:v>34</x:v>
      </x:c>
      <x:c r="J45" s="111" t="s">
        <x:v>23</x:v>
      </x:c>
      <x:c r="K45" s="111" t="s">
        <x:v>154</x:v>
      </x:c>
    </x:row>
    <x:row r="46" ht="21" customHeight="1">
      <x:c r="A46" s="110">
        <x:v>46237</x:v>
      </x:c>
      <x:c r="B46" s="111" t="s">
        <x:v>155</x:v>
      </x:c>
      <x:c r="C46" s="111" t="s">
        <x:v>156</x:v>
      </x:c>
      <x:c r="D46" s="111" t="s">
        <x:v>27</x:v>
      </x:c>
      <x:c r="E46" s="111" t="s">
        <x:v>28</x:v>
      </x:c>
      <x:c r="F46" s="112">
        <x:v>21</x:v>
      </x:c>
      <x:c r="G46" s="113">
        <x:v>79</x:v>
      </x:c>
      <x:c r="H46" s="113">
        <x:v>77</x:v>
      </x:c>
      <x:c r="I46" s="113">
        <x:v>21</x:v>
      </x:c>
      <x:c r="J46" s="111" t="s">
        <x:v>29</x:v>
      </x:c>
      <x:c r="K46" s="111" t="s">
        <x:v>157</x:v>
      </x:c>
    </x:row>
    <x:row r="47" ht="21" customHeight="1">
      <x:c r="A47" s="110">
        <x:v>46238</x:v>
      </x:c>
      <x:c r="B47" s="111" t="s">
        <x:v>158</x:v>
      </x:c>
      <x:c r="C47" s="111" t="s">
        <x:v>159</x:v>
      </x:c>
      <x:c r="D47" s="111" t="s">
        <x:v>160</x:v>
      </x:c>
      <x:c r="E47" s="111" t="s">
        <x:v>34</x:v>
      </x:c>
      <x:c r="F47" s="112">
        <x:v>28</x:v>
      </x:c>
      <x:c r="G47" s="113">
        <x:v>92</x:v>
      </x:c>
      <x:c r="H47" s="113">
        <x:v>92</x:v>
      </x:c>
      <x:c r="I47" s="113">
        <x:v>24</x:v>
      </x:c>
      <x:c r="J47" s="111" t="s">
        <x:v>35</x:v>
      </x:c>
      <x:c r="K47" s="111" t="s">
        <x:v>161</x:v>
      </x:c>
    </x:row>
    <x:row r="48" ht="21" customHeight="1">
      <x:c r="A48" s="110">
        <x:v>46239</x:v>
      </x:c>
      <x:c r="B48" s="111" t="s">
        <x:v>162</x:v>
      </x:c>
      <x:c r="C48" s="111" t="s">
        <x:v>163</x:v>
      </x:c>
      <x:c r="D48" s="111" t="s">
        <x:v>15</x:v>
      </x:c>
      <x:c r="E48" s="111" t="s">
        <x:v>16</x:v>
      </x:c>
      <x:c r="F48" s="112">
        <x:v>35</x:v>
      </x:c>
      <x:c r="G48" s="113">
        <x:v>22</x:v>
      </x:c>
      <x:c r="H48" s="113">
        <x:v>22</x:v>
      </x:c>
      <x:c r="I48" s="113">
        <x:v>27</x:v>
      </x:c>
      <x:c r="J48" s="111" t="s">
        <x:v>17</x:v>
      </x:c>
      <x:c r="K48" s="111" t="s">
        <x:v>164</x:v>
      </x:c>
    </x:row>
    <x:row r="49" ht="21" customHeight="1">
      <x:c r="A49" s="110">
        <x:v>46235</x:v>
      </x:c>
      <x:c r="B49" s="111" t="s">
        <x:v>165</x:v>
      </x:c>
      <x:c r="C49" s="111" t="s">
        <x:v>166</x:v>
      </x:c>
      <x:c r="D49" s="111" t="s">
        <x:v>21</x:v>
      </x:c>
      <x:c r="E49" s="111" t="s">
        <x:v>22</x:v>
      </x:c>
      <x:c r="F49" s="112">
        <x:v>42</x:v>
      </x:c>
      <x:c r="G49" s="113">
        <x:v>35</x:v>
      </x:c>
      <x:c r="H49" s="113">
        <x:v>35</x:v>
      </x:c>
      <x:c r="I49" s="113">
        <x:v>30</x:v>
      </x:c>
      <x:c r="J49" s="111" t="s">
        <x:v>23</x:v>
      </x:c>
      <x:c r="K49" s="111" t="s">
        <x:v>167</x:v>
      </x:c>
    </x:row>
    <x:row r="50" ht="21" customHeight="1">
      <x:c r="A50" s="110">
        <x:v>46236</x:v>
      </x:c>
      <x:c r="B50" s="111" t="s">
        <x:v>168</x:v>
      </x:c>
      <x:c r="C50" s="111" t="s">
        <x:v>169</x:v>
      </x:c>
      <x:c r="D50" s="111" t="s">
        <x:v>27</x:v>
      </x:c>
      <x:c r="E50" s="111" t="s">
        <x:v>28</x:v>
      </x:c>
      <x:c r="F50" s="112">
        <x:v>49</x:v>
      </x:c>
      <x:c r="G50" s="113">
        <x:v>48</x:v>
      </x:c>
      <x:c r="H50" s="113">
        <x:v>49</x:v>
      </x:c>
      <x:c r="I50" s="113">
        <x:v>33</x:v>
      </x:c>
      <x:c r="J50" s="111" t="s">
        <x:v>29</x:v>
      </x:c>
      <x:c r="K50" s="111" t="s">
        <x:v>170</x:v>
      </x:c>
    </x:row>
    <x:row r="51" ht="21" customHeight="1">
      <x:c r="A51" s="110">
        <x:v>46237</x:v>
      </x:c>
      <x:c r="B51" s="111" t="s">
        <x:v>171</x:v>
      </x:c>
      <x:c r="C51" s="111" t="s">
        <x:v>172</x:v>
      </x:c>
      <x:c r="D51" s="111" t="s">
        <x:v>33</x:v>
      </x:c>
      <x:c r="E51" s="111" t="s">
        <x:v>34</x:v>
      </x:c>
      <x:c r="F51" s="112">
        <x:v>56</x:v>
      </x:c>
      <x:c r="G51" s="113">
        <x:v>61</x:v>
      </x:c>
      <x:c r="H51" s="113">
        <x:v>64</x:v>
      </x:c>
      <x:c r="I51" s="113">
        <x:v>20</x:v>
      </x:c>
      <x:c r="J51" s="111" t="s">
        <x:v>35</x:v>
      </x:c>
      <x:c r="K51" s="111" t="s">
        <x:v>173</x:v>
      </x:c>
    </x:row>
    <x:row r="52" ht="21" customHeight="1">
      <x:c r="A52" s="110">
        <x:v>46238</x:v>
      </x:c>
      <x:c r="B52" s="111" t="s">
        <x:v>174</x:v>
      </x:c>
      <x:c r="C52" s="111" t="s">
        <x:v>175</x:v>
      </x:c>
      <x:c r="D52" s="111" t="s">
        <x:v>15</x:v>
      </x:c>
      <x:c r="E52" s="111" t="s">
        <x:v>16</x:v>
      </x:c>
      <x:c r="F52" s="112">
        <x:v>63</x:v>
      </x:c>
      <x:c r="G52" s="113">
        <x:v>74</x:v>
      </x:c>
      <x:c r="H52" s="113"/>
      <x:c r="I52" s="113">
        <x:v>23</x:v>
      </x:c>
      <x:c r="J52" s="111" t="s">
        <x:v>17</x:v>
      </x:c>
      <x:c r="K52" s="111" t="s">
        <x:v>176</x:v>
      </x:c>
    </x:row>
    <x:row r="53" ht="21" customHeight="1">
      <x:c r="A53" s="110">
        <x:v>46239</x:v>
      </x:c>
      <x:c r="B53" s="111" t="s">
        <x:v>177</x:v>
      </x:c>
      <x:c r="C53" s="111" t="s">
        <x:v>178</x:v>
      </x:c>
      <x:c r="D53" s="111" t="s">
        <x:v>21</x:v>
      </x:c>
      <x:c r="E53" s="111" t="s">
        <x:v>22</x:v>
      </x:c>
      <x:c r="F53" s="112">
        <x:v>70</x:v>
      </x:c>
      <x:c r="G53" s="113">
        <x:v>87</x:v>
      </x:c>
      <x:c r="H53" s="113">
        <x:v>85</x:v>
      </x:c>
      <x:c r="I53" s="113">
        <x:v>26</x:v>
      </x:c>
      <x:c r="J53" s="111" t="s">
        <x:v>23</x:v>
      </x:c>
      <x:c r="K53" s="111" t="s">
        <x:v>179</x:v>
      </x:c>
    </x:row>
    <x:row r="54" ht="21" customHeight="1">
      <x:c r="A54" s="110">
        <x:v>46235</x:v>
      </x:c>
      <x:c r="B54" s="111" t="s">
        <x:v>180</x:v>
      </x:c>
      <x:c r="C54" s="111" t="s">
        <x:v>181</x:v>
      </x:c>
      <x:c r="D54" s="111" t="s">
        <x:v>27</x:v>
      </x:c>
      <x:c r="E54" s="111" t="s">
        <x:v>28</x:v>
      </x:c>
      <x:c r="F54" s="112">
        <x:v>77</x:v>
      </x:c>
      <x:c r="G54" s="113">
        <x:v>100</x:v>
      </x:c>
      <x:c r="H54" s="113">
        <x:v>100</x:v>
      </x:c>
      <x:c r="I54" s="113">
        <x:v>29</x:v>
      </x:c>
      <x:c r="J54" s="111" t="s">
        <x:v>29</x:v>
      </x:c>
      <x:c r="K54" s="111" t="s">
        <x:v>182</x:v>
      </x:c>
    </x:row>
    <x:row r="55" ht="21" customHeight="1">
      <x:c r="A55" s="110">
        <x:v>46236</x:v>
      </x:c>
      <x:c r="B55" s="111" t="s">
        <x:v>183</x:v>
      </x:c>
      <x:c r="C55" s="111" t="s">
        <x:v>184</x:v>
      </x:c>
      <x:c r="D55" s="111" t="s">
        <x:v>33</x:v>
      </x:c>
      <x:c r="E55" s="111" t="s">
        <x:v>185</x:v>
      </x:c>
      <x:c r="F55" s="112">
        <x:v>84</x:v>
      </x:c>
      <x:c r="G55" s="113">
        <x:v>30</x:v>
      </x:c>
      <x:c r="H55" s="113">
        <x:v>30</x:v>
      </x:c>
      <x:c r="I55" s="113">
        <x:v>32</x:v>
      </x:c>
      <x:c r="J55" s="111" t="s">
        <x:v>35</x:v>
      </x:c>
      <x:c r="K55" s="111" t="s">
        <x:v>186</x:v>
      </x:c>
    </x:row>
    <x:row r="56" ht="21" customHeight="1">
      <x:c r="A56" s="110">
        <x:v>46237</x:v>
      </x:c>
      <x:c r="B56" s="111" t="s">
        <x:v>187</x:v>
      </x:c>
      <x:c r="C56" s="111" t="s">
        <x:v>188</x:v>
      </x:c>
      <x:c r="D56" s="111" t="s">
        <x:v>15</x:v>
      </x:c>
      <x:c r="E56" s="111" t="s">
        <x:v>16</x:v>
      </x:c>
      <x:c r="F56" s="112">
        <x:v>18</x:v>
      </x:c>
      <x:c r="G56" s="113">
        <x:v>43</x:v>
      </x:c>
      <x:c r="H56" s="113">
        <x:v>43</x:v>
      </x:c>
      <x:c r="I56" s="113">
        <x:v>35</x:v>
      </x:c>
      <x:c r="J56" s="111" t="s">
        <x:v>17</x:v>
      </x:c>
      <x:c r="K56" s="111" t="s">
        <x:v>189</x:v>
      </x:c>
    </x:row>
    <x:row r="57" ht="21" customHeight="1">
      <x:c r="A57" s="110">
        <x:v>46238</x:v>
      </x:c>
      <x:c r="B57" s="111" t="s">
        <x:v>190</x:v>
      </x:c>
      <x:c r="C57" s="111" t="s">
        <x:v>191</x:v>
      </x:c>
      <x:c r="D57" s="111" t="s">
        <x:v>21</x:v>
      </x:c>
      <x:c r="E57" s="111" t="s">
        <x:v>22</x:v>
      </x:c>
      <x:c r="F57" s="112">
        <x:v>25</x:v>
      </x:c>
      <x:c r="G57" s="113">
        <x:v>56</x:v>
      </x:c>
      <x:c r="H57" s="113">
        <x:v>57</x:v>
      </x:c>
      <x:c r="I57" s="113">
        <x:v>22</x:v>
      </x:c>
      <x:c r="J57" s="111" t="s">
        <x:v>23</x:v>
      </x:c>
      <x:c r="K57" s="111"/>
    </x:row>
    <x:row r="58" ht="21" customHeight="1">
      <x:c r="A58" s="110">
        <x:v>46239</x:v>
      </x:c>
      <x:c r="B58" s="111" t="s">
        <x:v>192</x:v>
      </x:c>
      <x:c r="C58" s="111" t="s">
        <x:v>193</x:v>
      </x:c>
      <x:c r="D58" s="111" t="s">
        <x:v>57</x:v>
      </x:c>
      <x:c r="E58" s="111" t="s">
        <x:v>28</x:v>
      </x:c>
      <x:c r="F58" s="112">
        <x:v>32</x:v>
      </x:c>
      <x:c r="G58" s="113">
        <x:v>69</x:v>
      </x:c>
      <x:c r="H58" s="113">
        <x:v>72</x:v>
      </x:c>
      <x:c r="I58" s="113">
        <x:v>25</x:v>
      </x:c>
      <x:c r="J58" s="111" t="s">
        <x:v>29</x:v>
      </x:c>
      <x:c r="K58" s="111" t="s">
        <x:v>194</x:v>
      </x:c>
    </x:row>
    <x:row r="59" ht="21" customHeight="1">
      <x:c r="A59" s="110">
        <x:v>46235</x:v>
      </x:c>
      <x:c r="B59" s="111" t="s">
        <x:v>195</x:v>
      </x:c>
      <x:c r="C59" s="111" t="s">
        <x:v>196</x:v>
      </x:c>
      <x:c r="D59" s="111" t="s">
        <x:v>33</x:v>
      </x:c>
      <x:c r="E59" s="111" t="s">
        <x:v>34</x:v>
      </x:c>
      <x:c r="F59" s="112">
        <x:v>39</x:v>
      </x:c>
      <x:c r="G59" s="113">
        <x:v>82</x:v>
      </x:c>
      <x:c r="H59" s="113">
        <x:v>78</x:v>
      </x:c>
      <x:c r="I59" s="113">
        <x:v>28</x:v>
      </x:c>
      <x:c r="J59" s="111" t="s">
        <x:v>35</x:v>
      </x:c>
      <x:c r="K59" s="111" t="s">
        <x:v>197</x:v>
      </x:c>
    </x:row>
    <x:row r="60" ht="21" customHeight="1">
      <x:c r="A60" s="110">
        <x:v>46236</x:v>
      </x:c>
      <x:c r="B60" s="111" t="s">
        <x:v>198</x:v>
      </x:c>
      <x:c r="C60" s="111" t="s">
        <x:v>199</x:v>
      </x:c>
      <x:c r="D60" s="111" t="s">
        <x:v>15</x:v>
      </x:c>
      <x:c r="E60" s="111" t="s">
        <x:v>16</x:v>
      </x:c>
      <x:c r="F60" s="112">
        <x:v>46</x:v>
      </x:c>
      <x:c r="G60" s="113">
        <x:v>95</x:v>
      </x:c>
      <x:c r="H60" s="113">
        <x:v>93</x:v>
      </x:c>
      <x:c r="I60" s="113">
        <x:v>31</x:v>
      </x:c>
      <x:c r="J60" s="111" t="s">
        <x:v>17</x:v>
      </x:c>
      <x:c r="K60" s="111" t="s">
        <x:v>200</x:v>
      </x:c>
    </x:row>
    <x:row r="61" ht="21" customHeight="1">
      <x:c r="A61" s="110">
        <x:v>46237</x:v>
      </x:c>
      <x:c r="B61" s="111" t="s">
        <x:v>201</x:v>
      </x:c>
      <x:c r="C61" s="111" t="s">
        <x:v>202</x:v>
      </x:c>
      <x:c r="D61" s="111" t="s">
        <x:v>21</x:v>
      </x:c>
      <x:c r="E61" s="111" t="s">
        <x:v>22</x:v>
      </x:c>
      <x:c r="F61" s="112">
        <x:v>53</x:v>
      </x:c>
      <x:c r="G61" s="113">
        <x:v>25</x:v>
      </x:c>
      <x:c r="H61" s="113">
        <x:v>25</x:v>
      </x:c>
      <x:c r="I61" s="113">
        <x:v>34</x:v>
      </x:c>
      <x:c r="J61" s="111" t="s">
        <x:v>23</x:v>
      </x:c>
      <x:c r="K61" s="111" t="s">
        <x:v>203</x:v>
      </x:c>
    </x:row>
    <x:row r="62" ht="21" customHeight="1">
      <x:c r="A62" s="110">
        <x:v>46238</x:v>
      </x:c>
      <x:c r="B62" s="111" t="s">
        <x:v>204</x:v>
      </x:c>
      <x:c r="C62" s="111" t="s">
        <x:v>205</x:v>
      </x:c>
      <x:c r="D62" s="111" t="s">
        <x:v>27</x:v>
      </x:c>
      <x:c r="E62" s="111" t="s">
        <x:v>28</x:v>
      </x:c>
      <x:c r="F62" s="112">
        <x:v>60</x:v>
      </x:c>
      <x:c r="G62" s="113">
        <x:v>38</x:v>
      </x:c>
      <x:c r="H62" s="113">
        <x:v>38</x:v>
      </x:c>
      <x:c r="I62" s="113">
        <x:v>21</x:v>
      </x:c>
      <x:c r="J62" s="111" t="s">
        <x:v>29</x:v>
      </x:c>
      <x:c r="K62" s="111" t="s">
        <x:v>206</x:v>
      </x:c>
    </x:row>
    <x:row r="63" ht="21" customHeight="1">
      <x:c r="A63" s="114">
        <x:v>46239</x:v>
      </x:c>
      <x:c r="B63" s="115" t="s">
        <x:v>207</x:v>
      </x:c>
      <x:c r="C63" s="115" t="s">
        <x:v>208</x:v>
      </x:c>
      <x:c r="D63" s="115" t="s">
        <x:v>33</x:v>
      </x:c>
      <x:c r="E63" s="115" t="s">
        <x:v>34</x:v>
      </x:c>
      <x:c r="F63" s="116">
        <x:v>67</x:v>
      </x:c>
      <x:c r="G63" s="117">
        <x:v>51</x:v>
      </x:c>
      <x:c r="H63" s="117">
        <x:v>51</x:v>
      </x:c>
      <x:c r="I63" s="117">
        <x:v>24</x:v>
      </x:c>
      <x:c r="J63" s="115" t="s">
        <x:v>35</x:v>
      </x:c>
      <x:c r="K63" s="115" t="s">
        <x:v>209</x:v>
      </x:c>
    </x:row>
  </x:sheetData>
  <x:mergeCells>
    <x:mergeCell ref="A1:K1"/>
    <x:mergeCell ref="A2:K2"/>
  </x:mergeCells>
  <x:conditionalFormatting sqref="A4:K63">
    <x:cfRule type="expression" dxfId="3" priority="1">
      <x:formula>MOD(ROW(),2)=0</x:formula>
    </x:cfRule>
  </x:conditionalFormatting>
  <x:conditionalFormatting sqref="B4:B63">
    <x:cfRule type="duplicateValues" dxfId="4" priority="2"/>
  </x:conditionalFormatting>
  <x:conditionalFormatting sqref="D4:D63">
    <x:cfRule type="containsText" dxfId="5" priority="3" operator="containsText" text="Shoes"/>
    <x:cfRule type="containsText" dxfId="6" priority="4" operator="containsText" text="Misc"/>
  </x:conditionalFormatting>
  <x:conditionalFormatting sqref="E4:E63">
    <x:cfRule type="containsText" dxfId="7" priority="5" operator="containsText" text="Warehouse X"/>
  </x:conditionalFormatting>
  <x:conditionalFormatting sqref="F4:H63">
    <x:cfRule type="cellIs" dxfId="8" priority="6" operator="lessThan">
      <x:formula>0</x:formula>
    </x:cfRule>
  </x:conditionalFormatting>
  <x:conditionalFormatting sqref="H4:H63">
    <x:cfRule type="containsBlanks" dxfId="9" priority="7"/>
  </x:conditionalFormatting>
  <x:conditionalFormatting sqref="K4:K63">
    <x:cfRule type="containsBlanks" dxfId="10" priority="8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9" customWidth="1"/>
    <x:col min="2" max="2" width="34" customWidth="1"/>
    <x:col min="3" max="6" width="19" style="70" customWidth="1"/>
  </x:cols>
  <x:sheetData>
    <x:row r="1" ht="36" customHeight="1">
      <x:c r="A1" s="118" t="s">
        <x:v>210</x:v>
      </x:c>
      <x:c r="B1" s="119"/>
      <x:c r="C1" s="119"/>
      <x:c r="D1" s="119"/>
      <x:c r="E1" s="119"/>
      <x:c r="F1" s="120"/>
    </x:row>
    <x:row r="2" ht="25" customHeight="1">
      <x:c r="A2" s="121" t="s">
        <x:v>211</x:v>
      </x:c>
      <x:c r="B2" s="122"/>
      <x:c r="C2" s="122"/>
      <x:c r="D2" s="122"/>
      <x:c r="E2" s="122"/>
      <x:c r="F2" s="123"/>
    </x:row>
    <x:row r="3">
      <x:c r="A3" s="83"/>
      <x:c r="B3" s="84"/>
      <x:c r="C3" s="85"/>
      <x:c r="D3" s="85"/>
      <x:c r="E3" s="85"/>
      <x:c r="F3" s="86"/>
    </x:row>
    <x:row r="4" ht="28" customHeight="1">
      <x:c r="A4" s="126" t="s">
        <x:v>212</x:v>
      </x:c>
      <x:c r="B4" s="126" t="s">
        <x:v>213</x:v>
      </x:c>
      <x:c r="C4" s="85"/>
      <x:c r="D4" s="126" t="s">
        <x:v>214</x:v>
      </x:c>
      <x:c r="E4" s="126" t="s">
        <x:v>215</x:v>
      </x:c>
      <x:c r="F4" s="86"/>
    </x:row>
    <x:row r="5">
      <x:c r="A5" s="129" t="s">
        <x:v>216</x:v>
      </x:c>
      <x:c r="B5" s="129" t="s">
        <x:v>15</x:v>
      </x:c>
      <x:c r="C5" s="85"/>
      <x:c r="D5" s="133" t="s">
        <x:v>16</x:v>
      </x:c>
      <x:c r="E5" s="133" t="s">
        <x:v>16</x:v>
      </x:c>
      <x:c r="F5" s="86"/>
    </x:row>
    <x:row r="6">
      <x:c r="A6" s="130" t="s">
        <x:v>217</x:v>
      </x:c>
      <x:c r="B6" s="130" t="s">
        <x:v>21</x:v>
      </x:c>
      <x:c r="C6" s="85"/>
      <x:c r="D6" s="134" t="s">
        <x:v>22</x:v>
      </x:c>
      <x:c r="E6" s="134" t="s">
        <x:v>22</x:v>
      </x:c>
      <x:c r="F6" s="86"/>
    </x:row>
    <x:row r="7">
      <x:c r="A7" s="130" t="s">
        <x:v>218</x:v>
      </x:c>
      <x:c r="B7" s="130" t="s">
        <x:v>27</x:v>
      </x:c>
      <x:c r="C7" s="85"/>
      <x:c r="D7" s="134" t="s">
        <x:v>28</x:v>
      </x:c>
      <x:c r="E7" s="134" t="s">
        <x:v>28</x:v>
      </x:c>
      <x:c r="F7" s="86"/>
    </x:row>
    <x:row r="8">
      <x:c r="A8" s="130" t="s">
        <x:v>219</x:v>
      </x:c>
      <x:c r="B8" s="130" t="s">
        <x:v>33</x:v>
      </x:c>
      <x:c r="C8" s="85"/>
      <x:c r="D8" s="134" t="s">
        <x:v>34</x:v>
      </x:c>
      <x:c r="E8" s="134" t="s">
        <x:v>34</x:v>
      </x:c>
      <x:c r="F8" s="86"/>
    </x:row>
    <x:row r="9">
      <x:c r="A9" s="130" t="s">
        <x:v>220</x:v>
      </x:c>
      <x:c r="B9" s="138" t="s">
        <x:v>221</x:v>
      </x:c>
      <x:c r="C9" s="85"/>
      <x:c r="D9" s="135" t="s">
        <x:v>222</x:v>
      </x:c>
      <x:c r="E9" s="141" t="s">
        <x:v>221</x:v>
      </x:c>
      <x:c r="F9" s="86"/>
    </x:row>
    <x:row r="10">
      <x:c r="A10" s="131" t="s">
        <x:v>223</x:v>
      </x:c>
      <x:c r="B10" s="139" t="s">
        <x:v>221</x:v>
      </x:c>
      <x:c r="C10" s="85"/>
      <x:c r="D10" s="85"/>
      <x:c r="E10" s="85"/>
      <x:c r="F10" s="86"/>
    </x:row>
    <x:row r="11">
      <x:c r="A11" s="83"/>
      <x:c r="B11" s="84"/>
      <x:c r="C11" s="85"/>
      <x:c r="D11" s="85"/>
      <x:c r="E11" s="85"/>
      <x:c r="F11" s="86"/>
    </x:row>
    <x:row r="12">
      <x:c r="A12" s="83"/>
      <x:c r="B12" s="84"/>
      <x:c r="C12" s="85"/>
      <x:c r="D12" s="85"/>
      <x:c r="E12" s="85"/>
      <x:c r="F12" s="86"/>
    </x:row>
    <x:row r="13" ht="28" customHeight="1">
      <x:c r="A13" s="93" t="s">
        <x:v>224</x:v>
      </x:c>
      <x:c r="B13" s="93" t="s">
        <x:v>225</x:v>
      </x:c>
      <x:c r="C13" s="93" t="s">
        <x:v>226</x:v>
      </x:c>
      <x:c r="D13" s="93" t="s">
        <x:v>227</x:v>
      </x:c>
      <x:c r="E13" s="93" t="s">
        <x:v>228</x:v>
      </x:c>
      <x:c r="F13" s="93" t="s">
        <x:v>229</x:v>
      </x:c>
    </x:row>
    <x:row r="14">
      <x:c r="A14" s="146" t="s">
        <x:v>230</x:v>
      </x:c>
      <x:c r="B14" s="146" t="s">
        <x:v>231</x:v>
      </x:c>
      <x:c r="C14" s="154" t="s">
        <x:v>232</x:v>
      </x:c>
      <x:c r="D14" s="147"/>
      <x:c r="E14" s="147"/>
      <x:c r="F14" s="165" t="s">
        <x:v>233</x:v>
      </x:c>
    </x:row>
    <x:row r="15">
      <x:c r="A15" s="148" t="s">
        <x:v>234</x:v>
      </x:c>
      <x:c r="B15" s="148" t="s">
        <x:v>235</x:v>
      </x:c>
      <x:c r="C15" s="155" t="s">
        <x:v>232</x:v>
      </x:c>
      <x:c r="D15" s="149"/>
      <x:c r="E15" s="149"/>
      <x:c r="F15" s="166" t="s">
        <x:v>233</x:v>
      </x:c>
    </x:row>
    <x:row r="16">
      <x:c r="A16" s="148" t="s">
        <x:v>236</x:v>
      </x:c>
      <x:c r="B16" s="148" t="s">
        <x:v>237</x:v>
      </x:c>
      <x:c r="C16" s="149"/>
      <x:c r="D16" s="158" t="s">
        <x:v>232</x:v>
      </x:c>
      <x:c r="E16" s="149"/>
      <x:c r="F16" s="166" t="s">
        <x:v>233</x:v>
      </x:c>
    </x:row>
    <x:row r="17">
      <x:c r="A17" s="148" t="s">
        <x:v>238</x:v>
      </x:c>
      <x:c r="B17" s="148" t="s">
        <x:v>239</x:v>
      </x:c>
      <x:c r="C17" s="149"/>
      <x:c r="D17" s="158" t="s">
        <x:v>232</x:v>
      </x:c>
      <x:c r="E17" s="149"/>
      <x:c r="F17" s="166" t="s">
        <x:v>233</x:v>
      </x:c>
    </x:row>
    <x:row r="18">
      <x:c r="A18" s="148" t="s">
        <x:v>240</x:v>
      </x:c>
      <x:c r="B18" s="148" t="s">
        <x:v>241</x:v>
      </x:c>
      <x:c r="C18" s="149"/>
      <x:c r="D18" s="158"/>
      <x:c r="E18" s="161" t="s">
        <x:v>232</x:v>
      </x:c>
      <x:c r="F18" s="166" t="s">
        <x:v>233</x:v>
      </x:c>
    </x:row>
    <x:row r="19">
      <x:c r="A19" s="150" t="s">
        <x:v>242</x:v>
      </x:c>
      <x:c r="B19" s="150" t="s">
        <x:v>243</x:v>
      </x:c>
      <x:c r="C19" s="151"/>
      <x:c r="D19" s="159" t="s">
        <x:v>232</x:v>
      </x:c>
      <x:c r="E19" s="151"/>
      <x:c r="F19" s="167" t="s">
        <x:v>233</x:v>
      </x:c>
    </x:row>
  </x:sheetData>
  <x:mergeCells>
    <x:mergeCell ref="A1:F1"/>
    <x:mergeCell ref="A2:F2"/>
  </x:mergeCells>
  <x:conditionalFormatting sqref="A14:F19">
    <x:cfRule type="expression" dxfId="11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style="70" customWidth="1"/>
    <x:col min="2" max="2" width="14" customWidth="1"/>
    <x:col min="3" max="4" width="14" style="70" customWidth="1"/>
    <x:col min="5" max="5" width="25" customWidth="1"/>
    <x:col min="6" max="14" width="14" customWidth="1"/>
    <x:col min="15" max="22" width="19" customWidth="1"/>
    <x:col min="23" max="23" width="14" customWidth="1"/>
    <x:col min="24" max="24" width="22" style="70" customWidth="1"/>
    <x:col min="25" max="25" width="52" style="70" hidden="0" customWidth="1"/>
  </x:cols>
  <x:sheetData>
    <x:row r="1" ht="36" customHeight="1">
      <x:c r="A1" s="90" t="s">
        <x:v>244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</x:row>
    <x:row r="2" ht="25" customHeight="1">
      <x:c r="A2" s="91" t="s">
        <x:v>245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</x:row>
    <x:row r="3" s="70" customFormat="1" ht="14.25" hidden="0" customHeight="1">
      <x:c r="A3" s="93" t="s">
        <x:v>246</x:v>
      </x:c>
      <x:c r="B3" s="93" t="s">
        <x:v>2</x:v>
      </x:c>
      <x:c r="C3" s="93" t="s">
        <x:v>3</x:v>
      </x:c>
      <x:c r="D3" s="93" t="s">
        <x:v>247</x:v>
      </x:c>
      <x:c r="E3" s="93" t="s">
        <x:v>4</x:v>
      </x:c>
      <x:c r="F3" s="93" t="s">
        <x:v>248</x:v>
      </x:c>
      <x:c r="G3" s="93" t="s">
        <x:v>249</x:v>
      </x:c>
      <x:c r="H3" s="126" t="s">
        <x:v>250</x:v>
      </x:c>
      <x:c r="I3" s="126" t="s">
        <x:v>8</x:v>
      </x:c>
      <x:c r="J3" s="126" t="s">
        <x:v>9</x:v>
      </x:c>
      <x:c r="K3" s="126" t="s">
        <x:v>10</x:v>
      </x:c>
      <x:c r="L3" s="126" t="s">
        <x:v>251</x:v>
      </x:c>
      <x:c r="M3" s="126" t="s">
        <x:v>252</x:v>
      </x:c>
      <x:c r="N3" s="126" t="s">
        <x:v>253</x:v>
      </x:c>
      <x:c r="O3" s="168" t="s">
        <x:v>254</x:v>
      </x:c>
      <x:c r="P3" s="168" t="s">
        <x:v>255</x:v>
      </x:c>
      <x:c r="Q3" s="168" t="s">
        <x:v>256</x:v>
      </x:c>
      <x:c r="R3" s="168" t="s">
        <x:v>257</x:v>
      </x:c>
      <x:c r="S3" s="168" t="s">
        <x:v>258</x:v>
      </x:c>
      <x:c r="T3" s="168" t="s">
        <x:v>259</x:v>
      </x:c>
      <x:c r="U3" s="168" t="s">
        <x:v>260</x:v>
      </x:c>
      <x:c r="V3" s="168" t="s">
        <x:v>261</x:v>
      </x:c>
      <x:c r="W3" s="170" t="s">
        <x:v>262</x:v>
      </x:c>
      <x:c r="X3" s="170" t="s">
        <x:v>263</x:v>
      </x:c>
      <x:c r="Y3" s="170" t="s">
        <x:v>264</x:v>
      </x:c>
    </x:row>
    <x:row r="4" ht="14.25" hidden="0" customHeight="1">
      <x:c r="A4" s="180" t="n">
        <x:f>ROW('Raw Inventory'!A4)</x:f>
        <x:v>4</x:v>
      </x:c>
      <x:c r="B4" s="106" t="n">
        <x:f>'Raw Inventory'!A4</x:f>
        <x:v>46235</x:v>
      </x:c>
      <x:c r="C4" s="180" t="str">
        <x:f>'Raw Inventory'!B4</x:f>
        <x:v>SKU-0001</x:v>
      </x:c>
      <x:c r="D4" s="180" t="n">
        <x:f>COUNTIF('Raw Inventory'!$B$4:$B$63,C4)</x:f>
        <x:v>1</x:v>
      </x:c>
      <x:c r="E4" s="107" t="str">
        <x:f>TRIM('Raw Inventory'!C4)</x:f>
        <x:v>Stride Runner A</x:v>
      </x:c>
      <x:c r="F4" s="107" t="str">
        <x:f>IFERROR(VLOOKUP(UPPER(TRIM('Raw Inventory'!D4)),Reference!$A$5:$B$10,2,FALSE),"Needs Review")</x:f>
        <x:v>Footwear</x:v>
      </x:c>
      <x:c r="G4" s="107" t="str">
        <x:f>IFERROR(VLOOKUP(UPPER(TRIM('Raw Inventory'!E4)),Reference!$D$5:$E$9,2,FALSE),"Needs Review")</x:f>
        <x:v>JKT-A</x:v>
      </x:c>
      <x:c r="H4" s="108" t="n">
        <x:f>'Raw Inventory'!F4</x:f>
        <x:v>19</x:v>
      </x:c>
      <x:c r="I4" s="181" t="n">
        <x:f>'Raw Inventory'!G4</x:f>
        <x:v>31</x:v>
      </x:c>
      <x:c r="J4" s="181" t="n">
        <x:f>'Raw Inventory'!H4</x:f>
        <x:v>29</x:v>
      </x:c>
      <x:c r="K4" s="181" t="n">
        <x:f>'Raw Inventory'!I4</x:f>
        <x:v>23</x:v>
      </x:c>
      <x:c r="L4" s="181" t="n">
        <x:f t="shared" ref="L4:L35" si="0">IF(OR(R4&lt;&gt;"OK",S4&lt;&gt;"OK"),"",J4-I4)</x:f>
        <x:v>-2</x:v>
      </x:c>
      <x:c r="M4" s="181" t="n">
        <x:f t="shared" ref="M4:M35" si="1">IF(L4="","",ABS(L4))</x:f>
        <x:v>2</x:v>
      </x:c>
      <x:c r="N4" s="182" t="n">
        <x:f t="shared" ref="N4:N35" si="2">IF(OR(L4="",Q4&lt;&gt;"OK"),"",L4*H4)</x:f>
        <x:v>-38</x:v>
      </x:c>
      <x:c r="O4" s="180" t="str">
        <x:f t="shared" ref="O4:O35" si="3">IF(F4="Needs Review","Invalid Category","OK")</x:f>
        <x:v>OK</x:v>
      </x:c>
      <x:c r="P4" s="180" t="str">
        <x:f t="shared" ref="P4:P35" si="4">IF(G4="Needs Review","Invalid Location","OK")</x:f>
        <x:v>OK</x:v>
      </x:c>
      <x:c r="Q4" s="180" t="str">
        <x:f t="shared" ref="Q4:Q35" si="5">IF(OR(NOT(ISNUMBER(H4)),H4&lt;0),"Invalid Unit Cost","OK")</x:f>
        <x:v>OK</x:v>
      </x:c>
      <x:c r="R4" s="180" t="str">
        <x:f t="shared" ref="R4:R35" si="6">IF(OR(NOT(ISNUMBER(I4)),I4&lt;0),"Invalid System Qty","OK")</x:f>
        <x:v>OK</x:v>
      </x:c>
      <x:c r="S4" s="180" t="str">
        <x:f>IF(ISBLANK('Raw Inventory'!H4),"Missing Physical Qty",IF(OR(NOT(ISNUMBER(J4)),J4&lt;0),"Invalid Physical Qty","OK"))</x:f>
        <x:v>OK</x:v>
      </x:c>
      <x:c r="T4" s="180" t="str">
        <x:f>IF(TRIM('Raw Inventory'!K4)="","Missing Evidence","OK")</x:f>
        <x:v>OK</x:v>
      </x:c>
      <x:c r="U4" s="180" t="str">
        <x:f t="shared" ref="U4:U35" si="7">IF(D4&gt;1,"Duplicate SKU","OK")</x:f>
        <x:v>OK</x:v>
      </x:c>
      <x:c r="V4" s="180" t="str">
        <x:f t="shared" ref="V4:V35" si="8">IF(OR(S4&lt;&gt;"OK",NOT(ISNUMBER(K4))),"N/A",IF(J4&lt;=K4,"Low Stock","OK"))</x:f>
        <x:v>OK</x:v>
      </x:c>
      <x:c r="W4" s="180" t="n">
        <x:f t="shared" ref="W4:W35" si="9">COUNTIF(O4:V4,"&lt;&gt;OK")-COUNTIF(O4:V4,"N/A")+IF(AND(ISNUMBER(L4),L4&lt;&gt;0),1,0)</x:f>
        <x:v>1</x:v>
      </x:c>
      <x:c r="X4" s="189" t="str">
        <x:f t="shared" ref="X4:X35" si="10">IF(W4=0,"Ready",IF(OR(Q4&lt;&gt;"OK",R4&lt;&gt;"OK",S4&lt;&gt;"OK",U4&lt;&gt;"OK"),"High Priority Review","Review"))</x:f>
        <x:v>Review</x:v>
      </x:c>
      <x:c r="Y4" s="192" t="str">
        <x:f t="shared" ref="Y4:Y35" si="11">IF(U4&lt;&gt;"OK","Compare duplicate rows with the approved stock source",IF(OR(Q4&lt;&gt;"OK",R4&lt;&gt;"OK",S4&lt;&gt;"OK"),"Correct the source field and document the evidence",IF(O4&lt;&gt;"OK","Confirm the approved product category",IF(P4&lt;&gt;"OK","Confirm the approved warehouse location",IF(T4&lt;&gt;"OK","Attach the count-sheet reference",IF(L4&lt;0,"Investigate shortage and record a written resolution",IF(L4&gt;0,"Investigate overage and record a written resolution",IF(V4="Low Stock","Create a written replenishment request","No action required"))))))))</x:f>
        <x:v>Investigate shortage and record a written resolution</x:v>
      </x:c>
    </x:row>
    <x:row r="5" ht="14.25" hidden="0" customHeight="1">
      <x:c r="A5" s="183" t="n">
        <x:f>ROW('Raw Inventory'!A5)</x:f>
        <x:v>5</x:v>
      </x:c>
      <x:c r="B5" s="110" t="n">
        <x:f>'Raw Inventory'!A5</x:f>
        <x:v>46236</x:v>
      </x:c>
      <x:c r="C5" s="183" t="str">
        <x:f>'Raw Inventory'!B5</x:f>
        <x:v>SKU-0002</x:v>
      </x:c>
      <x:c r="D5" s="183" t="n">
        <x:f>COUNTIF('Raw Inventory'!$B$4:$B$63,C5)</x:f>
        <x:v>1</x:v>
      </x:c>
      <x:c r="E5" s="111" t="str">
        <x:f>TRIM('Raw Inventory'!C5)</x:f>
        <x:v>Core Tee B</x:v>
      </x:c>
      <x:c r="F5" s="111" t="str">
        <x:f>IFERROR(VLOOKUP(UPPER(TRIM('Raw Inventory'!D5)),Reference!$A$5:$B$10,2,FALSE),"Needs Review")</x:f>
        <x:v>Apparel</x:v>
      </x:c>
      <x:c r="G5" s="111" t="str">
        <x:f>IFERROR(VLOOKUP(UPPER(TRIM('Raw Inventory'!E5)),Reference!$D$5:$E$9,2,FALSE),"Needs Review")</x:f>
        <x:v>JKT-B</x:v>
      </x:c>
      <x:c r="H5" s="112" t="n">
        <x:f>'Raw Inventory'!F5</x:f>
        <x:v>26</x:v>
      </x:c>
      <x:c r="I5" s="184" t="n">
        <x:f>'Raw Inventory'!G5</x:f>
        <x:v>44</x:v>
      </x:c>
      <x:c r="J5" s="184" t="n">
        <x:f>'Raw Inventory'!H5</x:f>
        <x:v>44</x:v>
      </x:c>
      <x:c r="K5" s="184" t="n">
        <x:f>'Raw Inventory'!I5</x:f>
        <x:v>26</x:v>
      </x:c>
      <x:c r="L5" s="184">
        <x:f t="shared" si="0"/>
        <x:v>0</x:v>
      </x:c>
      <x:c r="M5" s="184">
        <x:f t="shared" si="1"/>
        <x:v>0</x:v>
      </x:c>
      <x:c r="N5" s="185">
        <x:f t="shared" si="2"/>
        <x:v>0</x:v>
      </x:c>
      <x:c r="O5" s="183" t="str">
        <x:f t="shared" si="3"/>
        <x:v>OK</x:v>
      </x:c>
      <x:c r="P5" s="183" t="str">
        <x:f t="shared" si="4"/>
        <x:v>OK</x:v>
      </x:c>
      <x:c r="Q5" s="183" t="str">
        <x:f t="shared" si="5"/>
        <x:v>OK</x:v>
      </x:c>
      <x:c r="R5" s="183" t="str">
        <x:f t="shared" si="6"/>
        <x:v>OK</x:v>
      </x:c>
      <x:c r="S5" s="183" t="str">
        <x:f>IF(ISBLANK('Raw Inventory'!H5),"Missing Physical Qty",IF(OR(NOT(ISNUMBER(J5)),J5&lt;0),"Invalid Physical Qty","OK"))</x:f>
        <x:v>OK</x:v>
      </x:c>
      <x:c r="T5" s="183" t="str">
        <x:f>IF(TRIM('Raw Inventory'!K5)="","Missing Evidence","OK")</x:f>
        <x:v>OK</x:v>
      </x:c>
      <x:c r="U5" s="183" t="str">
        <x:f t="shared" si="7"/>
        <x:v>OK</x:v>
      </x:c>
      <x:c r="V5" s="183" t="str">
        <x:f t="shared" si="8"/>
        <x:v>OK</x:v>
      </x:c>
      <x:c r="W5" s="183">
        <x:f t="shared" si="9"/>
        <x:v>0</x:v>
      </x:c>
      <x:c r="X5" s="190" t="str">
        <x:f t="shared" si="10"/>
        <x:v>Ready</x:v>
      </x:c>
      <x:c r="Y5" s="193" t="str">
        <x:f t="shared" si="11"/>
        <x:v>No action required</x:v>
      </x:c>
    </x:row>
    <x:row r="6" ht="14.25" hidden="0" customHeight="1">
      <x:c r="A6" s="183" t="n">
        <x:f>ROW('Raw Inventory'!A6)</x:f>
        <x:v>6</x:v>
      </x:c>
      <x:c r="B6" s="110" t="n">
        <x:f>'Raw Inventory'!A6</x:f>
        <x:v>46237</x:v>
      </x:c>
      <x:c r="C6" s="183" t="str">
        <x:f>'Raw Inventory'!B6</x:f>
        <x:v>SKU-0003</x:v>
      </x:c>
      <x:c r="D6" s="183" t="n">
        <x:f>COUNTIF('Raw Inventory'!$B$4:$B$63,C6)</x:f>
        <x:v>1</x:v>
      </x:c>
      <x:c r="E6" s="111" t="str">
        <x:f>TRIM('Raw Inventory'!C6)</x:f>
        <x:v>Sport Cap C</x:v>
      </x:c>
      <x:c r="F6" s="111" t="str">
        <x:f>IFERROR(VLOOKUP(UPPER(TRIM('Raw Inventory'!D6)),Reference!$A$5:$B$10,2,FALSE),"Needs Review")</x:f>
        <x:v>Accessories</x:v>
      </x:c>
      <x:c r="G6" s="111" t="str">
        <x:f>IFERROR(VLOOKUP(UPPER(TRIM('Raw Inventory'!E6)),Reference!$D$5:$E$9,2,FALSE),"Needs Review")</x:f>
        <x:v>SBY-A</x:v>
      </x:c>
      <x:c r="H6" s="112" t="n">
        <x:f>'Raw Inventory'!F6</x:f>
        <x:v>33</x:v>
      </x:c>
      <x:c r="I6" s="184" t="n">
        <x:f>'Raw Inventory'!G6</x:f>
        <x:v>57</x:v>
      </x:c>
      <x:c r="J6" s="184" t="n">
        <x:f>'Raw Inventory'!H6</x:f>
        <x:v>57</x:v>
      </x:c>
      <x:c r="K6" s="184" t="n">
        <x:f>'Raw Inventory'!I6</x:f>
        <x:v>29</x:v>
      </x:c>
      <x:c r="L6" s="184">
        <x:f t="shared" si="0"/>
        <x:v>0</x:v>
      </x:c>
      <x:c r="M6" s="184">
        <x:f t="shared" si="1"/>
        <x:v>0</x:v>
      </x:c>
      <x:c r="N6" s="185">
        <x:f t="shared" si="2"/>
        <x:v>0</x:v>
      </x:c>
      <x:c r="O6" s="183" t="str">
        <x:f t="shared" si="3"/>
        <x:v>OK</x:v>
      </x:c>
      <x:c r="P6" s="183" t="str">
        <x:f t="shared" si="4"/>
        <x:v>OK</x:v>
      </x:c>
      <x:c r="Q6" s="183" t="str">
        <x:f t="shared" si="5"/>
        <x:v>OK</x:v>
      </x:c>
      <x:c r="R6" s="183" t="str">
        <x:f t="shared" si="6"/>
        <x:v>OK</x:v>
      </x:c>
      <x:c r="S6" s="183" t="str">
        <x:f>IF(ISBLANK('Raw Inventory'!H6),"Missing Physical Qty",IF(OR(NOT(ISNUMBER(J6)),J6&lt;0),"Invalid Physical Qty","OK"))</x:f>
        <x:v>OK</x:v>
      </x:c>
      <x:c r="T6" s="183" t="str">
        <x:f>IF(TRIM('Raw Inventory'!K6)="","Missing Evidence","OK")</x:f>
        <x:v>OK</x:v>
      </x:c>
      <x:c r="U6" s="183" t="str">
        <x:f t="shared" si="7"/>
        <x:v>OK</x:v>
      </x:c>
      <x:c r="V6" s="183" t="str">
        <x:f t="shared" si="8"/>
        <x:v>OK</x:v>
      </x:c>
      <x:c r="W6" s="183">
        <x:f t="shared" si="9"/>
        <x:v>0</x:v>
      </x:c>
      <x:c r="X6" s="190" t="str">
        <x:f t="shared" si="10"/>
        <x:v>Ready</x:v>
      </x:c>
      <x:c r="Y6" s="193" t="str">
        <x:f t="shared" si="11"/>
        <x:v>No action required</x:v>
      </x:c>
    </x:row>
    <x:row r="7" ht="14.25" hidden="0" customHeight="1">
      <x:c r="A7" s="183" t="n">
        <x:f>ROW('Raw Inventory'!A7)</x:f>
        <x:v>7</x:v>
      </x:c>
      <x:c r="B7" s="110" t="n">
        <x:f>'Raw Inventory'!A7</x:f>
        <x:v>46238</x:v>
      </x:c>
      <x:c r="C7" s="183" t="str">
        <x:f>'Raw Inventory'!B7</x:f>
        <x:v>SKU-0004</x:v>
      </x:c>
      <x:c r="D7" s="183" t="n">
        <x:f>COUNTIF('Raw Inventory'!$B$4:$B$63,C7)</x:f>
        <x:v>1</x:v>
      </x:c>
      <x:c r="E7" s="111" t="str">
        <x:f>TRIM('Raw Inventory'!C7)</x:f>
        <x:v>Yoga Mat A</x:v>
      </x:c>
      <x:c r="F7" s="111" t="str">
        <x:f>IFERROR(VLOOKUP(UPPER(TRIM('Raw Inventory'!D7)),Reference!$A$5:$B$10,2,FALSE),"Needs Review")</x:f>
        <x:v>Equipment</x:v>
      </x:c>
      <x:c r="G7" s="111" t="str">
        <x:f>IFERROR(VLOOKUP(UPPER(TRIM('Raw Inventory'!E7)),Reference!$D$5:$E$9,2,FALSE),"Needs Review")</x:f>
        <x:v>BDG-A</x:v>
      </x:c>
      <x:c r="H7" s="112" t="n">
        <x:f>'Raw Inventory'!F7</x:f>
        <x:v>40</x:v>
      </x:c>
      <x:c r="I7" s="184" t="n">
        <x:f>'Raw Inventory'!G7</x:f>
        <x:v>70</x:v>
      </x:c>
      <x:c r="J7" s="184" t="n">
        <x:f>'Raw Inventory'!H7</x:f>
        <x:v>70</x:v>
      </x:c>
      <x:c r="K7" s="184" t="n">
        <x:f>'Raw Inventory'!I7</x:f>
        <x:v>32</x:v>
      </x:c>
      <x:c r="L7" s="184">
        <x:f t="shared" si="0"/>
        <x:v>0</x:v>
      </x:c>
      <x:c r="M7" s="184">
        <x:f t="shared" si="1"/>
        <x:v>0</x:v>
      </x:c>
      <x:c r="N7" s="185">
        <x:f t="shared" si="2"/>
        <x:v>0</x:v>
      </x:c>
      <x:c r="O7" s="183" t="str">
        <x:f t="shared" si="3"/>
        <x:v>OK</x:v>
      </x:c>
      <x:c r="P7" s="183" t="str">
        <x:f t="shared" si="4"/>
        <x:v>OK</x:v>
      </x:c>
      <x:c r="Q7" s="183" t="str">
        <x:f t="shared" si="5"/>
        <x:v>OK</x:v>
      </x:c>
      <x:c r="R7" s="183" t="str">
        <x:f t="shared" si="6"/>
        <x:v>OK</x:v>
      </x:c>
      <x:c r="S7" s="183" t="str">
        <x:f>IF(ISBLANK('Raw Inventory'!H7),"Missing Physical Qty",IF(OR(NOT(ISNUMBER(J7)),J7&lt;0),"Invalid Physical Qty","OK"))</x:f>
        <x:v>OK</x:v>
      </x:c>
      <x:c r="T7" s="183" t="str">
        <x:f>IF(TRIM('Raw Inventory'!K7)="","Missing Evidence","OK")</x:f>
        <x:v>OK</x:v>
      </x:c>
      <x:c r="U7" s="183" t="str">
        <x:f t="shared" si="7"/>
        <x:v>OK</x:v>
      </x:c>
      <x:c r="V7" s="183" t="str">
        <x:f t="shared" si="8"/>
        <x:v>OK</x:v>
      </x:c>
      <x:c r="W7" s="183">
        <x:f t="shared" si="9"/>
        <x:v>0</x:v>
      </x:c>
      <x:c r="X7" s="190" t="str">
        <x:f t="shared" si="10"/>
        <x:v>Ready</x:v>
      </x:c>
      <x:c r="Y7" s="193" t="str">
        <x:f t="shared" si="11"/>
        <x:v>No action required</x:v>
      </x:c>
    </x:row>
    <x:row r="8" ht="14.25" hidden="0" customHeight="1">
      <x:c r="A8" s="183" t="n">
        <x:f>ROW('Raw Inventory'!A8)</x:f>
        <x:v>8</x:v>
      </x:c>
      <x:c r="B8" s="110" t="n">
        <x:f>'Raw Inventory'!A8</x:f>
        <x:v>46239</x:v>
      </x:c>
      <x:c r="C8" s="183" t="str">
        <x:f>'Raw Inventory'!B8</x:f>
        <x:v>SKU-0005</x:v>
      </x:c>
      <x:c r="D8" s="183" t="n">
        <x:f>COUNTIF('Raw Inventory'!$B$4:$B$63,C8)</x:f>
        <x:v>1</x:v>
      </x:c>
      <x:c r="E8" s="111" t="str">
        <x:f>TRIM('Raw Inventory'!C8)</x:f>
        <x:v>Court Classic B</x:v>
      </x:c>
      <x:c r="F8" s="111" t="str">
        <x:f>IFERROR(VLOOKUP(UPPER(TRIM('Raw Inventory'!D8)),Reference!$A$5:$B$10,2,FALSE),"Needs Review")</x:f>
        <x:v>Footwear</x:v>
      </x:c>
      <x:c r="G8" s="111" t="str">
        <x:f>IFERROR(VLOOKUP(UPPER(TRIM('Raw Inventory'!E8)),Reference!$D$5:$E$9,2,FALSE),"Needs Review")</x:f>
        <x:v>JKT-A</x:v>
      </x:c>
      <x:c r="H8" s="112" t="n">
        <x:f>'Raw Inventory'!F8</x:f>
        <x:v>47</x:v>
      </x:c>
      <x:c r="I8" s="184" t="n">
        <x:f>'Raw Inventory'!G8</x:f>
        <x:v>83</x:v>
      </x:c>
      <x:c r="J8" s="184" t="n">
        <x:f>'Raw Inventory'!H8</x:f>
        <x:v>84</x:v>
      </x:c>
      <x:c r="K8" s="184" t="n">
        <x:f>'Raw Inventory'!I8</x:f>
        <x:v>35</x:v>
      </x:c>
      <x:c r="L8" s="184">
        <x:f t="shared" si="0"/>
        <x:v>1</x:v>
      </x:c>
      <x:c r="M8" s="184">
        <x:f t="shared" si="1"/>
        <x:v>1</x:v>
      </x:c>
      <x:c r="N8" s="185">
        <x:f t="shared" si="2"/>
        <x:v>47</x:v>
      </x:c>
      <x:c r="O8" s="183" t="str">
        <x:f t="shared" si="3"/>
        <x:v>OK</x:v>
      </x:c>
      <x:c r="P8" s="183" t="str">
        <x:f t="shared" si="4"/>
        <x:v>OK</x:v>
      </x:c>
      <x:c r="Q8" s="183" t="str">
        <x:f t="shared" si="5"/>
        <x:v>OK</x:v>
      </x:c>
      <x:c r="R8" s="183" t="str">
        <x:f t="shared" si="6"/>
        <x:v>OK</x:v>
      </x:c>
      <x:c r="S8" s="183" t="str">
        <x:f>IF(ISBLANK('Raw Inventory'!H8),"Missing Physical Qty",IF(OR(NOT(ISNUMBER(J8)),J8&lt;0),"Invalid Physical Qty","OK"))</x:f>
        <x:v>OK</x:v>
      </x:c>
      <x:c r="T8" s="183" t="str">
        <x:f>IF(TRIM('Raw Inventory'!K8)="","Missing Evidence","OK")</x:f>
        <x:v>OK</x:v>
      </x:c>
      <x:c r="U8" s="183" t="str">
        <x:f t="shared" si="7"/>
        <x:v>OK</x:v>
      </x:c>
      <x:c r="V8" s="183" t="str">
        <x:f t="shared" si="8"/>
        <x:v>OK</x:v>
      </x:c>
      <x:c r="W8" s="183">
        <x:f t="shared" si="9"/>
        <x:v>1</x:v>
      </x:c>
      <x:c r="X8" s="190" t="str">
        <x:f t="shared" si="10"/>
        <x:v>Review</x:v>
      </x:c>
      <x:c r="Y8" s="193" t="str">
        <x:f t="shared" si="11"/>
        <x:v>Investigate overage and record a written resolution</x:v>
      </x:c>
    </x:row>
    <x:row r="9" ht="14.25" hidden="0" customHeight="1">
      <x:c r="A9" s="183" t="n">
        <x:f>ROW('Raw Inventory'!A9)</x:f>
        <x:v>9</x:v>
      </x:c>
      <x:c r="B9" s="110" t="n">
        <x:f>'Raw Inventory'!A9</x:f>
        <x:v>46235</x:v>
      </x:c>
      <x:c r="C9" s="183" t="str">
        <x:f>'Raw Inventory'!B9</x:f>
        <x:v>SKU-0006</x:v>
      </x:c>
      <x:c r="D9" s="183" t="n">
        <x:f>COUNTIF('Raw Inventory'!$B$4:$B$63,C9)</x:f>
        <x:v>1</x:v>
      </x:c>
      <x:c r="E9" s="111" t="str">
        <x:f>TRIM('Raw Inventory'!C9)</x:f>
        <x:v>Performance Polo C</x:v>
      </x:c>
      <x:c r="F9" s="111" t="str">
        <x:f>IFERROR(VLOOKUP(UPPER(TRIM('Raw Inventory'!D9)),Reference!$A$5:$B$10,2,FALSE),"Needs Review")</x:f>
        <x:v>Apparel</x:v>
      </x:c>
      <x:c r="G9" s="111" t="str">
        <x:f>IFERROR(VLOOKUP(UPPER(TRIM('Raw Inventory'!E9)),Reference!$D$5:$E$9,2,FALSE),"Needs Review")</x:f>
        <x:v>JKT-B</x:v>
      </x:c>
      <x:c r="H9" s="112" t="n">
        <x:f>'Raw Inventory'!F9</x:f>
        <x:v>54</x:v>
      </x:c>
      <x:c r="I9" s="184" t="n">
        <x:f>'Raw Inventory'!G9</x:f>
        <x:v>96</x:v>
      </x:c>
      <x:c r="J9" s="184" t="n">
        <x:f>'Raw Inventory'!H9</x:f>
        <x:v>99</x:v>
      </x:c>
      <x:c r="K9" s="184" t="n">
        <x:f>'Raw Inventory'!I9</x:f>
        <x:v>22</x:v>
      </x:c>
      <x:c r="L9" s="184">
        <x:f t="shared" si="0"/>
        <x:v>3</x:v>
      </x:c>
      <x:c r="M9" s="184">
        <x:f t="shared" si="1"/>
        <x:v>3</x:v>
      </x:c>
      <x:c r="N9" s="185">
        <x:f t="shared" si="2"/>
        <x:v>162</x:v>
      </x:c>
      <x:c r="O9" s="183" t="str">
        <x:f t="shared" si="3"/>
        <x:v>OK</x:v>
      </x:c>
      <x:c r="P9" s="183" t="str">
        <x:f t="shared" si="4"/>
        <x:v>OK</x:v>
      </x:c>
      <x:c r="Q9" s="183" t="str">
        <x:f t="shared" si="5"/>
        <x:v>OK</x:v>
      </x:c>
      <x:c r="R9" s="183" t="str">
        <x:f t="shared" si="6"/>
        <x:v>OK</x:v>
      </x:c>
      <x:c r="S9" s="183" t="str">
        <x:f>IF(ISBLANK('Raw Inventory'!H9),"Missing Physical Qty",IF(OR(NOT(ISNUMBER(J9)),J9&lt;0),"Invalid Physical Qty","OK"))</x:f>
        <x:v>OK</x:v>
      </x:c>
      <x:c r="T9" s="183" t="str">
        <x:f>IF(TRIM('Raw Inventory'!K9)="","Missing Evidence","OK")</x:f>
        <x:v>OK</x:v>
      </x:c>
      <x:c r="U9" s="183" t="str">
        <x:f t="shared" si="7"/>
        <x:v>OK</x:v>
      </x:c>
      <x:c r="V9" s="183" t="str">
        <x:f t="shared" si="8"/>
        <x:v>OK</x:v>
      </x:c>
      <x:c r="W9" s="183">
        <x:f t="shared" si="9"/>
        <x:v>1</x:v>
      </x:c>
      <x:c r="X9" s="190" t="str">
        <x:f t="shared" si="10"/>
        <x:v>Review</x:v>
      </x:c>
      <x:c r="Y9" s="193" t="str">
        <x:f t="shared" si="11"/>
        <x:v>Investigate overage and record a written resolution</x:v>
      </x:c>
    </x:row>
    <x:row r="10" ht="14.25" hidden="0" customHeight="1">
      <x:c r="A10" s="183" t="n">
        <x:f>ROW('Raw Inventory'!A10)</x:f>
        <x:v>10</x:v>
      </x:c>
      <x:c r="B10" s="110" t="n">
        <x:f>'Raw Inventory'!A10</x:f>
        <x:v>46236</x:v>
      </x:c>
      <x:c r="C10" s="183" t="str">
        <x:f>'Raw Inventory'!B10</x:f>
        <x:v>SKU-0007</x:v>
      </x:c>
      <x:c r="D10" s="183" t="n">
        <x:f>COUNTIF('Raw Inventory'!$B$4:$B$63,C10)</x:f>
        <x:v>1</x:v>
      </x:c>
      <x:c r="E10" s="111" t="str">
        <x:f>TRIM('Raw Inventory'!C10)</x:f>
        <x:v>Gym Bag A</x:v>
      </x:c>
      <x:c r="F10" s="111" t="str">
        <x:f>IFERROR(VLOOKUP(UPPER(TRIM('Raw Inventory'!D10)),Reference!$A$5:$B$10,2,FALSE),"Needs Review")</x:f>
        <x:v>Accessories</x:v>
      </x:c>
      <x:c r="G10" s="111" t="str">
        <x:f>IFERROR(VLOOKUP(UPPER(TRIM('Raw Inventory'!E10)),Reference!$D$5:$E$9,2,FALSE),"Needs Review")</x:f>
        <x:v>SBY-A</x:v>
      </x:c>
      <x:c r="H10" s="112" t="n">
        <x:f>'Raw Inventory'!F10</x:f>
        <x:v>61</x:v>
      </x:c>
      <x:c r="I10" s="184" t="n">
        <x:f>'Raw Inventory'!G10</x:f>
        <x:v>26</x:v>
      </x:c>
      <x:c r="J10" s="184" t="n">
        <x:f>'Raw Inventory'!H10</x:f>
        <x:v>22</x:v>
      </x:c>
      <x:c r="K10" s="184" t="n">
        <x:f>'Raw Inventory'!I10</x:f>
        <x:v>25</x:v>
      </x:c>
      <x:c r="L10" s="184">
        <x:f t="shared" si="0"/>
        <x:v>-4</x:v>
      </x:c>
      <x:c r="M10" s="184">
        <x:f t="shared" si="1"/>
        <x:v>4</x:v>
      </x:c>
      <x:c r="N10" s="185">
        <x:f t="shared" si="2"/>
        <x:v>-244</x:v>
      </x:c>
      <x:c r="O10" s="183" t="str">
        <x:f t="shared" si="3"/>
        <x:v>OK</x:v>
      </x:c>
      <x:c r="P10" s="183" t="str">
        <x:f t="shared" si="4"/>
        <x:v>OK</x:v>
      </x:c>
      <x:c r="Q10" s="183" t="str">
        <x:f t="shared" si="5"/>
        <x:v>OK</x:v>
      </x:c>
      <x:c r="R10" s="183" t="str">
        <x:f t="shared" si="6"/>
        <x:v>OK</x:v>
      </x:c>
      <x:c r="S10" s="183" t="str">
        <x:f>IF(ISBLANK('Raw Inventory'!H10),"Missing Physical Qty",IF(OR(NOT(ISNUMBER(J10)),J10&lt;0),"Invalid Physical Qty","OK"))</x:f>
        <x:v>OK</x:v>
      </x:c>
      <x:c r="T10" s="183" t="str">
        <x:f>IF(TRIM('Raw Inventory'!K10)="","Missing Evidence","OK")</x:f>
        <x:v>Missing Evidence</x:v>
      </x:c>
      <x:c r="U10" s="183" t="str">
        <x:f t="shared" si="7"/>
        <x:v>OK</x:v>
      </x:c>
      <x:c r="V10" s="183" t="str">
        <x:f t="shared" si="8"/>
        <x:v>Low Stock</x:v>
      </x:c>
      <x:c r="W10" s="183">
        <x:f t="shared" si="9"/>
        <x:v>3</x:v>
      </x:c>
      <x:c r="X10" s="190" t="str">
        <x:f t="shared" si="10"/>
        <x:v>Review</x:v>
      </x:c>
      <x:c r="Y10" s="193" t="str">
        <x:f t="shared" si="11"/>
        <x:v>Attach the count-sheet reference</x:v>
      </x:c>
    </x:row>
    <x:row r="11" ht="14.25" hidden="0" customHeight="1">
      <x:c r="A11" s="183" t="n">
        <x:f>ROW('Raw Inventory'!A11)</x:f>
        <x:v>11</x:v>
      </x:c>
      <x:c r="B11" s="110" t="n">
        <x:f>'Raw Inventory'!A11</x:f>
        <x:v>46237</x:v>
      </x:c>
      <x:c r="C11" s="183" t="str">
        <x:f>'Raw Inventory'!B11</x:f>
        <x:v>SKU-0008</x:v>
      </x:c>
      <x:c r="D11" s="183" t="n">
        <x:f>COUNTIF('Raw Inventory'!$B$4:$B$63,C11)</x:f>
        <x:v>1</x:v>
      </x:c>
      <x:c r="E11" s="111" t="str">
        <x:f>TRIM('Raw Inventory'!C11)</x:f>
        <x:v>Resistance Band B</x:v>
      </x:c>
      <x:c r="F11" s="111" t="str">
        <x:f>IFERROR(VLOOKUP(UPPER(TRIM('Raw Inventory'!D11)),Reference!$A$5:$B$10,2,FALSE),"Needs Review")</x:f>
        <x:v>Equipment</x:v>
      </x:c>
      <x:c r="G11" s="111" t="str">
        <x:f>IFERROR(VLOOKUP(UPPER(TRIM('Raw Inventory'!E11)),Reference!$D$5:$E$9,2,FALSE),"Needs Review")</x:f>
        <x:v>BDG-A</x:v>
      </x:c>
      <x:c r="H11" s="112" t="n">
        <x:f>'Raw Inventory'!F11</x:f>
        <x:v>68</x:v>
      </x:c>
      <x:c r="I11" s="184" t="n">
        <x:f>'Raw Inventory'!G11</x:f>
        <x:v>39</x:v>
      </x:c>
      <x:c r="J11" s="184" t="n">
        <x:f>'Raw Inventory'!H11</x:f>
        <x:v>37</x:v>
      </x:c>
      <x:c r="K11" s="184" t="n">
        <x:f>'Raw Inventory'!I11</x:f>
        <x:v>28</x:v>
      </x:c>
      <x:c r="L11" s="184">
        <x:f t="shared" si="0"/>
        <x:v>-2</x:v>
      </x:c>
      <x:c r="M11" s="184">
        <x:f t="shared" si="1"/>
        <x:v>2</x:v>
      </x:c>
      <x:c r="N11" s="185">
        <x:f t="shared" si="2"/>
        <x:v>-136</x:v>
      </x:c>
      <x:c r="O11" s="183" t="str">
        <x:f t="shared" si="3"/>
        <x:v>OK</x:v>
      </x:c>
      <x:c r="P11" s="183" t="str">
        <x:f t="shared" si="4"/>
        <x:v>OK</x:v>
      </x:c>
      <x:c r="Q11" s="183" t="str">
        <x:f t="shared" si="5"/>
        <x:v>OK</x:v>
      </x:c>
      <x:c r="R11" s="183" t="str">
        <x:f t="shared" si="6"/>
        <x:v>OK</x:v>
      </x:c>
      <x:c r="S11" s="183" t="str">
        <x:f>IF(ISBLANK('Raw Inventory'!H11),"Missing Physical Qty",IF(OR(NOT(ISNUMBER(J11)),J11&lt;0),"Invalid Physical Qty","OK"))</x:f>
        <x:v>OK</x:v>
      </x:c>
      <x:c r="T11" s="183" t="str">
        <x:f>IF(TRIM('Raw Inventory'!K11)="","Missing Evidence","OK")</x:f>
        <x:v>OK</x:v>
      </x:c>
      <x:c r="U11" s="183" t="str">
        <x:f t="shared" si="7"/>
        <x:v>OK</x:v>
      </x:c>
      <x:c r="V11" s="183" t="str">
        <x:f t="shared" si="8"/>
        <x:v>OK</x:v>
      </x:c>
      <x:c r="W11" s="183">
        <x:f t="shared" si="9"/>
        <x:v>1</x:v>
      </x:c>
      <x:c r="X11" s="190" t="str">
        <x:f t="shared" si="10"/>
        <x:v>Review</x:v>
      </x:c>
      <x:c r="Y11" s="193" t="str">
        <x:f t="shared" si="11"/>
        <x:v>Investigate shortage and record a written resolution</x:v>
      </x:c>
    </x:row>
    <x:row r="12" ht="14.25" hidden="0" customHeight="1">
      <x:c r="A12" s="183" t="n">
        <x:f>ROW('Raw Inventory'!A12)</x:f>
        <x:v>12</x:v>
      </x:c>
      <x:c r="B12" s="110" t="n">
        <x:f>'Raw Inventory'!A12</x:f>
        <x:v>46238</x:v>
      </x:c>
      <x:c r="C12" s="183" t="str">
        <x:f>'Raw Inventory'!B12</x:f>
        <x:v>SKU-0009</x:v>
      </x:c>
      <x:c r="D12" s="183" t="n">
        <x:f>COUNTIF('Raw Inventory'!$B$4:$B$63,C12)</x:f>
        <x:v>1</x:v>
      </x:c>
      <x:c r="E12" s="111" t="str">
        <x:f>TRIM('Raw Inventory'!C12)</x:f>
        <x:v>Trail Motion C</x:v>
      </x:c>
      <x:c r="F12" s="111" t="str">
        <x:f>IFERROR(VLOOKUP(UPPER(TRIM('Raw Inventory'!D12)),Reference!$A$5:$B$10,2,FALSE),"Needs Review")</x:f>
        <x:v>Needs Review</x:v>
      </x:c>
      <x:c r="G12" s="111" t="str">
        <x:f>IFERROR(VLOOKUP(UPPER(TRIM('Raw Inventory'!E12)),Reference!$D$5:$E$9,2,FALSE),"Needs Review")</x:f>
        <x:v>JKT-A</x:v>
      </x:c>
      <x:c r="H12" s="112" t="n">
        <x:f>'Raw Inventory'!F12</x:f>
        <x:v>75</x:v>
      </x:c>
      <x:c r="I12" s="184" t="n">
        <x:f>'Raw Inventory'!G12</x:f>
        <x:v>52</x:v>
      </x:c>
      <x:c r="J12" s="184" t="n">
        <x:f>'Raw Inventory'!H12</x:f>
        <x:v>52</x:v>
      </x:c>
      <x:c r="K12" s="184" t="n">
        <x:f>'Raw Inventory'!I12</x:f>
        <x:v>31</x:v>
      </x:c>
      <x:c r="L12" s="184">
        <x:f t="shared" si="0"/>
        <x:v>0</x:v>
      </x:c>
      <x:c r="M12" s="184">
        <x:f t="shared" si="1"/>
        <x:v>0</x:v>
      </x:c>
      <x:c r="N12" s="185">
        <x:f t="shared" si="2"/>
        <x:v>0</x:v>
      </x:c>
      <x:c r="O12" s="183" t="str">
        <x:f t="shared" si="3"/>
        <x:v>Invalid Category</x:v>
      </x:c>
      <x:c r="P12" s="183" t="str">
        <x:f t="shared" si="4"/>
        <x:v>OK</x:v>
      </x:c>
      <x:c r="Q12" s="183" t="str">
        <x:f t="shared" si="5"/>
        <x:v>OK</x:v>
      </x:c>
      <x:c r="R12" s="183" t="str">
        <x:f t="shared" si="6"/>
        <x:v>OK</x:v>
      </x:c>
      <x:c r="S12" s="183" t="str">
        <x:f>IF(ISBLANK('Raw Inventory'!H12),"Missing Physical Qty",IF(OR(NOT(ISNUMBER(J12)),J12&lt;0),"Invalid Physical Qty","OK"))</x:f>
        <x:v>OK</x:v>
      </x:c>
      <x:c r="T12" s="183" t="str">
        <x:f>IF(TRIM('Raw Inventory'!K12)="","Missing Evidence","OK")</x:f>
        <x:v>OK</x:v>
      </x:c>
      <x:c r="U12" s="183" t="str">
        <x:f t="shared" si="7"/>
        <x:v>OK</x:v>
      </x:c>
      <x:c r="V12" s="183" t="str">
        <x:f t="shared" si="8"/>
        <x:v>OK</x:v>
      </x:c>
      <x:c r="W12" s="183">
        <x:f t="shared" si="9"/>
        <x:v>1</x:v>
      </x:c>
      <x:c r="X12" s="190" t="str">
        <x:f t="shared" si="10"/>
        <x:v>Review</x:v>
      </x:c>
      <x:c r="Y12" s="193" t="str">
        <x:f t="shared" si="11"/>
        <x:v>Confirm the approved product category</x:v>
      </x:c>
    </x:row>
    <x:row r="13" ht="14.25" hidden="0" customHeight="1">
      <x:c r="A13" s="183" t="n">
        <x:f>ROW('Raw Inventory'!A13)</x:f>
        <x:v>13</x:v>
      </x:c>
      <x:c r="B13" s="110" t="n">
        <x:f>'Raw Inventory'!A13</x:f>
        <x:v>46239</x:v>
      </x:c>
      <x:c r="C13" s="183" t="str">
        <x:f>'Raw Inventory'!B13</x:f>
        <x:v>SKU-0010</x:v>
      </x:c>
      <x:c r="D13" s="183" t="n">
        <x:f>COUNTIF('Raw Inventory'!$B$4:$B$63,C13)</x:f>
        <x:v>1</x:v>
      </x:c>
      <x:c r="E13" s="111" t="str">
        <x:f>TRIM('Raw Inventory'!C13)</x:f>
        <x:v>Training Jacket A</x:v>
      </x:c>
      <x:c r="F13" s="111" t="str">
        <x:f>IFERROR(VLOOKUP(UPPER(TRIM('Raw Inventory'!D13)),Reference!$A$5:$B$10,2,FALSE),"Needs Review")</x:f>
        <x:v>Apparel</x:v>
      </x:c>
      <x:c r="G13" s="111" t="str">
        <x:f>IFERROR(VLOOKUP(UPPER(TRIM('Raw Inventory'!E13)),Reference!$D$5:$E$9,2,FALSE),"Needs Review")</x:f>
        <x:v>JKT-B</x:v>
      </x:c>
      <x:c r="H13" s="112" t="n">
        <x:f>'Raw Inventory'!F13</x:f>
        <x:v>82</x:v>
      </x:c>
      <x:c r="I13" s="184" t="n">
        <x:f>'Raw Inventory'!G13</x:f>
        <x:v>65</x:v>
      </x:c>
      <x:c r="J13" s="184" t="n">
        <x:f>'Raw Inventory'!H13</x:f>
        <x:v>65</x:v>
      </x:c>
      <x:c r="K13" s="184" t="n">
        <x:f>'Raw Inventory'!I13</x:f>
        <x:v>34</x:v>
      </x:c>
      <x:c r="L13" s="184">
        <x:f t="shared" si="0"/>
        <x:v>0</x:v>
      </x:c>
      <x:c r="M13" s="184">
        <x:f t="shared" si="1"/>
        <x:v>0</x:v>
      </x:c>
      <x:c r="N13" s="185">
        <x:f t="shared" si="2"/>
        <x:v>0</x:v>
      </x:c>
      <x:c r="O13" s="183" t="str">
        <x:f t="shared" si="3"/>
        <x:v>OK</x:v>
      </x:c>
      <x:c r="P13" s="183" t="str">
        <x:f t="shared" si="4"/>
        <x:v>OK</x:v>
      </x:c>
      <x:c r="Q13" s="183" t="str">
        <x:f t="shared" si="5"/>
        <x:v>OK</x:v>
      </x:c>
      <x:c r="R13" s="183" t="str">
        <x:f t="shared" si="6"/>
        <x:v>OK</x:v>
      </x:c>
      <x:c r="S13" s="183" t="str">
        <x:f>IF(ISBLANK('Raw Inventory'!H13),"Missing Physical Qty",IF(OR(NOT(ISNUMBER(J13)),J13&lt;0),"Invalid Physical Qty","OK"))</x:f>
        <x:v>OK</x:v>
      </x:c>
      <x:c r="T13" s="183" t="str">
        <x:f>IF(TRIM('Raw Inventory'!K13)="","Missing Evidence","OK")</x:f>
        <x:v>OK</x:v>
      </x:c>
      <x:c r="U13" s="183" t="str">
        <x:f t="shared" si="7"/>
        <x:v>OK</x:v>
      </x:c>
      <x:c r="V13" s="183" t="str">
        <x:f t="shared" si="8"/>
        <x:v>OK</x:v>
      </x:c>
      <x:c r="W13" s="183">
        <x:f t="shared" si="9"/>
        <x:v>0</x:v>
      </x:c>
      <x:c r="X13" s="190" t="str">
        <x:f t="shared" si="10"/>
        <x:v>Ready</x:v>
      </x:c>
      <x:c r="Y13" s="193" t="str">
        <x:f t="shared" si="11"/>
        <x:v>No action required</x:v>
      </x:c>
    </x:row>
    <x:row r="14" ht="14.25" hidden="0" customHeight="1">
      <x:c r="A14" s="183" t="n">
        <x:f>ROW('Raw Inventory'!A14)</x:f>
        <x:v>14</x:v>
      </x:c>
      <x:c r="B14" s="110" t="n">
        <x:f>'Raw Inventory'!A14</x:f>
        <x:v>46235</x:v>
      </x:c>
      <x:c r="C14" s="183" t="str">
        <x:f>'Raw Inventory'!B14</x:f>
        <x:v>SKU-0011</x:v>
      </x:c>
      <x:c r="D14" s="183" t="n">
        <x:f>COUNTIF('Raw Inventory'!$B$4:$B$63,C14)</x:f>
        <x:v>1</x:v>
      </x:c>
      <x:c r="E14" s="111" t="str">
        <x:f>TRIM('Raw Inventory'!C14)</x:f>
        <x:v>Crew Socks B</x:v>
      </x:c>
      <x:c r="F14" s="111" t="str">
        <x:f>IFERROR(VLOOKUP(UPPER(TRIM('Raw Inventory'!D14)),Reference!$A$5:$B$10,2,FALSE),"Needs Review")</x:f>
        <x:v>Accessories</x:v>
      </x:c>
      <x:c r="G14" s="111" t="str">
        <x:f>IFERROR(VLOOKUP(UPPER(TRIM('Raw Inventory'!E14)),Reference!$D$5:$E$9,2,FALSE),"Needs Review")</x:f>
        <x:v>SBY-A</x:v>
      </x:c>
      <x:c r="H14" s="112" t="n">
        <x:f>'Raw Inventory'!F14</x:f>
        <x:v>16</x:v>
      </x:c>
      <x:c r="I14" s="184" t="n">
        <x:f>'Raw Inventory'!G14</x:f>
        <x:v>78</x:v>
      </x:c>
      <x:c r="J14" s="184" t="n">
        <x:f>'Raw Inventory'!H14</x:f>
        <x:v>78</x:v>
      </x:c>
      <x:c r="K14" s="184" t="n">
        <x:f>'Raw Inventory'!I14</x:f>
        <x:v>21</x:v>
      </x:c>
      <x:c r="L14" s="184">
        <x:f t="shared" si="0"/>
        <x:v>0</x:v>
      </x:c>
      <x:c r="M14" s="184">
        <x:f t="shared" si="1"/>
        <x:v>0</x:v>
      </x:c>
      <x:c r="N14" s="185">
        <x:f t="shared" si="2"/>
        <x:v>0</x:v>
      </x:c>
      <x:c r="O14" s="183" t="str">
        <x:f t="shared" si="3"/>
        <x:v>OK</x:v>
      </x:c>
      <x:c r="P14" s="183" t="str">
        <x:f t="shared" si="4"/>
        <x:v>OK</x:v>
      </x:c>
      <x:c r="Q14" s="183" t="str">
        <x:f t="shared" si="5"/>
        <x:v>OK</x:v>
      </x:c>
      <x:c r="R14" s="183" t="str">
        <x:f t="shared" si="6"/>
        <x:v>OK</x:v>
      </x:c>
      <x:c r="S14" s="183" t="str">
        <x:f>IF(ISBLANK('Raw Inventory'!H14),"Missing Physical Qty",IF(OR(NOT(ISNUMBER(J14)),J14&lt;0),"Invalid Physical Qty","OK"))</x:f>
        <x:v>OK</x:v>
      </x:c>
      <x:c r="T14" s="183" t="str">
        <x:f>IF(TRIM('Raw Inventory'!K14)="","Missing Evidence","OK")</x:f>
        <x:v>OK</x:v>
      </x:c>
      <x:c r="U14" s="183" t="str">
        <x:f t="shared" si="7"/>
        <x:v>OK</x:v>
      </x:c>
      <x:c r="V14" s="183" t="str">
        <x:f t="shared" si="8"/>
        <x:v>OK</x:v>
      </x:c>
      <x:c r="W14" s="183">
        <x:f t="shared" si="9"/>
        <x:v>0</x:v>
      </x:c>
      <x:c r="X14" s="190" t="str">
        <x:f t="shared" si="10"/>
        <x:v>Ready</x:v>
      </x:c>
      <x:c r="Y14" s="193" t="str">
        <x:f t="shared" si="11"/>
        <x:v>No action required</x:v>
      </x:c>
    </x:row>
    <x:row r="15" ht="14.25" hidden="0" customHeight="1">
      <x:c r="A15" s="183" t="n">
        <x:f>ROW('Raw Inventory'!A15)</x:f>
        <x:v>15</x:v>
      </x:c>
      <x:c r="B15" s="110" t="n">
        <x:f>'Raw Inventory'!A15</x:f>
        <x:v>46236</x:v>
      </x:c>
      <x:c r="C15" s="183" t="str">
        <x:f>'Raw Inventory'!B15</x:f>
        <x:v>SKU-0012</x:v>
      </x:c>
      <x:c r="D15" s="183" t="n">
        <x:f>COUNTIF('Raw Inventory'!$B$4:$B$63,C15)</x:f>
        <x:v>1</x:v>
      </x:c>
      <x:c r="E15" s="111" t="str">
        <x:f>TRIM('Raw Inventory'!C15)</x:f>
        <x:v>Training Cone C</x:v>
      </x:c>
      <x:c r="F15" s="111" t="str">
        <x:f>IFERROR(VLOOKUP(UPPER(TRIM('Raw Inventory'!D15)),Reference!$A$5:$B$10,2,FALSE),"Needs Review")</x:f>
        <x:v>Equipment</x:v>
      </x:c>
      <x:c r="G15" s="111" t="str">
        <x:f>IFERROR(VLOOKUP(UPPER(TRIM('Raw Inventory'!E15)),Reference!$D$5:$E$9,2,FALSE),"Needs Review")</x:f>
        <x:v>BDG-A</x:v>
      </x:c>
      <x:c r="H15" s="112" t="n">
        <x:f>'Raw Inventory'!F15</x:f>
        <x:v>23</x:v>
      </x:c>
      <x:c r="I15" s="184" t="n">
        <x:f>'Raw Inventory'!G15</x:f>
        <x:v>91</x:v>
      </x:c>
      <x:c r="J15" s="184" t="n">
        <x:f>'Raw Inventory'!H15</x:f>
        <x:v>92</x:v>
      </x:c>
      <x:c r="K15" s="184" t="n">
        <x:f>'Raw Inventory'!I15</x:f>
        <x:v>24</x:v>
      </x:c>
      <x:c r="L15" s="184">
        <x:f t="shared" si="0"/>
        <x:v>1</x:v>
      </x:c>
      <x:c r="M15" s="184">
        <x:f t="shared" si="1"/>
        <x:v>1</x:v>
      </x:c>
      <x:c r="N15" s="185">
        <x:f t="shared" si="2"/>
        <x:v>23</x:v>
      </x:c>
      <x:c r="O15" s="183" t="str">
        <x:f t="shared" si="3"/>
        <x:v>OK</x:v>
      </x:c>
      <x:c r="P15" s="183" t="str">
        <x:f t="shared" si="4"/>
        <x:v>OK</x:v>
      </x:c>
      <x:c r="Q15" s="183" t="str">
        <x:f t="shared" si="5"/>
        <x:v>OK</x:v>
      </x:c>
      <x:c r="R15" s="183" t="str">
        <x:f t="shared" si="6"/>
        <x:v>OK</x:v>
      </x:c>
      <x:c r="S15" s="183" t="str">
        <x:f>IF(ISBLANK('Raw Inventory'!H15),"Missing Physical Qty",IF(OR(NOT(ISNUMBER(J15)),J15&lt;0),"Invalid Physical Qty","OK"))</x:f>
        <x:v>OK</x:v>
      </x:c>
      <x:c r="T15" s="183" t="str">
        <x:f>IF(TRIM('Raw Inventory'!K15)="","Missing Evidence","OK")</x:f>
        <x:v>OK</x:v>
      </x:c>
      <x:c r="U15" s="183" t="str">
        <x:f t="shared" si="7"/>
        <x:v>OK</x:v>
      </x:c>
      <x:c r="V15" s="183" t="str">
        <x:f t="shared" si="8"/>
        <x:v>OK</x:v>
      </x:c>
      <x:c r="W15" s="183">
        <x:f t="shared" si="9"/>
        <x:v>1</x:v>
      </x:c>
      <x:c r="X15" s="190" t="str">
        <x:f t="shared" si="10"/>
        <x:v>Review</x:v>
      </x:c>
      <x:c r="Y15" s="193" t="str">
        <x:f t="shared" si="11"/>
        <x:v>Investigate overage and record a written resolution</x:v>
      </x:c>
    </x:row>
    <x:row r="16" ht="14.25" hidden="0" customHeight="1">
      <x:c r="A16" s="183" t="n">
        <x:f>ROW('Raw Inventory'!A16)</x:f>
        <x:v>16</x:v>
      </x:c>
      <x:c r="B16" s="110" t="n">
        <x:f>'Raw Inventory'!A16</x:f>
        <x:v>46237</x:v>
      </x:c>
      <x:c r="C16" s="183" t="str">
        <x:f>'Raw Inventory'!B16</x:f>
        <x:v>SKU-0013</x:v>
      </x:c>
      <x:c r="D16" s="183" t="n">
        <x:f>COUNTIF('Raw Inventory'!$B$4:$B$63,C16)</x:f>
        <x:v>2</x:v>
      </x:c>
      <x:c r="E16" s="111" t="str">
        <x:f>TRIM('Raw Inventory'!C16)</x:f>
        <x:v>Urban Flex A</x:v>
      </x:c>
      <x:c r="F16" s="111" t="str">
        <x:f>IFERROR(VLOOKUP(UPPER(TRIM('Raw Inventory'!D16)),Reference!$A$5:$B$10,2,FALSE),"Needs Review")</x:f>
        <x:v>Footwear</x:v>
      </x:c>
      <x:c r="G16" s="111" t="str">
        <x:f>IFERROR(VLOOKUP(UPPER(TRIM('Raw Inventory'!E16)),Reference!$D$5:$E$9,2,FALSE),"Needs Review")</x:f>
        <x:v>JKT-A</x:v>
      </x:c>
      <x:c r="H16" s="112" t="n">
        <x:f>'Raw Inventory'!F16</x:f>
        <x:v>30</x:v>
      </x:c>
      <x:c r="I16" s="184" t="n">
        <x:f>'Raw Inventory'!G16</x:f>
        <x:v>21</x:v>
      </x:c>
      <x:c r="J16" s="184" t="n">
        <x:f>'Raw Inventory'!H16</x:f>
        <x:v>24</x:v>
      </x:c>
      <x:c r="K16" s="184" t="n">
        <x:f>'Raw Inventory'!I16</x:f>
        <x:v>27</x:v>
      </x:c>
      <x:c r="L16" s="184">
        <x:f t="shared" si="0"/>
        <x:v>3</x:v>
      </x:c>
      <x:c r="M16" s="184">
        <x:f t="shared" si="1"/>
        <x:v>3</x:v>
      </x:c>
      <x:c r="N16" s="185">
        <x:f t="shared" si="2"/>
        <x:v>90</x:v>
      </x:c>
      <x:c r="O16" s="183" t="str">
        <x:f t="shared" si="3"/>
        <x:v>OK</x:v>
      </x:c>
      <x:c r="P16" s="183" t="str">
        <x:f t="shared" si="4"/>
        <x:v>OK</x:v>
      </x:c>
      <x:c r="Q16" s="183" t="str">
        <x:f t="shared" si="5"/>
        <x:v>OK</x:v>
      </x:c>
      <x:c r="R16" s="183" t="str">
        <x:f t="shared" si="6"/>
        <x:v>OK</x:v>
      </x:c>
      <x:c r="S16" s="183" t="str">
        <x:f>IF(ISBLANK('Raw Inventory'!H16),"Missing Physical Qty",IF(OR(NOT(ISNUMBER(J16)),J16&lt;0),"Invalid Physical Qty","OK"))</x:f>
        <x:v>OK</x:v>
      </x:c>
      <x:c r="T16" s="183" t="str">
        <x:f>IF(TRIM('Raw Inventory'!K16)="","Missing Evidence","OK")</x:f>
        <x:v>OK</x:v>
      </x:c>
      <x:c r="U16" s="183" t="str">
        <x:f t="shared" si="7"/>
        <x:v>Duplicate SKU</x:v>
      </x:c>
      <x:c r="V16" s="183" t="str">
        <x:f t="shared" si="8"/>
        <x:v>Low Stock</x:v>
      </x:c>
      <x:c r="W16" s="183">
        <x:f t="shared" si="9"/>
        <x:v>3</x:v>
      </x:c>
      <x:c r="X16" s="190" t="str">
        <x:f t="shared" si="10"/>
        <x:v>High Priority Review</x:v>
      </x:c>
      <x:c r="Y16" s="193" t="str">
        <x:f t="shared" si="11"/>
        <x:v>Compare duplicate rows with the approved stock source</x:v>
      </x:c>
    </x:row>
    <x:row r="17" ht="14.25" hidden="0" customHeight="1">
      <x:c r="A17" s="183" t="n">
        <x:f>ROW('Raw Inventory'!A17)</x:f>
        <x:v>17</x:v>
      </x:c>
      <x:c r="B17" s="110" t="n">
        <x:f>'Raw Inventory'!A17</x:f>
        <x:v>46238</x:v>
      </x:c>
      <x:c r="C17" s="183" t="str">
        <x:f>'Raw Inventory'!B17</x:f>
        <x:v>SKU-0013</x:v>
      </x:c>
      <x:c r="D17" s="183" t="n">
        <x:f>COUNTIF('Raw Inventory'!$B$4:$B$63,C17)</x:f>
        <x:v>2</x:v>
      </x:c>
      <x:c r="E17" s="111" t="str">
        <x:f>TRIM('Raw Inventory'!C17)</x:f>
        <x:v>Everyday Hoodie B</x:v>
      </x:c>
      <x:c r="F17" s="111" t="str">
        <x:f>IFERROR(VLOOKUP(UPPER(TRIM('Raw Inventory'!D17)),Reference!$A$5:$B$10,2,FALSE),"Needs Review")</x:f>
        <x:v>Apparel</x:v>
      </x:c>
      <x:c r="G17" s="111" t="str">
        <x:f>IFERROR(VLOOKUP(UPPER(TRIM('Raw Inventory'!E17)),Reference!$D$5:$E$9,2,FALSE),"Needs Review")</x:f>
        <x:v>JKT-B</x:v>
      </x:c>
      <x:c r="H17" s="112" t="n">
        <x:f>'Raw Inventory'!F17</x:f>
        <x:v>37</x:v>
      </x:c>
      <x:c r="I17" s="184" t="n">
        <x:f>'Raw Inventory'!G17</x:f>
        <x:v>34</x:v>
      </x:c>
      <x:c r="J17" s="184" t="n">
        <x:f>'Raw Inventory'!H17</x:f>
        <x:v>30</x:v>
      </x:c>
      <x:c r="K17" s="184" t="n">
        <x:f>'Raw Inventory'!I17</x:f>
        <x:v>30</x:v>
      </x:c>
      <x:c r="L17" s="184">
        <x:f t="shared" si="0"/>
        <x:v>-4</x:v>
      </x:c>
      <x:c r="M17" s="184">
        <x:f t="shared" si="1"/>
        <x:v>4</x:v>
      </x:c>
      <x:c r="N17" s="185">
        <x:f t="shared" si="2"/>
        <x:v>-148</x:v>
      </x:c>
      <x:c r="O17" s="183" t="str">
        <x:f t="shared" si="3"/>
        <x:v>OK</x:v>
      </x:c>
      <x:c r="P17" s="183" t="str">
        <x:f t="shared" si="4"/>
        <x:v>OK</x:v>
      </x:c>
      <x:c r="Q17" s="183" t="str">
        <x:f t="shared" si="5"/>
        <x:v>OK</x:v>
      </x:c>
      <x:c r="R17" s="183" t="str">
        <x:f t="shared" si="6"/>
        <x:v>OK</x:v>
      </x:c>
      <x:c r="S17" s="183" t="str">
        <x:f>IF(ISBLANK('Raw Inventory'!H17),"Missing Physical Qty",IF(OR(NOT(ISNUMBER(J17)),J17&lt;0),"Invalid Physical Qty","OK"))</x:f>
        <x:v>OK</x:v>
      </x:c>
      <x:c r="T17" s="183" t="str">
        <x:f>IF(TRIM('Raw Inventory'!K17)="","Missing Evidence","OK")</x:f>
        <x:v>OK</x:v>
      </x:c>
      <x:c r="U17" s="183" t="str">
        <x:f t="shared" si="7"/>
        <x:v>Duplicate SKU</x:v>
      </x:c>
      <x:c r="V17" s="183" t="str">
        <x:f t="shared" si="8"/>
        <x:v>Low Stock</x:v>
      </x:c>
      <x:c r="W17" s="183">
        <x:f t="shared" si="9"/>
        <x:v>3</x:v>
      </x:c>
      <x:c r="X17" s="190" t="str">
        <x:f t="shared" si="10"/>
        <x:v>High Priority Review</x:v>
      </x:c>
      <x:c r="Y17" s="193" t="str">
        <x:f t="shared" si="11"/>
        <x:v>Compare duplicate rows with the approved stock source</x:v>
      </x:c>
    </x:row>
    <x:row r="18" ht="14.25" hidden="0" customHeight="1">
      <x:c r="A18" s="183" t="n">
        <x:f>ROW('Raw Inventory'!A18)</x:f>
        <x:v>18</x:v>
      </x:c>
      <x:c r="B18" s="110" t="n">
        <x:f>'Raw Inventory'!A18</x:f>
        <x:v>46239</x:v>
      </x:c>
      <x:c r="C18" s="183" t="str">
        <x:f>'Raw Inventory'!B18</x:f>
        <x:v>SKU-0015</x:v>
      </x:c>
      <x:c r="D18" s="183" t="n">
        <x:f>COUNTIF('Raw Inventory'!$B$4:$B$63,C18)</x:f>
        <x:v>1</x:v>
      </x:c>
      <x:c r="E18" s="111" t="str">
        <x:f>TRIM('Raw Inventory'!C18)</x:f>
        <x:v>Water Bottle C</x:v>
      </x:c>
      <x:c r="F18" s="111" t="str">
        <x:f>IFERROR(VLOOKUP(UPPER(TRIM('Raw Inventory'!D18)),Reference!$A$5:$B$10,2,FALSE),"Needs Review")</x:f>
        <x:v>Accessories</x:v>
      </x:c>
      <x:c r="G18" s="111" t="str">
        <x:f>IFERROR(VLOOKUP(UPPER(TRIM('Raw Inventory'!E18)),Reference!$D$5:$E$9,2,FALSE),"Needs Review")</x:f>
        <x:v>SBY-A</x:v>
      </x:c>
      <x:c r="H18" s="112" t="n">
        <x:f>'Raw Inventory'!F18</x:f>
        <x:v>44</x:v>
      </x:c>
      <x:c r="I18" s="184" t="n">
        <x:f>'Raw Inventory'!G18</x:f>
        <x:v>47</x:v>
      </x:c>
      <x:c r="J18" s="184" t="n">
        <x:f>'Raw Inventory'!H18</x:f>
        <x:v>45</x:v>
      </x:c>
      <x:c r="K18" s="184" t="n">
        <x:f>'Raw Inventory'!I18</x:f>
        <x:v>33</x:v>
      </x:c>
      <x:c r="L18" s="184">
        <x:f t="shared" si="0"/>
        <x:v>-2</x:v>
      </x:c>
      <x:c r="M18" s="184">
        <x:f t="shared" si="1"/>
        <x:v>2</x:v>
      </x:c>
      <x:c r="N18" s="185">
        <x:f t="shared" si="2"/>
        <x:v>-88</x:v>
      </x:c>
      <x:c r="O18" s="183" t="str">
        <x:f t="shared" si="3"/>
        <x:v>OK</x:v>
      </x:c>
      <x:c r="P18" s="183" t="str">
        <x:f t="shared" si="4"/>
        <x:v>OK</x:v>
      </x:c>
      <x:c r="Q18" s="183" t="str">
        <x:f t="shared" si="5"/>
        <x:v>OK</x:v>
      </x:c>
      <x:c r="R18" s="183" t="str">
        <x:f t="shared" si="6"/>
        <x:v>OK</x:v>
      </x:c>
      <x:c r="S18" s="183" t="str">
        <x:f>IF(ISBLANK('Raw Inventory'!H18),"Missing Physical Qty",IF(OR(NOT(ISNUMBER(J18)),J18&lt;0),"Invalid Physical Qty","OK"))</x:f>
        <x:v>OK</x:v>
      </x:c>
      <x:c r="T18" s="183" t="str">
        <x:f>IF(TRIM('Raw Inventory'!K18)="","Missing Evidence","OK")</x:f>
        <x:v>OK</x:v>
      </x:c>
      <x:c r="U18" s="183" t="str">
        <x:f t="shared" si="7"/>
        <x:v>OK</x:v>
      </x:c>
      <x:c r="V18" s="183" t="str">
        <x:f t="shared" si="8"/>
        <x:v>OK</x:v>
      </x:c>
      <x:c r="W18" s="183">
        <x:f t="shared" si="9"/>
        <x:v>1</x:v>
      </x:c>
      <x:c r="X18" s="190" t="str">
        <x:f t="shared" si="10"/>
        <x:v>Review</x:v>
      </x:c>
      <x:c r="Y18" s="193" t="str">
        <x:f t="shared" si="11"/>
        <x:v>Investigate shortage and record a written resolution</x:v>
      </x:c>
    </x:row>
    <x:row r="19" ht="14.25" hidden="0" customHeight="1">
      <x:c r="A19" s="183" t="n">
        <x:f>ROW('Raw Inventory'!A19)</x:f>
        <x:v>19</x:v>
      </x:c>
      <x:c r="B19" s="110" t="n">
        <x:f>'Raw Inventory'!A19</x:f>
        <x:v>46235</x:v>
      </x:c>
      <x:c r="C19" s="183" t="str">
        <x:f>'Raw Inventory'!B19</x:f>
        <x:v>SKU-0016</x:v>
      </x:c>
      <x:c r="D19" s="183" t="n">
        <x:f>COUNTIF('Raw Inventory'!$B$4:$B$63,C19)</x:f>
        <x:v>1</x:v>
      </x:c>
      <x:c r="E19" s="111" t="str">
        <x:f>TRIM('Raw Inventory'!C19)</x:f>
        <x:v>Foam Roller A</x:v>
      </x:c>
      <x:c r="F19" s="111" t="str">
        <x:f>IFERROR(VLOOKUP(UPPER(TRIM('Raw Inventory'!D19)),Reference!$A$5:$B$10,2,FALSE),"Needs Review")</x:f>
        <x:v>Equipment</x:v>
      </x:c>
      <x:c r="G19" s="111" t="str">
        <x:f>IFERROR(VLOOKUP(UPPER(TRIM('Raw Inventory'!E19)),Reference!$D$5:$E$9,2,FALSE),"Needs Review")</x:f>
        <x:v>BDG-A</x:v>
      </x:c>
      <x:c r="H19" s="112" t="n">
        <x:f>'Raw Inventory'!F19</x:f>
        <x:v>51</x:v>
      </x:c>
      <x:c r="I19" s="184" t="n">
        <x:f>'Raw Inventory'!G19</x:f>
        <x:v>60</x:v>
      </x:c>
      <x:c r="J19" s="184" t="n">
        <x:f>'Raw Inventory'!H19</x:f>
        <x:v>60</x:v>
      </x:c>
      <x:c r="K19" s="184" t="n">
        <x:f>'Raw Inventory'!I19</x:f>
        <x:v>20</x:v>
      </x:c>
      <x:c r="L19" s="184">
        <x:f t="shared" si="0"/>
        <x:v>0</x:v>
      </x:c>
      <x:c r="M19" s="184">
        <x:f t="shared" si="1"/>
        <x:v>0</x:v>
      </x:c>
      <x:c r="N19" s="185">
        <x:f t="shared" si="2"/>
        <x:v>0</x:v>
      </x:c>
      <x:c r="O19" s="183" t="str">
        <x:f t="shared" si="3"/>
        <x:v>OK</x:v>
      </x:c>
      <x:c r="P19" s="183" t="str">
        <x:f t="shared" si="4"/>
        <x:v>OK</x:v>
      </x:c>
      <x:c r="Q19" s="183" t="str">
        <x:f t="shared" si="5"/>
        <x:v>OK</x:v>
      </x:c>
      <x:c r="R19" s="183" t="str">
        <x:f t="shared" si="6"/>
        <x:v>OK</x:v>
      </x:c>
      <x:c r="S19" s="183" t="str">
        <x:f>IF(ISBLANK('Raw Inventory'!H19),"Missing Physical Qty",IF(OR(NOT(ISNUMBER(J19)),J19&lt;0),"Invalid Physical Qty","OK"))</x:f>
        <x:v>OK</x:v>
      </x:c>
      <x:c r="T19" s="183" t="str">
        <x:f>IF(TRIM('Raw Inventory'!K19)="","Missing Evidence","OK")</x:f>
        <x:v>OK</x:v>
      </x:c>
      <x:c r="U19" s="183" t="str">
        <x:f t="shared" si="7"/>
        <x:v>OK</x:v>
      </x:c>
      <x:c r="V19" s="183" t="str">
        <x:f t="shared" si="8"/>
        <x:v>OK</x:v>
      </x:c>
      <x:c r="W19" s="183">
        <x:f t="shared" si="9"/>
        <x:v>0</x:v>
      </x:c>
      <x:c r="X19" s="190" t="str">
        <x:f t="shared" si="10"/>
        <x:v>Ready</x:v>
      </x:c>
      <x:c r="Y19" s="193" t="str">
        <x:f t="shared" si="11"/>
        <x:v>No action required</x:v>
      </x:c>
    </x:row>
    <x:row r="20" ht="14.25" hidden="0" customHeight="1">
      <x:c r="A20" s="183" t="n">
        <x:f>ROW('Raw Inventory'!A20)</x:f>
        <x:v>20</x:v>
      </x:c>
      <x:c r="B20" s="110" t="n">
        <x:f>'Raw Inventory'!A20</x:f>
        <x:v>46236</x:v>
      </x:c>
      <x:c r="C20" s="183" t="str">
        <x:f>'Raw Inventory'!B20</x:f>
        <x:v>SKU-0017</x:v>
      </x:c>
      <x:c r="D20" s="183" t="n">
        <x:f>COUNTIF('Raw Inventory'!$B$4:$B$63,C20)</x:f>
        <x:v>1</x:v>
      </x:c>
      <x:c r="E20" s="111" t="str">
        <x:f>TRIM('Raw Inventory'!C20)</x:f>
        <x:v>Daily Trainer B</x:v>
      </x:c>
      <x:c r="F20" s="111" t="str">
        <x:f>IFERROR(VLOOKUP(UPPER(TRIM('Raw Inventory'!D20)),Reference!$A$5:$B$10,2,FALSE),"Needs Review")</x:f>
        <x:v>Footwear</x:v>
      </x:c>
      <x:c r="G20" s="111" t="str">
        <x:f>IFERROR(VLOOKUP(UPPER(TRIM('Raw Inventory'!E20)),Reference!$D$5:$E$9,2,FALSE),"Needs Review")</x:f>
        <x:v>JKT-A</x:v>
      </x:c>
      <x:c r="H20" s="112" t="n">
        <x:f>'Raw Inventory'!F20</x:f>
        <x:v>58</x:v>
      </x:c>
      <x:c r="I20" s="184" t="n">
        <x:f>'Raw Inventory'!G20</x:f>
        <x:v>73</x:v>
      </x:c>
      <x:c r="J20" s="184" t="n">
        <x:f>'Raw Inventory'!H20</x:f>
        <x:v>73</x:v>
      </x:c>
      <x:c r="K20" s="184" t="n">
        <x:f>'Raw Inventory'!I20</x:f>
        <x:v>23</x:v>
      </x:c>
      <x:c r="L20" s="184">
        <x:f t="shared" si="0"/>
        <x:v>0</x:v>
      </x:c>
      <x:c r="M20" s="184">
        <x:f t="shared" si="1"/>
        <x:v>0</x:v>
      </x:c>
      <x:c r="N20" s="185">
        <x:f t="shared" si="2"/>
        <x:v>0</x:v>
      </x:c>
      <x:c r="O20" s="183" t="str">
        <x:f t="shared" si="3"/>
        <x:v>OK</x:v>
      </x:c>
      <x:c r="P20" s="183" t="str">
        <x:f t="shared" si="4"/>
        <x:v>OK</x:v>
      </x:c>
      <x:c r="Q20" s="183" t="str">
        <x:f t="shared" si="5"/>
        <x:v>OK</x:v>
      </x:c>
      <x:c r="R20" s="183" t="str">
        <x:f t="shared" si="6"/>
        <x:v>OK</x:v>
      </x:c>
      <x:c r="S20" s="183" t="str">
        <x:f>IF(ISBLANK('Raw Inventory'!H20),"Missing Physical Qty",IF(OR(NOT(ISNUMBER(J20)),J20&lt;0),"Invalid Physical Qty","OK"))</x:f>
        <x:v>OK</x:v>
      </x:c>
      <x:c r="T20" s="183" t="str">
        <x:f>IF(TRIM('Raw Inventory'!K20)="","Missing Evidence","OK")</x:f>
        <x:v>OK</x:v>
      </x:c>
      <x:c r="U20" s="183" t="str">
        <x:f t="shared" si="7"/>
        <x:v>OK</x:v>
      </x:c>
      <x:c r="V20" s="183" t="str">
        <x:f t="shared" si="8"/>
        <x:v>OK</x:v>
      </x:c>
      <x:c r="W20" s="183">
        <x:f t="shared" si="9"/>
        <x:v>0</x:v>
      </x:c>
      <x:c r="X20" s="190" t="str">
        <x:f t="shared" si="10"/>
        <x:v>Ready</x:v>
      </x:c>
      <x:c r="Y20" s="193" t="str">
        <x:f t="shared" si="11"/>
        <x:v>No action required</x:v>
      </x:c>
    </x:row>
    <x:row r="21" ht="14.25" hidden="0" customHeight="1">
      <x:c r="A21" s="183" t="n">
        <x:f>ROW('Raw Inventory'!A21)</x:f>
        <x:v>21</x:v>
      </x:c>
      <x:c r="B21" s="110" t="n">
        <x:f>'Raw Inventory'!A21</x:f>
        <x:v>46237</x:v>
      </x:c>
      <x:c r="C21" s="183" t="str">
        <x:f>'Raw Inventory'!B21</x:f>
        <x:v>SKU-0018</x:v>
      </x:c>
      <x:c r="D21" s="183" t="n">
        <x:f>COUNTIF('Raw Inventory'!$B$4:$B$63,C21)</x:f>
        <x:v>1</x:v>
      </x:c>
      <x:c r="E21" s="111" t="str">
        <x:f>TRIM('Raw Inventory'!C21)</x:f>
        <x:v>Active Shorts C</x:v>
      </x:c>
      <x:c r="F21" s="111" t="str">
        <x:f>IFERROR(VLOOKUP(UPPER(TRIM('Raw Inventory'!D21)),Reference!$A$5:$B$10,2,FALSE),"Needs Review")</x:f>
        <x:v>Apparel</x:v>
      </x:c>
      <x:c r="G21" s="111" t="str">
        <x:f>IFERROR(VLOOKUP(UPPER(TRIM('Raw Inventory'!E21)),Reference!$D$5:$E$9,2,FALSE),"Needs Review")</x:f>
        <x:v>JKT-B</x:v>
      </x:c>
      <x:c r="H21" s="112" t="n">
        <x:f>'Raw Inventory'!F21</x:f>
        <x:v>65</x:v>
      </x:c>
      <x:c r="I21" s="184" t="n">
        <x:f>'Raw Inventory'!G21</x:f>
        <x:v>86</x:v>
      </x:c>
      <x:c r="J21" s="184" t="n">
        <x:f>'Raw Inventory'!H21</x:f>
        <x:v>0</x:v>
      </x:c>
      <x:c r="K21" s="184" t="n">
        <x:f>'Raw Inventory'!I21</x:f>
        <x:v>26</x:v>
      </x:c>
      <x:c r="L21" s="184" t="str">
        <x:f t="shared" si="0"/>
      </x:c>
      <x:c r="M21" s="184" t="str">
        <x:f t="shared" si="1"/>
      </x:c>
      <x:c r="N21" s="185" t="str">
        <x:f t="shared" si="2"/>
      </x:c>
      <x:c r="O21" s="183" t="str">
        <x:f t="shared" si="3"/>
        <x:v>OK</x:v>
      </x:c>
      <x:c r="P21" s="183" t="str">
        <x:f t="shared" si="4"/>
        <x:v>OK</x:v>
      </x:c>
      <x:c r="Q21" s="183" t="str">
        <x:f t="shared" si="5"/>
        <x:v>OK</x:v>
      </x:c>
      <x:c r="R21" s="183" t="str">
        <x:f t="shared" si="6"/>
        <x:v>OK</x:v>
      </x:c>
      <x:c r="S21" s="183" t="str">
        <x:f>IF(ISBLANK('Raw Inventory'!H21),"Missing Physical Qty",IF(OR(NOT(ISNUMBER(J21)),J21&lt;0),"Invalid Physical Qty","OK"))</x:f>
        <x:v>Missing Physical Qty</x:v>
      </x:c>
      <x:c r="T21" s="183" t="str">
        <x:f>IF(TRIM('Raw Inventory'!K21)="","Missing Evidence","OK")</x:f>
        <x:v>OK</x:v>
      </x:c>
      <x:c r="U21" s="183" t="str">
        <x:f t="shared" si="7"/>
        <x:v>OK</x:v>
      </x:c>
      <x:c r="V21" s="183" t="str">
        <x:f t="shared" si="8"/>
        <x:v>N/A</x:v>
      </x:c>
      <x:c r="W21" s="183">
        <x:f t="shared" si="9"/>
        <x:v>1</x:v>
      </x:c>
      <x:c r="X21" s="190" t="str">
        <x:f t="shared" si="10"/>
        <x:v>High Priority Review</x:v>
      </x:c>
      <x:c r="Y21" s="193" t="str">
        <x:f t="shared" si="11"/>
        <x:v>Correct the source field and document the evidence</x:v>
      </x:c>
    </x:row>
    <x:row r="22" ht="14.25" hidden="0" customHeight="1">
      <x:c r="A22" s="183" t="n">
        <x:f>ROW('Raw Inventory'!A22)</x:f>
        <x:v>22</x:v>
      </x:c>
      <x:c r="B22" s="110" t="n">
        <x:f>'Raw Inventory'!A22</x:f>
        <x:v>46238</x:v>
      </x:c>
      <x:c r="C22" s="183" t="str">
        <x:f>'Raw Inventory'!B22</x:f>
        <x:v>SKU-0019</x:v>
      </x:c>
      <x:c r="D22" s="183" t="n">
        <x:f>COUNTIF('Raw Inventory'!$B$4:$B$63,C22)</x:f>
        <x:v>1</x:v>
      </x:c>
      <x:c r="E22" s="111" t="str">
        <x:f>TRIM('Raw Inventory'!C22)</x:f>
        <x:v>Wristband Set A</x:v>
      </x:c>
      <x:c r="F22" s="111" t="str">
        <x:f>IFERROR(VLOOKUP(UPPER(TRIM('Raw Inventory'!D22)),Reference!$A$5:$B$10,2,FALSE),"Needs Review")</x:f>
        <x:v>Accessories</x:v>
      </x:c>
      <x:c r="G22" s="111" t="str">
        <x:f>IFERROR(VLOOKUP(UPPER(TRIM('Raw Inventory'!E22)),Reference!$D$5:$E$9,2,FALSE),"Needs Review")</x:f>
        <x:v>SBY-A</x:v>
      </x:c>
      <x:c r="H22" s="112" t="n">
        <x:f>'Raw Inventory'!F22</x:f>
        <x:v>72</x:v>
      </x:c>
      <x:c r="I22" s="184" t="n">
        <x:f>'Raw Inventory'!G22</x:f>
        <x:v>99</x:v>
      </x:c>
      <x:c r="J22" s="184" t="n">
        <x:f>'Raw Inventory'!H22</x:f>
        <x:v>100</x:v>
      </x:c>
      <x:c r="K22" s="184" t="n">
        <x:f>'Raw Inventory'!I22</x:f>
        <x:v>29</x:v>
      </x:c>
      <x:c r="L22" s="184">
        <x:f t="shared" si="0"/>
        <x:v>1</x:v>
      </x:c>
      <x:c r="M22" s="184">
        <x:f t="shared" si="1"/>
        <x:v>1</x:v>
      </x:c>
      <x:c r="N22" s="185">
        <x:f t="shared" si="2"/>
        <x:v>72</x:v>
      </x:c>
      <x:c r="O22" s="183" t="str">
        <x:f t="shared" si="3"/>
        <x:v>OK</x:v>
      </x:c>
      <x:c r="P22" s="183" t="str">
        <x:f t="shared" si="4"/>
        <x:v>OK</x:v>
      </x:c>
      <x:c r="Q22" s="183" t="str">
        <x:f t="shared" si="5"/>
        <x:v>OK</x:v>
      </x:c>
      <x:c r="R22" s="183" t="str">
        <x:f t="shared" si="6"/>
        <x:v>OK</x:v>
      </x:c>
      <x:c r="S22" s="183" t="str">
        <x:f>IF(ISBLANK('Raw Inventory'!H22),"Missing Physical Qty",IF(OR(NOT(ISNUMBER(J22)),J22&lt;0),"Invalid Physical Qty","OK"))</x:f>
        <x:v>OK</x:v>
      </x:c>
      <x:c r="T22" s="183" t="str">
        <x:f>IF(TRIM('Raw Inventory'!K22)="","Missing Evidence","OK")</x:f>
        <x:v>OK</x:v>
      </x:c>
      <x:c r="U22" s="183" t="str">
        <x:f t="shared" si="7"/>
        <x:v>OK</x:v>
      </x:c>
      <x:c r="V22" s="183" t="str">
        <x:f t="shared" si="8"/>
        <x:v>OK</x:v>
      </x:c>
      <x:c r="W22" s="183">
        <x:f t="shared" si="9"/>
        <x:v>1</x:v>
      </x:c>
      <x:c r="X22" s="190" t="str">
        <x:f t="shared" si="10"/>
        <x:v>Review</x:v>
      </x:c>
      <x:c r="Y22" s="193" t="str">
        <x:f t="shared" si="11"/>
        <x:v>Investigate overage and record a written resolution</x:v>
      </x:c>
    </x:row>
    <x:row r="23" ht="14.25" hidden="0" customHeight="1">
      <x:c r="A23" s="183" t="n">
        <x:f>ROW('Raw Inventory'!A23)</x:f>
        <x:v>23</x:v>
      </x:c>
      <x:c r="B23" s="110" t="n">
        <x:f>'Raw Inventory'!A23</x:f>
        <x:v>46239</x:v>
      </x:c>
      <x:c r="C23" s="183" t="str">
        <x:f>'Raw Inventory'!B23</x:f>
        <x:v>SKU-0020</x:v>
      </x:c>
      <x:c r="D23" s="183" t="n">
        <x:f>COUNTIF('Raw Inventory'!$B$4:$B$63,C23)</x:f>
        <x:v>1</x:v>
      </x:c>
      <x:c r="E23" s="111" t="str">
        <x:f>TRIM('Raw Inventory'!C23)</x:f>
        <x:v>Jump Rope B</x:v>
      </x:c>
      <x:c r="F23" s="111" t="str">
        <x:f>IFERROR(VLOOKUP(UPPER(TRIM('Raw Inventory'!D23)),Reference!$A$5:$B$10,2,FALSE),"Needs Review")</x:f>
        <x:v>Equipment</x:v>
      </x:c>
      <x:c r="G23" s="111" t="str">
        <x:f>IFERROR(VLOOKUP(UPPER(TRIM('Raw Inventory'!E23)),Reference!$D$5:$E$9,2,FALSE),"Needs Review")</x:f>
        <x:v>BDG-A</x:v>
      </x:c>
      <x:c r="H23" s="112" t="n">
        <x:f>'Raw Inventory'!F23</x:f>
        <x:v>79</x:v>
      </x:c>
      <x:c r="I23" s="184" t="n">
        <x:f>'Raw Inventory'!G23</x:f>
        <x:v>29</x:v>
      </x:c>
      <x:c r="J23" s="184" t="n">
        <x:f>'Raw Inventory'!H23</x:f>
        <x:v>32</x:v>
      </x:c>
      <x:c r="K23" s="184" t="n">
        <x:f>'Raw Inventory'!I23</x:f>
        <x:v>32</x:v>
      </x:c>
      <x:c r="L23" s="184">
        <x:f t="shared" si="0"/>
        <x:v>3</x:v>
      </x:c>
      <x:c r="M23" s="184">
        <x:f t="shared" si="1"/>
        <x:v>3</x:v>
      </x:c>
      <x:c r="N23" s="185">
        <x:f t="shared" si="2"/>
        <x:v>237</x:v>
      </x:c>
      <x:c r="O23" s="183" t="str">
        <x:f t="shared" si="3"/>
        <x:v>OK</x:v>
      </x:c>
      <x:c r="P23" s="183" t="str">
        <x:f t="shared" si="4"/>
        <x:v>OK</x:v>
      </x:c>
      <x:c r="Q23" s="183" t="str">
        <x:f t="shared" si="5"/>
        <x:v>OK</x:v>
      </x:c>
      <x:c r="R23" s="183" t="str">
        <x:f t="shared" si="6"/>
        <x:v>OK</x:v>
      </x:c>
      <x:c r="S23" s="183" t="str">
        <x:f>IF(ISBLANK('Raw Inventory'!H23),"Missing Physical Qty",IF(OR(NOT(ISNUMBER(J23)),J23&lt;0),"Invalid Physical Qty","OK"))</x:f>
        <x:v>OK</x:v>
      </x:c>
      <x:c r="T23" s="183" t="str">
        <x:f>IF(TRIM('Raw Inventory'!K23)="","Missing Evidence","OK")</x:f>
        <x:v>OK</x:v>
      </x:c>
      <x:c r="U23" s="183" t="str">
        <x:f t="shared" si="7"/>
        <x:v>OK</x:v>
      </x:c>
      <x:c r="V23" s="183" t="str">
        <x:f t="shared" si="8"/>
        <x:v>Low Stock</x:v>
      </x:c>
      <x:c r="W23" s="183">
        <x:f t="shared" si="9"/>
        <x:v>2</x:v>
      </x:c>
      <x:c r="X23" s="190" t="str">
        <x:f t="shared" si="10"/>
        <x:v>Review</x:v>
      </x:c>
      <x:c r="Y23" s="193" t="str">
        <x:f t="shared" si="11"/>
        <x:v>Investigate overage and record a written resolution</x:v>
      </x:c>
    </x:row>
    <x:row r="24" ht="14.25" hidden="0" customHeight="1">
      <x:c r="A24" s="183" t="n">
        <x:f>ROW('Raw Inventory'!A24)</x:f>
        <x:v>24</x:v>
      </x:c>
      <x:c r="B24" s="110" t="n">
        <x:f>'Raw Inventory'!A24</x:f>
        <x:v>46235</x:v>
      </x:c>
      <x:c r="C24" s="183" t="str">
        <x:f>'Raw Inventory'!B24</x:f>
        <x:v>SKU-0021</x:v>
      </x:c>
      <x:c r="D24" s="183" t="n">
        <x:f>COUNTIF('Raw Inventory'!$B$4:$B$63,C24)</x:f>
        <x:v>1</x:v>
      </x:c>
      <x:c r="E24" s="111" t="str">
        <x:f>TRIM('Raw Inventory'!C24)</x:f>
        <x:v>Stride Runner C</x:v>
      </x:c>
      <x:c r="F24" s="111" t="str">
        <x:f>IFERROR(VLOOKUP(UPPER(TRIM('Raw Inventory'!D24)),Reference!$A$5:$B$10,2,FALSE),"Needs Review")</x:f>
        <x:v>Footwear</x:v>
      </x:c>
      <x:c r="G24" s="111" t="str">
        <x:f>IFERROR(VLOOKUP(UPPER(TRIM('Raw Inventory'!E24)),Reference!$D$5:$E$9,2,FALSE),"Needs Review")</x:f>
        <x:v>JKT-A</x:v>
      </x:c>
      <x:c r="H24" s="112" t="n">
        <x:f>'Raw Inventory'!F24</x:f>
        <x:v>13</x:v>
      </x:c>
      <x:c r="I24" s="184" t="n">
        <x:f>'Raw Inventory'!G24</x:f>
        <x:v>42</x:v>
      </x:c>
      <x:c r="J24" s="184" t="n">
        <x:f>'Raw Inventory'!H24</x:f>
        <x:v>38</x:v>
      </x:c>
      <x:c r="K24" s="184" t="n">
        <x:f>'Raw Inventory'!I24</x:f>
        <x:v>35</x:v>
      </x:c>
      <x:c r="L24" s="184">
        <x:f t="shared" si="0"/>
        <x:v>-4</x:v>
      </x:c>
      <x:c r="M24" s="184">
        <x:f t="shared" si="1"/>
        <x:v>4</x:v>
      </x:c>
      <x:c r="N24" s="185">
        <x:f t="shared" si="2"/>
        <x:v>-52</x:v>
      </x:c>
      <x:c r="O24" s="183" t="str">
        <x:f t="shared" si="3"/>
        <x:v>OK</x:v>
      </x:c>
      <x:c r="P24" s="183" t="str">
        <x:f t="shared" si="4"/>
        <x:v>OK</x:v>
      </x:c>
      <x:c r="Q24" s="183" t="str">
        <x:f t="shared" si="5"/>
        <x:v>OK</x:v>
      </x:c>
      <x:c r="R24" s="183" t="str">
        <x:f t="shared" si="6"/>
        <x:v>OK</x:v>
      </x:c>
      <x:c r="S24" s="183" t="str">
        <x:f>IF(ISBLANK('Raw Inventory'!H24),"Missing Physical Qty",IF(OR(NOT(ISNUMBER(J24)),J24&lt;0),"Invalid Physical Qty","OK"))</x:f>
        <x:v>OK</x:v>
      </x:c>
      <x:c r="T24" s="183" t="str">
        <x:f>IF(TRIM('Raw Inventory'!K24)="","Missing Evidence","OK")</x:f>
        <x:v>OK</x:v>
      </x:c>
      <x:c r="U24" s="183" t="str">
        <x:f t="shared" si="7"/>
        <x:v>OK</x:v>
      </x:c>
      <x:c r="V24" s="183" t="str">
        <x:f t="shared" si="8"/>
        <x:v>OK</x:v>
      </x:c>
      <x:c r="W24" s="183">
        <x:f t="shared" si="9"/>
        <x:v>1</x:v>
      </x:c>
      <x:c r="X24" s="190" t="str">
        <x:f t="shared" si="10"/>
        <x:v>Review</x:v>
      </x:c>
      <x:c r="Y24" s="193" t="str">
        <x:f t="shared" si="11"/>
        <x:v>Investigate shortage and record a written resolution</x:v>
      </x:c>
    </x:row>
    <x:row r="25" ht="14.25" hidden="0" customHeight="1">
      <x:c r="A25" s="183" t="n">
        <x:f>ROW('Raw Inventory'!A25)</x:f>
        <x:v>25</x:v>
      </x:c>
      <x:c r="B25" s="110" t="n">
        <x:f>'Raw Inventory'!A25</x:f>
        <x:v>46236</x:v>
      </x:c>
      <x:c r="C25" s="183" t="str">
        <x:f>'Raw Inventory'!B25</x:f>
        <x:v>SKU-0022</x:v>
      </x:c>
      <x:c r="D25" s="183" t="n">
        <x:f>COUNTIF('Raw Inventory'!$B$4:$B$63,C25)</x:f>
        <x:v>1</x:v>
      </x:c>
      <x:c r="E25" s="111" t="str">
        <x:f>TRIM('Raw Inventory'!C25)</x:f>
        <x:v>Core Tee A</x:v>
      </x:c>
      <x:c r="F25" s="111" t="str">
        <x:f>IFERROR(VLOOKUP(UPPER(TRIM('Raw Inventory'!D25)),Reference!$A$5:$B$10,2,FALSE),"Needs Review")</x:f>
        <x:v>Apparel</x:v>
      </x:c>
      <x:c r="G25" s="111" t="str">
        <x:f>IFERROR(VLOOKUP(UPPER(TRIM('Raw Inventory'!E25)),Reference!$D$5:$E$9,2,FALSE),"Needs Review")</x:f>
        <x:v>JKT-B</x:v>
      </x:c>
      <x:c r="H25" s="112" t="n">
        <x:f>'Raw Inventory'!F25</x:f>
        <x:v>-18</x:v>
      </x:c>
      <x:c r="I25" s="184" t="n">
        <x:f>'Raw Inventory'!G25</x:f>
        <x:v>55</x:v>
      </x:c>
      <x:c r="J25" s="184" t="n">
        <x:f>'Raw Inventory'!H25</x:f>
        <x:v>53</x:v>
      </x:c>
      <x:c r="K25" s="184" t="n">
        <x:f>'Raw Inventory'!I25</x:f>
        <x:v>22</x:v>
      </x:c>
      <x:c r="L25" s="184">
        <x:f t="shared" si="0"/>
        <x:v>-2</x:v>
      </x:c>
      <x:c r="M25" s="184">
        <x:f t="shared" si="1"/>
        <x:v>2</x:v>
      </x:c>
      <x:c r="N25" s="185" t="str">
        <x:f t="shared" si="2"/>
      </x:c>
      <x:c r="O25" s="183" t="str">
        <x:f t="shared" si="3"/>
        <x:v>OK</x:v>
      </x:c>
      <x:c r="P25" s="183" t="str">
        <x:f t="shared" si="4"/>
        <x:v>OK</x:v>
      </x:c>
      <x:c r="Q25" s="183" t="str">
        <x:f t="shared" si="5"/>
        <x:v>Invalid Unit Cost</x:v>
      </x:c>
      <x:c r="R25" s="183" t="str">
        <x:f t="shared" si="6"/>
        <x:v>OK</x:v>
      </x:c>
      <x:c r="S25" s="183" t="str">
        <x:f>IF(ISBLANK('Raw Inventory'!H25),"Missing Physical Qty",IF(OR(NOT(ISNUMBER(J25)),J25&lt;0),"Invalid Physical Qty","OK"))</x:f>
        <x:v>OK</x:v>
      </x:c>
      <x:c r="T25" s="183" t="str">
        <x:f>IF(TRIM('Raw Inventory'!K25)="","Missing Evidence","OK")</x:f>
        <x:v>OK</x:v>
      </x:c>
      <x:c r="U25" s="183" t="str">
        <x:f t="shared" si="7"/>
        <x:v>OK</x:v>
      </x:c>
      <x:c r="V25" s="183" t="str">
        <x:f t="shared" si="8"/>
        <x:v>OK</x:v>
      </x:c>
      <x:c r="W25" s="183">
        <x:f t="shared" si="9"/>
        <x:v>2</x:v>
      </x:c>
      <x:c r="X25" s="190" t="str">
        <x:f t="shared" si="10"/>
        <x:v>High Priority Review</x:v>
      </x:c>
      <x:c r="Y25" s="193" t="str">
        <x:f t="shared" si="11"/>
        <x:v>Correct the source field and document the evidence</x:v>
      </x:c>
    </x:row>
    <x:row r="26" ht="14.25" hidden="0" customHeight="1">
      <x:c r="A26" s="183" t="n">
        <x:f>ROW('Raw Inventory'!A26)</x:f>
        <x:v>26</x:v>
      </x:c>
      <x:c r="B26" s="110" t="n">
        <x:f>'Raw Inventory'!A26</x:f>
        <x:v>46237</x:v>
      </x:c>
      <x:c r="C26" s="183" t="str">
        <x:f>'Raw Inventory'!B26</x:f>
        <x:v>SKU-0023</x:v>
      </x:c>
      <x:c r="D26" s="183" t="n">
        <x:f>COUNTIF('Raw Inventory'!$B$4:$B$63,C26)</x:f>
        <x:v>1</x:v>
      </x:c>
      <x:c r="E26" s="111" t="str">
        <x:f>TRIM('Raw Inventory'!C26)</x:f>
        <x:v>Sport Cap B</x:v>
      </x:c>
      <x:c r="F26" s="111" t="str">
        <x:f>IFERROR(VLOOKUP(UPPER(TRIM('Raw Inventory'!D26)),Reference!$A$5:$B$10,2,FALSE),"Needs Review")</x:f>
        <x:v>Accessories</x:v>
      </x:c>
      <x:c r="G26" s="111" t="str">
        <x:f>IFERROR(VLOOKUP(UPPER(TRIM('Raw Inventory'!E26)),Reference!$D$5:$E$9,2,FALSE),"Needs Review")</x:f>
        <x:v>SBY-A</x:v>
      </x:c>
      <x:c r="H26" s="112" t="n">
        <x:f>'Raw Inventory'!F26</x:f>
        <x:v>27</x:v>
      </x:c>
      <x:c r="I26" s="184" t="n">
        <x:f>'Raw Inventory'!G26</x:f>
        <x:v>68</x:v>
      </x:c>
      <x:c r="J26" s="184" t="n">
        <x:f>'Raw Inventory'!H26</x:f>
        <x:v>68</x:v>
      </x:c>
      <x:c r="K26" s="184" t="n">
        <x:f>'Raw Inventory'!I26</x:f>
        <x:v>25</x:v>
      </x:c>
      <x:c r="L26" s="184">
        <x:f t="shared" si="0"/>
        <x:v>0</x:v>
      </x:c>
      <x:c r="M26" s="184">
        <x:f t="shared" si="1"/>
        <x:v>0</x:v>
      </x:c>
      <x:c r="N26" s="185">
        <x:f t="shared" si="2"/>
        <x:v>0</x:v>
      </x:c>
      <x:c r="O26" s="183" t="str">
        <x:f t="shared" si="3"/>
        <x:v>OK</x:v>
      </x:c>
      <x:c r="P26" s="183" t="str">
        <x:f t="shared" si="4"/>
        <x:v>OK</x:v>
      </x:c>
      <x:c r="Q26" s="183" t="str">
        <x:f t="shared" si="5"/>
        <x:v>OK</x:v>
      </x:c>
      <x:c r="R26" s="183" t="str">
        <x:f t="shared" si="6"/>
        <x:v>OK</x:v>
      </x:c>
      <x:c r="S26" s="183" t="str">
        <x:f>IF(ISBLANK('Raw Inventory'!H26),"Missing Physical Qty",IF(OR(NOT(ISNUMBER(J26)),J26&lt;0),"Invalid Physical Qty","OK"))</x:f>
        <x:v>OK</x:v>
      </x:c>
      <x:c r="T26" s="183" t="str">
        <x:f>IF(TRIM('Raw Inventory'!K26)="","Missing Evidence","OK")</x:f>
        <x:v>OK</x:v>
      </x:c>
      <x:c r="U26" s="183" t="str">
        <x:f t="shared" si="7"/>
        <x:v>OK</x:v>
      </x:c>
      <x:c r="V26" s="183" t="str">
        <x:f t="shared" si="8"/>
        <x:v>OK</x:v>
      </x:c>
      <x:c r="W26" s="183">
        <x:f t="shared" si="9"/>
        <x:v>0</x:v>
      </x:c>
      <x:c r="X26" s="190" t="str">
        <x:f t="shared" si="10"/>
        <x:v>Ready</x:v>
      </x:c>
      <x:c r="Y26" s="193" t="str">
        <x:f t="shared" si="11"/>
        <x:v>No action required</x:v>
      </x:c>
    </x:row>
    <x:row r="27" ht="14.25" hidden="0" customHeight="1">
      <x:c r="A27" s="183" t="n">
        <x:f>ROW('Raw Inventory'!A27)</x:f>
        <x:v>27</x:v>
      </x:c>
      <x:c r="B27" s="110" t="n">
        <x:f>'Raw Inventory'!A27</x:f>
        <x:v>46238</x:v>
      </x:c>
      <x:c r="C27" s="183" t="str">
        <x:f>'Raw Inventory'!B27</x:f>
        <x:v>SKU-0024</x:v>
      </x:c>
      <x:c r="D27" s="183" t="n">
        <x:f>COUNTIF('Raw Inventory'!$B$4:$B$63,C27)</x:f>
        <x:v>1</x:v>
      </x:c>
      <x:c r="E27" s="111" t="str">
        <x:f>TRIM('Raw Inventory'!C27)</x:f>
        <x:v>Yoga Mat C</x:v>
      </x:c>
      <x:c r="F27" s="111" t="str">
        <x:f>IFERROR(VLOOKUP(UPPER(TRIM('Raw Inventory'!D27)),Reference!$A$5:$B$10,2,FALSE),"Needs Review")</x:f>
        <x:v>Equipment</x:v>
      </x:c>
      <x:c r="G27" s="111" t="str">
        <x:f>IFERROR(VLOOKUP(UPPER(TRIM('Raw Inventory'!E27)),Reference!$D$5:$E$9,2,FALSE),"Needs Review")</x:f>
        <x:v>BDG-A</x:v>
      </x:c>
      <x:c r="H27" s="112" t="n">
        <x:f>'Raw Inventory'!F27</x:f>
        <x:v>34</x:v>
      </x:c>
      <x:c r="I27" s="184" t="n">
        <x:f>'Raw Inventory'!G27</x:f>
        <x:v>81</x:v>
      </x:c>
      <x:c r="J27" s="184" t="n">
        <x:f>'Raw Inventory'!H27</x:f>
        <x:v>81</x:v>
      </x:c>
      <x:c r="K27" s="184" t="n">
        <x:f>'Raw Inventory'!I27</x:f>
        <x:v>28</x:v>
      </x:c>
      <x:c r="L27" s="184">
        <x:f t="shared" si="0"/>
        <x:v>0</x:v>
      </x:c>
      <x:c r="M27" s="184">
        <x:f t="shared" si="1"/>
        <x:v>0</x:v>
      </x:c>
      <x:c r="N27" s="185">
        <x:f t="shared" si="2"/>
        <x:v>0</x:v>
      </x:c>
      <x:c r="O27" s="183" t="str">
        <x:f t="shared" si="3"/>
        <x:v>OK</x:v>
      </x:c>
      <x:c r="P27" s="183" t="str">
        <x:f t="shared" si="4"/>
        <x:v>OK</x:v>
      </x:c>
      <x:c r="Q27" s="183" t="str">
        <x:f t="shared" si="5"/>
        <x:v>OK</x:v>
      </x:c>
      <x:c r="R27" s="183" t="str">
        <x:f t="shared" si="6"/>
        <x:v>OK</x:v>
      </x:c>
      <x:c r="S27" s="183" t="str">
        <x:f>IF(ISBLANK('Raw Inventory'!H27),"Missing Physical Qty",IF(OR(NOT(ISNUMBER(J27)),J27&lt;0),"Invalid Physical Qty","OK"))</x:f>
        <x:v>OK</x:v>
      </x:c>
      <x:c r="T27" s="183" t="str">
        <x:f>IF(TRIM('Raw Inventory'!K27)="","Missing Evidence","OK")</x:f>
        <x:v>OK</x:v>
      </x:c>
      <x:c r="U27" s="183" t="str">
        <x:f t="shared" si="7"/>
        <x:v>OK</x:v>
      </x:c>
      <x:c r="V27" s="183" t="str">
        <x:f t="shared" si="8"/>
        <x:v>OK</x:v>
      </x:c>
      <x:c r="W27" s="183">
        <x:f t="shared" si="9"/>
        <x:v>0</x:v>
      </x:c>
      <x:c r="X27" s="190" t="str">
        <x:f t="shared" si="10"/>
        <x:v>Ready</x:v>
      </x:c>
      <x:c r="Y27" s="193" t="str">
        <x:f t="shared" si="11"/>
        <x:v>No action required</x:v>
      </x:c>
    </x:row>
    <x:row r="28" ht="14.25" hidden="0" customHeight="1">
      <x:c r="A28" s="183" t="n">
        <x:f>ROW('Raw Inventory'!A28)</x:f>
        <x:v>28</x:v>
      </x:c>
      <x:c r="B28" s="110" t="n">
        <x:f>'Raw Inventory'!A28</x:f>
        <x:v>46239</x:v>
      </x:c>
      <x:c r="C28" s="183" t="str">
        <x:f>'Raw Inventory'!B28</x:f>
        <x:v>SKU-0025</x:v>
      </x:c>
      <x:c r="D28" s="183" t="n">
        <x:f>COUNTIF('Raw Inventory'!$B$4:$B$63,C28)</x:f>
        <x:v>1</x:v>
      </x:c>
      <x:c r="E28" s="111" t="str">
        <x:f>TRIM('Raw Inventory'!C28)</x:f>
        <x:v>Court Classic A</x:v>
      </x:c>
      <x:c r="F28" s="111" t="str">
        <x:f>IFERROR(VLOOKUP(UPPER(TRIM('Raw Inventory'!D28)),Reference!$A$5:$B$10,2,FALSE),"Needs Review")</x:f>
        <x:v>Footwear</x:v>
      </x:c>
      <x:c r="G28" s="111" t="str">
        <x:f>IFERROR(VLOOKUP(UPPER(TRIM('Raw Inventory'!E28)),Reference!$D$5:$E$9,2,FALSE),"Needs Review")</x:f>
        <x:v>JKT-A</x:v>
      </x:c>
      <x:c r="H28" s="112" t="n">
        <x:f>'Raw Inventory'!F28</x:f>
        <x:v>41</x:v>
      </x:c>
      <x:c r="I28" s="184" t="n">
        <x:f>'Raw Inventory'!G28</x:f>
        <x:v>94</x:v>
      </x:c>
      <x:c r="J28" s="184" t="n">
        <x:f>'Raw Inventory'!H28</x:f>
        <x:v>94</x:v>
      </x:c>
      <x:c r="K28" s="184" t="n">
        <x:f>'Raw Inventory'!I28</x:f>
        <x:v>31</x:v>
      </x:c>
      <x:c r="L28" s="184">
        <x:f t="shared" si="0"/>
        <x:v>0</x:v>
      </x:c>
      <x:c r="M28" s="184">
        <x:f t="shared" si="1"/>
        <x:v>0</x:v>
      </x:c>
      <x:c r="N28" s="185">
        <x:f t="shared" si="2"/>
        <x:v>0</x:v>
      </x:c>
      <x:c r="O28" s="183" t="str">
        <x:f t="shared" si="3"/>
        <x:v>OK</x:v>
      </x:c>
      <x:c r="P28" s="183" t="str">
        <x:f t="shared" si="4"/>
        <x:v>OK</x:v>
      </x:c>
      <x:c r="Q28" s="183" t="str">
        <x:f t="shared" si="5"/>
        <x:v>OK</x:v>
      </x:c>
      <x:c r="R28" s="183" t="str">
        <x:f t="shared" si="6"/>
        <x:v>OK</x:v>
      </x:c>
      <x:c r="S28" s="183" t="str">
        <x:f>IF(ISBLANK('Raw Inventory'!H28),"Missing Physical Qty",IF(OR(NOT(ISNUMBER(J28)),J28&lt;0),"Invalid Physical Qty","OK"))</x:f>
        <x:v>OK</x:v>
      </x:c>
      <x:c r="T28" s="183" t="str">
        <x:f>IF(TRIM('Raw Inventory'!K28)="","Missing Evidence","OK")</x:f>
        <x:v>OK</x:v>
      </x:c>
      <x:c r="U28" s="183" t="str">
        <x:f t="shared" si="7"/>
        <x:v>OK</x:v>
      </x:c>
      <x:c r="V28" s="183" t="str">
        <x:f t="shared" si="8"/>
        <x:v>OK</x:v>
      </x:c>
      <x:c r="W28" s="183">
        <x:f t="shared" si="9"/>
        <x:v>0</x:v>
      </x:c>
      <x:c r="X28" s="190" t="str">
        <x:f t="shared" si="10"/>
        <x:v>Ready</x:v>
      </x:c>
      <x:c r="Y28" s="193" t="str">
        <x:f t="shared" si="11"/>
        <x:v>No action required</x:v>
      </x:c>
    </x:row>
    <x:row r="29" ht="14.25" hidden="0" customHeight="1">
      <x:c r="A29" s="183" t="n">
        <x:f>ROW('Raw Inventory'!A29)</x:f>
        <x:v>29</x:v>
      </x:c>
      <x:c r="B29" s="110" t="n">
        <x:f>'Raw Inventory'!A29</x:f>
        <x:v>46235</x:v>
      </x:c>
      <x:c r="C29" s="183" t="str">
        <x:f>'Raw Inventory'!B29</x:f>
        <x:v>SKU-0026</x:v>
      </x:c>
      <x:c r="D29" s="183" t="n">
        <x:f>COUNTIF('Raw Inventory'!$B$4:$B$63,C29)</x:f>
        <x:v>1</x:v>
      </x:c>
      <x:c r="E29" s="111" t="str">
        <x:f>TRIM('Raw Inventory'!C29)</x:f>
        <x:v>Performance Polo B</x:v>
      </x:c>
      <x:c r="F29" s="111" t="str">
        <x:f>IFERROR(VLOOKUP(UPPER(TRIM('Raw Inventory'!D29)),Reference!$A$5:$B$10,2,FALSE),"Needs Review")</x:f>
        <x:v>Apparel</x:v>
      </x:c>
      <x:c r="G29" s="111" t="str">
        <x:f>IFERROR(VLOOKUP(UPPER(TRIM('Raw Inventory'!E29)),Reference!$D$5:$E$9,2,FALSE),"Needs Review")</x:f>
        <x:v>JKT-B</x:v>
      </x:c>
      <x:c r="H29" s="112" t="n">
        <x:f>'Raw Inventory'!F29</x:f>
        <x:v>48</x:v>
      </x:c>
      <x:c r="I29" s="184" t="n">
        <x:f>'Raw Inventory'!G29</x:f>
        <x:v>24</x:v>
      </x:c>
      <x:c r="J29" s="184" t="n">
        <x:f>'Raw Inventory'!H29</x:f>
        <x:v>25</x:v>
      </x:c>
      <x:c r="K29" s="184" t="n">
        <x:f>'Raw Inventory'!I29</x:f>
        <x:v>34</x:v>
      </x:c>
      <x:c r="L29" s="184">
        <x:f t="shared" si="0"/>
        <x:v>1</x:v>
      </x:c>
      <x:c r="M29" s="184">
        <x:f t="shared" si="1"/>
        <x:v>1</x:v>
      </x:c>
      <x:c r="N29" s="185">
        <x:f t="shared" si="2"/>
        <x:v>48</x:v>
      </x:c>
      <x:c r="O29" s="183" t="str">
        <x:f t="shared" si="3"/>
        <x:v>OK</x:v>
      </x:c>
      <x:c r="P29" s="183" t="str">
        <x:f t="shared" si="4"/>
        <x:v>OK</x:v>
      </x:c>
      <x:c r="Q29" s="183" t="str">
        <x:f t="shared" si="5"/>
        <x:v>OK</x:v>
      </x:c>
      <x:c r="R29" s="183" t="str">
        <x:f t="shared" si="6"/>
        <x:v>OK</x:v>
      </x:c>
      <x:c r="S29" s="183" t="str">
        <x:f>IF(ISBLANK('Raw Inventory'!H29),"Missing Physical Qty",IF(OR(NOT(ISNUMBER(J29)),J29&lt;0),"Invalid Physical Qty","OK"))</x:f>
        <x:v>OK</x:v>
      </x:c>
      <x:c r="T29" s="183" t="str">
        <x:f>IF(TRIM('Raw Inventory'!K29)="","Missing Evidence","OK")</x:f>
        <x:v>OK</x:v>
      </x:c>
      <x:c r="U29" s="183" t="str">
        <x:f t="shared" si="7"/>
        <x:v>OK</x:v>
      </x:c>
      <x:c r="V29" s="183" t="str">
        <x:f t="shared" si="8"/>
        <x:v>Low Stock</x:v>
      </x:c>
      <x:c r="W29" s="183">
        <x:f t="shared" si="9"/>
        <x:v>2</x:v>
      </x:c>
      <x:c r="X29" s="190" t="str">
        <x:f t="shared" si="10"/>
        <x:v>Review</x:v>
      </x:c>
      <x:c r="Y29" s="193" t="str">
        <x:f t="shared" si="11"/>
        <x:v>Investigate overage and record a written resolution</x:v>
      </x:c>
    </x:row>
    <x:row r="30" ht="14.25" hidden="0" customHeight="1">
      <x:c r="A30" s="183" t="n">
        <x:f>ROW('Raw Inventory'!A30)</x:f>
        <x:v>30</x:v>
      </x:c>
      <x:c r="B30" s="110" t="n">
        <x:f>'Raw Inventory'!A30</x:f>
        <x:v>46236</x:v>
      </x:c>
      <x:c r="C30" s="183" t="str">
        <x:f>'Raw Inventory'!B30</x:f>
        <x:v>SKU-0027</x:v>
      </x:c>
      <x:c r="D30" s="183" t="n">
        <x:f>COUNTIF('Raw Inventory'!$B$4:$B$63,C30)</x:f>
        <x:v>1</x:v>
      </x:c>
      <x:c r="E30" s="111" t="str">
        <x:f>TRIM('Raw Inventory'!C30)</x:f>
        <x:v>Gym Bag C</x:v>
      </x:c>
      <x:c r="F30" s="111" t="str">
        <x:f>IFERROR(VLOOKUP(UPPER(TRIM('Raw Inventory'!D30)),Reference!$A$5:$B$10,2,FALSE),"Needs Review")</x:f>
        <x:v>Accessories</x:v>
      </x:c>
      <x:c r="G30" s="111" t="str">
        <x:f>IFERROR(VLOOKUP(UPPER(TRIM('Raw Inventory'!E30)),Reference!$D$5:$E$9,2,FALSE),"Needs Review")</x:f>
        <x:v>Needs Review</x:v>
      </x:c>
      <x:c r="H30" s="112" t="n">
        <x:f>'Raw Inventory'!F30</x:f>
        <x:v>55</x:v>
      </x:c>
      <x:c r="I30" s="184" t="n">
        <x:f>'Raw Inventory'!G30</x:f>
        <x:v>37</x:v>
      </x:c>
      <x:c r="J30" s="184" t="n">
        <x:f>'Raw Inventory'!H30</x:f>
        <x:v>40</x:v>
      </x:c>
      <x:c r="K30" s="184" t="n">
        <x:f>'Raw Inventory'!I30</x:f>
        <x:v>21</x:v>
      </x:c>
      <x:c r="L30" s="184">
        <x:f t="shared" si="0"/>
        <x:v>3</x:v>
      </x:c>
      <x:c r="M30" s="184">
        <x:f t="shared" si="1"/>
        <x:v>3</x:v>
      </x:c>
      <x:c r="N30" s="185">
        <x:f t="shared" si="2"/>
        <x:v>165</x:v>
      </x:c>
      <x:c r="O30" s="183" t="str">
        <x:f t="shared" si="3"/>
        <x:v>OK</x:v>
      </x:c>
      <x:c r="P30" s="183" t="str">
        <x:f t="shared" si="4"/>
        <x:v>Invalid Location</x:v>
      </x:c>
      <x:c r="Q30" s="183" t="str">
        <x:f t="shared" si="5"/>
        <x:v>OK</x:v>
      </x:c>
      <x:c r="R30" s="183" t="str">
        <x:f t="shared" si="6"/>
        <x:v>OK</x:v>
      </x:c>
      <x:c r="S30" s="183" t="str">
        <x:f>IF(ISBLANK('Raw Inventory'!H30),"Missing Physical Qty",IF(OR(NOT(ISNUMBER(J30)),J30&lt;0),"Invalid Physical Qty","OK"))</x:f>
        <x:v>OK</x:v>
      </x:c>
      <x:c r="T30" s="183" t="str">
        <x:f>IF(TRIM('Raw Inventory'!K30)="","Missing Evidence","OK")</x:f>
        <x:v>OK</x:v>
      </x:c>
      <x:c r="U30" s="183" t="str">
        <x:f t="shared" si="7"/>
        <x:v>OK</x:v>
      </x:c>
      <x:c r="V30" s="183" t="str">
        <x:f t="shared" si="8"/>
        <x:v>OK</x:v>
      </x:c>
      <x:c r="W30" s="183">
        <x:f t="shared" si="9"/>
        <x:v>2</x:v>
      </x:c>
      <x:c r="X30" s="190" t="str">
        <x:f t="shared" si="10"/>
        <x:v>Review</x:v>
      </x:c>
      <x:c r="Y30" s="193" t="str">
        <x:f t="shared" si="11"/>
        <x:v>Confirm the approved warehouse location</x:v>
      </x:c>
    </x:row>
    <x:row r="31" ht="14.25" hidden="0" customHeight="1">
      <x:c r="A31" s="183" t="n">
        <x:f>ROW('Raw Inventory'!A31)</x:f>
        <x:v>31</x:v>
      </x:c>
      <x:c r="B31" s="110" t="n">
        <x:f>'Raw Inventory'!A31</x:f>
        <x:v>46237</x:v>
      </x:c>
      <x:c r="C31" s="183" t="str">
        <x:f>'Raw Inventory'!B31</x:f>
        <x:v>SKU-0028</x:v>
      </x:c>
      <x:c r="D31" s="183" t="n">
        <x:f>COUNTIF('Raw Inventory'!$B$4:$B$63,C31)</x:f>
        <x:v>1</x:v>
      </x:c>
      <x:c r="E31" s="111" t="str">
        <x:f>TRIM('Raw Inventory'!C31)</x:f>
        <x:v>Resistance Band A</x:v>
      </x:c>
      <x:c r="F31" s="111" t="str">
        <x:f>IFERROR(VLOOKUP(UPPER(TRIM('Raw Inventory'!D31)),Reference!$A$5:$B$10,2,FALSE),"Needs Review")</x:f>
        <x:v>Equipment</x:v>
      </x:c>
      <x:c r="G31" s="111" t="str">
        <x:f>IFERROR(VLOOKUP(UPPER(TRIM('Raw Inventory'!E31)),Reference!$D$5:$E$9,2,FALSE),"Needs Review")</x:f>
        <x:v>BDG-A</x:v>
      </x:c>
      <x:c r="H31" s="112" t="n">
        <x:f>'Raw Inventory'!F31</x:f>
        <x:v>62</x:v>
      </x:c>
      <x:c r="I31" s="184" t="n">
        <x:f>'Raw Inventory'!G31</x:f>
        <x:v>50</x:v>
      </x:c>
      <x:c r="J31" s="184" t="n">
        <x:f>'Raw Inventory'!H31</x:f>
        <x:v>46</x:v>
      </x:c>
      <x:c r="K31" s="184" t="n">
        <x:f>'Raw Inventory'!I31</x:f>
        <x:v>24</x:v>
      </x:c>
      <x:c r="L31" s="184">
        <x:f t="shared" si="0"/>
        <x:v>-4</x:v>
      </x:c>
      <x:c r="M31" s="184">
        <x:f t="shared" si="1"/>
        <x:v>4</x:v>
      </x:c>
      <x:c r="N31" s="185">
        <x:f t="shared" si="2"/>
        <x:v>-248</x:v>
      </x:c>
      <x:c r="O31" s="183" t="str">
        <x:f t="shared" si="3"/>
        <x:v>OK</x:v>
      </x:c>
      <x:c r="P31" s="183" t="str">
        <x:f t="shared" si="4"/>
        <x:v>OK</x:v>
      </x:c>
      <x:c r="Q31" s="183" t="str">
        <x:f t="shared" si="5"/>
        <x:v>OK</x:v>
      </x:c>
      <x:c r="R31" s="183" t="str">
        <x:f t="shared" si="6"/>
        <x:v>OK</x:v>
      </x:c>
      <x:c r="S31" s="183" t="str">
        <x:f>IF(ISBLANK('Raw Inventory'!H31),"Missing Physical Qty",IF(OR(NOT(ISNUMBER(J31)),J31&lt;0),"Invalid Physical Qty","OK"))</x:f>
        <x:v>OK</x:v>
      </x:c>
      <x:c r="T31" s="183" t="str">
        <x:f>IF(TRIM('Raw Inventory'!K31)="","Missing Evidence","OK")</x:f>
        <x:v>OK</x:v>
      </x:c>
      <x:c r="U31" s="183" t="str">
        <x:f t="shared" si="7"/>
        <x:v>OK</x:v>
      </x:c>
      <x:c r="V31" s="183" t="str">
        <x:f t="shared" si="8"/>
        <x:v>OK</x:v>
      </x:c>
      <x:c r="W31" s="183">
        <x:f t="shared" si="9"/>
        <x:v>1</x:v>
      </x:c>
      <x:c r="X31" s="190" t="str">
        <x:f t="shared" si="10"/>
        <x:v>Review</x:v>
      </x:c>
      <x:c r="Y31" s="193" t="str">
        <x:f t="shared" si="11"/>
        <x:v>Investigate shortage and record a written resolution</x:v>
      </x:c>
    </x:row>
    <x:row r="32" ht="14.25" hidden="0" customHeight="1">
      <x:c r="A32" s="183" t="n">
        <x:f>ROW('Raw Inventory'!A32)</x:f>
        <x:v>32</x:v>
      </x:c>
      <x:c r="B32" s="110" t="n">
        <x:f>'Raw Inventory'!A32</x:f>
        <x:v>46238</x:v>
      </x:c>
      <x:c r="C32" s="183" t="str">
        <x:f>'Raw Inventory'!B32</x:f>
        <x:v>SKU-0029</x:v>
      </x:c>
      <x:c r="D32" s="183" t="n">
        <x:f>COUNTIF('Raw Inventory'!$B$4:$B$63,C32)</x:f>
        <x:v>1</x:v>
      </x:c>
      <x:c r="E32" s="111" t="str">
        <x:f>TRIM('Raw Inventory'!C32)</x:f>
        <x:v>Trail Motion B</x:v>
      </x:c>
      <x:c r="F32" s="111" t="str">
        <x:f>IFERROR(VLOOKUP(UPPER(TRIM('Raw Inventory'!D32)),Reference!$A$5:$B$10,2,FALSE),"Needs Review")</x:f>
        <x:v>Footwear</x:v>
      </x:c>
      <x:c r="G32" s="111" t="str">
        <x:f>IFERROR(VLOOKUP(UPPER(TRIM('Raw Inventory'!E32)),Reference!$D$5:$E$9,2,FALSE),"Needs Review")</x:f>
        <x:v>JKT-A</x:v>
      </x:c>
      <x:c r="H32" s="112" t="n">
        <x:f>'Raw Inventory'!F32</x:f>
        <x:v>69</x:v>
      </x:c>
      <x:c r="I32" s="184" t="n">
        <x:f>'Raw Inventory'!G32</x:f>
        <x:v>63</x:v>
      </x:c>
      <x:c r="J32" s="184" t="n">
        <x:f>'Raw Inventory'!H32</x:f>
        <x:v>61</x:v>
      </x:c>
      <x:c r="K32" s="184" t="n">
        <x:f>'Raw Inventory'!I32</x:f>
        <x:v>27</x:v>
      </x:c>
      <x:c r="L32" s="184">
        <x:f t="shared" si="0"/>
        <x:v>-2</x:v>
      </x:c>
      <x:c r="M32" s="184">
        <x:f t="shared" si="1"/>
        <x:v>2</x:v>
      </x:c>
      <x:c r="N32" s="185">
        <x:f t="shared" si="2"/>
        <x:v>-138</x:v>
      </x:c>
      <x:c r="O32" s="183" t="str">
        <x:f t="shared" si="3"/>
        <x:v>OK</x:v>
      </x:c>
      <x:c r="P32" s="183" t="str">
        <x:f t="shared" si="4"/>
        <x:v>OK</x:v>
      </x:c>
      <x:c r="Q32" s="183" t="str">
        <x:f t="shared" si="5"/>
        <x:v>OK</x:v>
      </x:c>
      <x:c r="R32" s="183" t="str">
        <x:f t="shared" si="6"/>
        <x:v>OK</x:v>
      </x:c>
      <x:c r="S32" s="183" t="str">
        <x:f>IF(ISBLANK('Raw Inventory'!H32),"Missing Physical Qty",IF(OR(NOT(ISNUMBER(J32)),J32&lt;0),"Invalid Physical Qty","OK"))</x:f>
        <x:v>OK</x:v>
      </x:c>
      <x:c r="T32" s="183" t="str">
        <x:f>IF(TRIM('Raw Inventory'!K32)="","Missing Evidence","OK")</x:f>
        <x:v>OK</x:v>
      </x:c>
      <x:c r="U32" s="183" t="str">
        <x:f t="shared" si="7"/>
        <x:v>OK</x:v>
      </x:c>
      <x:c r="V32" s="183" t="str">
        <x:f t="shared" si="8"/>
        <x:v>OK</x:v>
      </x:c>
      <x:c r="W32" s="183">
        <x:f t="shared" si="9"/>
        <x:v>1</x:v>
      </x:c>
      <x:c r="X32" s="190" t="str">
        <x:f t="shared" si="10"/>
        <x:v>Review</x:v>
      </x:c>
      <x:c r="Y32" s="193" t="str">
        <x:f t="shared" si="11"/>
        <x:v>Investigate shortage and record a written resolution</x:v>
      </x:c>
    </x:row>
    <x:row r="33" ht="14.25" hidden="0" customHeight="1">
      <x:c r="A33" s="183" t="n">
        <x:f>ROW('Raw Inventory'!A33)</x:f>
        <x:v>33</x:v>
      </x:c>
      <x:c r="B33" s="110" t="n">
        <x:f>'Raw Inventory'!A33</x:f>
        <x:v>46239</x:v>
      </x:c>
      <x:c r="C33" s="183" t="str">
        <x:f>'Raw Inventory'!B33</x:f>
        <x:v>SKU-0030</x:v>
      </x:c>
      <x:c r="D33" s="183" t="n">
        <x:f>COUNTIF('Raw Inventory'!$B$4:$B$63,C33)</x:f>
        <x:v>1</x:v>
      </x:c>
      <x:c r="E33" s="111" t="str">
        <x:f>TRIM('Raw Inventory'!C33)</x:f>
        <x:v>Training Jacket C</x:v>
      </x:c>
      <x:c r="F33" s="111" t="str">
        <x:f>IFERROR(VLOOKUP(UPPER(TRIM('Raw Inventory'!D33)),Reference!$A$5:$B$10,2,FALSE),"Needs Review")</x:f>
        <x:v>Apparel</x:v>
      </x:c>
      <x:c r="G33" s="111" t="str">
        <x:f>IFERROR(VLOOKUP(UPPER(TRIM('Raw Inventory'!E33)),Reference!$D$5:$E$9,2,FALSE),"Needs Review")</x:f>
        <x:v>JKT-B</x:v>
      </x:c>
      <x:c r="H33" s="112" t="n">
        <x:f>'Raw Inventory'!F33</x:f>
        <x:v>76</x:v>
      </x:c>
      <x:c r="I33" s="184" t="n">
        <x:f>'Raw Inventory'!G33</x:f>
        <x:v>76</x:v>
      </x:c>
      <x:c r="J33" s="184" t="n">
        <x:f>'Raw Inventory'!H33</x:f>
        <x:v>76</x:v>
      </x:c>
      <x:c r="K33" s="184" t="n">
        <x:f>'Raw Inventory'!I33</x:f>
        <x:v>30</x:v>
      </x:c>
      <x:c r="L33" s="184">
        <x:f t="shared" si="0"/>
        <x:v>0</x:v>
      </x:c>
      <x:c r="M33" s="184">
        <x:f t="shared" si="1"/>
        <x:v>0</x:v>
      </x:c>
      <x:c r="N33" s="185">
        <x:f t="shared" si="2"/>
        <x:v>0</x:v>
      </x:c>
      <x:c r="O33" s="183" t="str">
        <x:f t="shared" si="3"/>
        <x:v>OK</x:v>
      </x:c>
      <x:c r="P33" s="183" t="str">
        <x:f t="shared" si="4"/>
        <x:v>OK</x:v>
      </x:c>
      <x:c r="Q33" s="183" t="str">
        <x:f t="shared" si="5"/>
        <x:v>OK</x:v>
      </x:c>
      <x:c r="R33" s="183" t="str">
        <x:f t="shared" si="6"/>
        <x:v>OK</x:v>
      </x:c>
      <x:c r="S33" s="183" t="str">
        <x:f>IF(ISBLANK('Raw Inventory'!H33),"Missing Physical Qty",IF(OR(NOT(ISNUMBER(J33)),J33&lt;0),"Invalid Physical Qty","OK"))</x:f>
        <x:v>OK</x:v>
      </x:c>
      <x:c r="T33" s="183" t="str">
        <x:f>IF(TRIM('Raw Inventory'!K33)="","Missing Evidence","OK")</x:f>
        <x:v>OK</x:v>
      </x:c>
      <x:c r="U33" s="183" t="str">
        <x:f t="shared" si="7"/>
        <x:v>OK</x:v>
      </x:c>
      <x:c r="V33" s="183" t="str">
        <x:f t="shared" si="8"/>
        <x:v>OK</x:v>
      </x:c>
      <x:c r="W33" s="183">
        <x:f t="shared" si="9"/>
        <x:v>0</x:v>
      </x:c>
      <x:c r="X33" s="190" t="str">
        <x:f t="shared" si="10"/>
        <x:v>Ready</x:v>
      </x:c>
      <x:c r="Y33" s="193" t="str">
        <x:f t="shared" si="11"/>
        <x:v>No action required</x:v>
      </x:c>
    </x:row>
    <x:row r="34" ht="14.25" hidden="0" customHeight="1">
      <x:c r="A34" s="183" t="n">
        <x:f>ROW('Raw Inventory'!A34)</x:f>
        <x:v>34</x:v>
      </x:c>
      <x:c r="B34" s="110" t="n">
        <x:f>'Raw Inventory'!A34</x:f>
        <x:v>46235</x:v>
      </x:c>
      <x:c r="C34" s="183" t="str">
        <x:f>'Raw Inventory'!B34</x:f>
        <x:v>SKU-0031</x:v>
      </x:c>
      <x:c r="D34" s="183" t="n">
        <x:f>COUNTIF('Raw Inventory'!$B$4:$B$63,C34)</x:f>
        <x:v>1</x:v>
      </x:c>
      <x:c r="E34" s="111" t="str">
        <x:f>TRIM('Raw Inventory'!C34)</x:f>
        <x:v>Crew Socks A</x:v>
      </x:c>
      <x:c r="F34" s="111" t="str">
        <x:f>IFERROR(VLOOKUP(UPPER(TRIM('Raw Inventory'!D34)),Reference!$A$5:$B$10,2,FALSE),"Needs Review")</x:f>
        <x:v>Accessories</x:v>
      </x:c>
      <x:c r="G34" s="111" t="str">
        <x:f>IFERROR(VLOOKUP(UPPER(TRIM('Raw Inventory'!E34)),Reference!$D$5:$E$9,2,FALSE),"Needs Review")</x:f>
        <x:v>SBY-A</x:v>
      </x:c>
      <x:c r="H34" s="112" t="n">
        <x:f>'Raw Inventory'!F34</x:f>
        <x:v>83</x:v>
      </x:c>
      <x:c r="I34" s="184" t="n">
        <x:f>'Raw Inventory'!G34</x:f>
        <x:v>-4</x:v>
      </x:c>
      <x:c r="J34" s="184" t="n">
        <x:f>'Raw Inventory'!H34</x:f>
        <x:v>12</x:v>
      </x:c>
      <x:c r="K34" s="184" t="n">
        <x:f>'Raw Inventory'!I34</x:f>
        <x:v>33</x:v>
      </x:c>
      <x:c r="L34" s="184" t="str">
        <x:f t="shared" si="0"/>
      </x:c>
      <x:c r="M34" s="184" t="str">
        <x:f t="shared" si="1"/>
      </x:c>
      <x:c r="N34" s="185" t="str">
        <x:f t="shared" si="2"/>
      </x:c>
      <x:c r="O34" s="183" t="str">
        <x:f t="shared" si="3"/>
        <x:v>OK</x:v>
      </x:c>
      <x:c r="P34" s="183" t="str">
        <x:f t="shared" si="4"/>
        <x:v>OK</x:v>
      </x:c>
      <x:c r="Q34" s="183" t="str">
        <x:f t="shared" si="5"/>
        <x:v>OK</x:v>
      </x:c>
      <x:c r="R34" s="183" t="str">
        <x:f t="shared" si="6"/>
        <x:v>Invalid System Qty</x:v>
      </x:c>
      <x:c r="S34" s="183" t="str">
        <x:f>IF(ISBLANK('Raw Inventory'!H34),"Missing Physical Qty",IF(OR(NOT(ISNUMBER(J34)),J34&lt;0),"Invalid Physical Qty","OK"))</x:f>
        <x:v>OK</x:v>
      </x:c>
      <x:c r="T34" s="183" t="str">
        <x:f>IF(TRIM('Raw Inventory'!K34)="","Missing Evidence","OK")</x:f>
        <x:v>OK</x:v>
      </x:c>
      <x:c r="U34" s="183" t="str">
        <x:f t="shared" si="7"/>
        <x:v>OK</x:v>
      </x:c>
      <x:c r="V34" s="183" t="str">
        <x:f t="shared" si="8"/>
        <x:v>Low Stock</x:v>
      </x:c>
      <x:c r="W34" s="183">
        <x:f t="shared" si="9"/>
        <x:v>2</x:v>
      </x:c>
      <x:c r="X34" s="190" t="str">
        <x:f t="shared" si="10"/>
        <x:v>High Priority Review</x:v>
      </x:c>
      <x:c r="Y34" s="193" t="str">
        <x:f t="shared" si="11"/>
        <x:v>Correct the source field and document the evidence</x:v>
      </x:c>
    </x:row>
    <x:row r="35" ht="14.25" hidden="0" customHeight="1">
      <x:c r="A35" s="183" t="n">
        <x:f>ROW('Raw Inventory'!A35)</x:f>
        <x:v>35</x:v>
      </x:c>
      <x:c r="B35" s="110" t="n">
        <x:f>'Raw Inventory'!A35</x:f>
        <x:v>46236</x:v>
      </x:c>
      <x:c r="C35" s="183" t="str">
        <x:f>'Raw Inventory'!B35</x:f>
        <x:v>SKU-0032</x:v>
      </x:c>
      <x:c r="D35" s="183" t="n">
        <x:f>COUNTIF('Raw Inventory'!$B$4:$B$63,C35)</x:f>
        <x:v>1</x:v>
      </x:c>
      <x:c r="E35" s="111" t="str">
        <x:f>TRIM('Raw Inventory'!C35)</x:f>
        <x:v>Training Cone B</x:v>
      </x:c>
      <x:c r="F35" s="111" t="str">
        <x:f>IFERROR(VLOOKUP(UPPER(TRIM('Raw Inventory'!D35)),Reference!$A$5:$B$10,2,FALSE),"Needs Review")</x:f>
        <x:v>Equipment</x:v>
      </x:c>
      <x:c r="G35" s="111" t="str">
        <x:f>IFERROR(VLOOKUP(UPPER(TRIM('Raw Inventory'!E35)),Reference!$D$5:$E$9,2,FALSE),"Needs Review")</x:f>
        <x:v>BDG-A</x:v>
      </x:c>
      <x:c r="H35" s="112" t="n">
        <x:f>'Raw Inventory'!F35</x:f>
        <x:v>17</x:v>
      </x:c>
      <x:c r="I35" s="184" t="n">
        <x:f>'Raw Inventory'!G35</x:f>
        <x:v>19</x:v>
      </x:c>
      <x:c r="J35" s="184" t="n">
        <x:f>'Raw Inventory'!H35</x:f>
        <x:v>19</x:v>
      </x:c>
      <x:c r="K35" s="184" t="n">
        <x:f>'Raw Inventory'!I35</x:f>
        <x:v>20</x:v>
      </x:c>
      <x:c r="L35" s="184">
        <x:f t="shared" si="0"/>
        <x:v>0</x:v>
      </x:c>
      <x:c r="M35" s="184">
        <x:f t="shared" si="1"/>
        <x:v>0</x:v>
      </x:c>
      <x:c r="N35" s="185">
        <x:f t="shared" si="2"/>
        <x:v>0</x:v>
      </x:c>
      <x:c r="O35" s="183" t="str">
        <x:f t="shared" si="3"/>
        <x:v>OK</x:v>
      </x:c>
      <x:c r="P35" s="183" t="str">
        <x:f t="shared" si="4"/>
        <x:v>OK</x:v>
      </x:c>
      <x:c r="Q35" s="183" t="str">
        <x:f t="shared" si="5"/>
        <x:v>OK</x:v>
      </x:c>
      <x:c r="R35" s="183" t="str">
        <x:f t="shared" si="6"/>
        <x:v>OK</x:v>
      </x:c>
      <x:c r="S35" s="183" t="str">
        <x:f>IF(ISBLANK('Raw Inventory'!H35),"Missing Physical Qty",IF(OR(NOT(ISNUMBER(J35)),J35&lt;0),"Invalid Physical Qty","OK"))</x:f>
        <x:v>OK</x:v>
      </x:c>
      <x:c r="T35" s="183" t="str">
        <x:f>IF(TRIM('Raw Inventory'!K35)="","Missing Evidence","OK")</x:f>
        <x:v>OK</x:v>
      </x:c>
      <x:c r="U35" s="183" t="str">
        <x:f t="shared" si="7"/>
        <x:v>OK</x:v>
      </x:c>
      <x:c r="V35" s="183" t="str">
        <x:f t="shared" si="8"/>
        <x:v>Low Stock</x:v>
      </x:c>
      <x:c r="W35" s="183">
        <x:f t="shared" si="9"/>
        <x:v>1</x:v>
      </x:c>
      <x:c r="X35" s="190" t="str">
        <x:f t="shared" si="10"/>
        <x:v>Review</x:v>
      </x:c>
      <x:c r="Y35" s="193" t="str">
        <x:f t="shared" si="11"/>
        <x:v>Create a written replenishment request</x:v>
      </x:c>
    </x:row>
    <x:row r="36" ht="14.25" hidden="0" customHeight="1">
      <x:c r="A36" s="183" t="n">
        <x:f>ROW('Raw Inventory'!A36)</x:f>
        <x:v>36</x:v>
      </x:c>
      <x:c r="B36" s="110" t="n">
        <x:f>'Raw Inventory'!A36</x:f>
        <x:v>46237</x:v>
      </x:c>
      <x:c r="C36" s="183" t="str">
        <x:f>'Raw Inventory'!B36</x:f>
        <x:v>SKU-0033</x:v>
      </x:c>
      <x:c r="D36" s="183" t="n">
        <x:f>COUNTIF('Raw Inventory'!$B$4:$B$63,C36)</x:f>
        <x:v>1</x:v>
      </x:c>
      <x:c r="E36" s="111" t="str">
        <x:f>TRIM('Raw Inventory'!C36)</x:f>
        <x:v>Urban Flex C</x:v>
      </x:c>
      <x:c r="F36" s="111" t="str">
        <x:f>IFERROR(VLOOKUP(UPPER(TRIM('Raw Inventory'!D36)),Reference!$A$5:$B$10,2,FALSE),"Needs Review")</x:f>
        <x:v>Needs Review</x:v>
      </x:c>
      <x:c r="G36" s="111" t="str">
        <x:f>IFERROR(VLOOKUP(UPPER(TRIM('Raw Inventory'!E36)),Reference!$D$5:$E$9,2,FALSE),"Needs Review")</x:f>
        <x:v>JKT-A</x:v>
      </x:c>
      <x:c r="H36" s="112" t="n">
        <x:f>'Raw Inventory'!F36</x:f>
        <x:v>24</x:v>
      </x:c>
      <x:c r="I36" s="184" t="n">
        <x:f>'Raw Inventory'!G36</x:f>
        <x:v>32</x:v>
      </x:c>
      <x:c r="J36" s="184" t="n">
        <x:f>'Raw Inventory'!H36</x:f>
        <x:v>33</x:v>
      </x:c>
      <x:c r="K36" s="184" t="n">
        <x:f>'Raw Inventory'!I36</x:f>
        <x:v>23</x:v>
      </x:c>
      <x:c r="L36" s="184" t="n">
        <x:f t="shared" ref="L36:L63" si="12">IF(OR(R36&lt;&gt;"OK",S36&lt;&gt;"OK"),"",J36-I36)</x:f>
        <x:v>1</x:v>
      </x:c>
      <x:c r="M36" s="184" t="n">
        <x:f t="shared" ref="M36:M63" si="13">IF(L36="","",ABS(L36))</x:f>
        <x:v>1</x:v>
      </x:c>
      <x:c r="N36" s="185" t="n">
        <x:f t="shared" ref="N36:N63" si="14">IF(OR(L36="",Q36&lt;&gt;"OK"),"",L36*H36)</x:f>
        <x:v>24</x:v>
      </x:c>
      <x:c r="O36" s="183" t="str">
        <x:f t="shared" ref="O36:O63" si="15">IF(F36="Needs Review","Invalid Category","OK")</x:f>
        <x:v>Invalid Category</x:v>
      </x:c>
      <x:c r="P36" s="183" t="str">
        <x:f t="shared" ref="P36:P63" si="16">IF(G36="Needs Review","Invalid Location","OK")</x:f>
        <x:v>OK</x:v>
      </x:c>
      <x:c r="Q36" s="183" t="str">
        <x:f t="shared" ref="Q36:Q63" si="17">IF(OR(NOT(ISNUMBER(H36)),H36&lt;0),"Invalid Unit Cost","OK")</x:f>
        <x:v>OK</x:v>
      </x:c>
      <x:c r="R36" s="183" t="str">
        <x:f t="shared" ref="R36:R63" si="18">IF(OR(NOT(ISNUMBER(I36)),I36&lt;0),"Invalid System Qty","OK")</x:f>
        <x:v>OK</x:v>
      </x:c>
      <x:c r="S36" s="183" t="str">
        <x:f>IF(ISBLANK('Raw Inventory'!H36),"Missing Physical Qty",IF(OR(NOT(ISNUMBER(J36)),J36&lt;0),"Invalid Physical Qty","OK"))</x:f>
        <x:v>OK</x:v>
      </x:c>
      <x:c r="T36" s="183" t="str">
        <x:f>IF(TRIM('Raw Inventory'!K36)="","Missing Evidence","OK")</x:f>
        <x:v>OK</x:v>
      </x:c>
      <x:c r="U36" s="183" t="str">
        <x:f t="shared" ref="U36:U63" si="19">IF(D36&gt;1,"Duplicate SKU","OK")</x:f>
        <x:v>OK</x:v>
      </x:c>
      <x:c r="V36" s="183" t="str">
        <x:f t="shared" ref="V36:V63" si="20">IF(OR(S36&lt;&gt;"OK",NOT(ISNUMBER(K36))),"N/A",IF(J36&lt;=K36,"Low Stock","OK"))</x:f>
        <x:v>OK</x:v>
      </x:c>
      <x:c r="W36" s="183" t="n">
        <x:f t="shared" ref="W36:W63" si="21">COUNTIF(O36:V36,"&lt;&gt;OK")-COUNTIF(O36:V36,"N/A")+IF(AND(ISNUMBER(L36),L36&lt;&gt;0),1,0)</x:f>
        <x:v>2</x:v>
      </x:c>
      <x:c r="X36" s="190" t="str">
        <x:f t="shared" ref="X36:X63" si="22">IF(W36=0,"Ready",IF(OR(Q36&lt;&gt;"OK",R36&lt;&gt;"OK",S36&lt;&gt;"OK",U36&lt;&gt;"OK"),"High Priority Review","Review"))</x:f>
        <x:v>Review</x:v>
      </x:c>
      <x:c r="Y36" s="193" t="str">
        <x:f t="shared" ref="Y36:Y63" si="23">IF(U36&lt;&gt;"OK","Compare duplicate rows with the approved stock source",IF(OR(Q36&lt;&gt;"OK",R36&lt;&gt;"OK",S36&lt;&gt;"OK"),"Correct the source field and document the evidence",IF(O36&lt;&gt;"OK","Confirm the approved product category",IF(P36&lt;&gt;"OK","Confirm the approved warehouse location",IF(T36&lt;&gt;"OK","Attach the count-sheet reference",IF(L36&lt;0,"Investigate shortage and record a written resolution",IF(L36&gt;0,"Investigate overage and record a written resolution",IF(V36="Low Stock","Create a written replenishment request","No action required"))))))))</x:f>
        <x:v>Confirm the approved product category</x:v>
      </x:c>
    </x:row>
    <x:row r="37" ht="14.25" hidden="0" customHeight="1">
      <x:c r="A37" s="183" t="n">
        <x:f>ROW('Raw Inventory'!A37)</x:f>
        <x:v>37</x:v>
      </x:c>
      <x:c r="B37" s="110" t="n">
        <x:f>'Raw Inventory'!A37</x:f>
        <x:v>46238</x:v>
      </x:c>
      <x:c r="C37" s="183" t="str">
        <x:f>'Raw Inventory'!B37</x:f>
        <x:v>SKU-0034</x:v>
      </x:c>
      <x:c r="D37" s="183" t="n">
        <x:f>COUNTIF('Raw Inventory'!$B$4:$B$63,C37)</x:f>
        <x:v>1</x:v>
      </x:c>
      <x:c r="E37" s="111" t="str">
        <x:f>TRIM('Raw Inventory'!C37)</x:f>
        <x:v>Everyday Hoodie A</x:v>
      </x:c>
      <x:c r="F37" s="111" t="str">
        <x:f>IFERROR(VLOOKUP(UPPER(TRIM('Raw Inventory'!D37)),Reference!$A$5:$B$10,2,FALSE),"Needs Review")</x:f>
        <x:v>Apparel</x:v>
      </x:c>
      <x:c r="G37" s="111" t="str">
        <x:f>IFERROR(VLOOKUP(UPPER(TRIM('Raw Inventory'!E37)),Reference!$D$5:$E$9,2,FALSE),"Needs Review")</x:f>
        <x:v>JKT-B</x:v>
      </x:c>
      <x:c r="H37" s="112" t="n">
        <x:f>'Raw Inventory'!F37</x:f>
        <x:v>31</x:v>
      </x:c>
      <x:c r="I37" s="184" t="n">
        <x:f>'Raw Inventory'!G37</x:f>
        <x:v>45</x:v>
      </x:c>
      <x:c r="J37" s="184" t="n">
        <x:f>'Raw Inventory'!H37</x:f>
        <x:v>48</x:v>
      </x:c>
      <x:c r="K37" s="184" t="n">
        <x:f>'Raw Inventory'!I37</x:f>
        <x:v>26</x:v>
      </x:c>
      <x:c r="L37" s="184">
        <x:f t="shared" si="12"/>
        <x:v>3</x:v>
      </x:c>
      <x:c r="M37" s="184">
        <x:f t="shared" si="13"/>
        <x:v>3</x:v>
      </x:c>
      <x:c r="N37" s="185">
        <x:f t="shared" si="14"/>
        <x:v>93</x:v>
      </x:c>
      <x:c r="O37" s="183" t="str">
        <x:f t="shared" si="15"/>
        <x:v>OK</x:v>
      </x:c>
      <x:c r="P37" s="183" t="str">
        <x:f t="shared" si="16"/>
        <x:v>OK</x:v>
      </x:c>
      <x:c r="Q37" s="183" t="str">
        <x:f t="shared" si="17"/>
        <x:v>OK</x:v>
      </x:c>
      <x:c r="R37" s="183" t="str">
        <x:f t="shared" si="18"/>
        <x:v>OK</x:v>
      </x:c>
      <x:c r="S37" s="183" t="str">
        <x:f>IF(ISBLANK('Raw Inventory'!H37),"Missing Physical Qty",IF(OR(NOT(ISNUMBER(J37)),J37&lt;0),"Invalid Physical Qty","OK"))</x:f>
        <x:v>OK</x:v>
      </x:c>
      <x:c r="T37" s="183" t="str">
        <x:f>IF(TRIM('Raw Inventory'!K37)="","Missing Evidence","OK")</x:f>
        <x:v>OK</x:v>
      </x:c>
      <x:c r="U37" s="183" t="str">
        <x:f t="shared" si="19"/>
        <x:v>OK</x:v>
      </x:c>
      <x:c r="V37" s="183" t="str">
        <x:f t="shared" si="20"/>
        <x:v>OK</x:v>
      </x:c>
      <x:c r="W37" s="183">
        <x:f t="shared" si="21"/>
        <x:v>1</x:v>
      </x:c>
      <x:c r="X37" s="190" t="str">
        <x:f t="shared" si="22"/>
        <x:v>Review</x:v>
      </x:c>
      <x:c r="Y37" s="193" t="str">
        <x:f t="shared" si="23"/>
        <x:v>Investigate overage and record a written resolution</x:v>
      </x:c>
    </x:row>
    <x:row r="38" ht="14.25" hidden="0" customHeight="1">
      <x:c r="A38" s="183" t="n">
        <x:f>ROW('Raw Inventory'!A38)</x:f>
        <x:v>38</x:v>
      </x:c>
      <x:c r="B38" s="110" t="n">
        <x:f>'Raw Inventory'!A38</x:f>
        <x:v>46239</x:v>
      </x:c>
      <x:c r="C38" s="183" t="str">
        <x:f>'Raw Inventory'!B38</x:f>
        <x:v>SKU-0035</x:v>
      </x:c>
      <x:c r="D38" s="183" t="n">
        <x:f>COUNTIF('Raw Inventory'!$B$4:$B$63,C38)</x:f>
        <x:v>1</x:v>
      </x:c>
      <x:c r="E38" s="111" t="str">
        <x:f>TRIM('Raw Inventory'!C38)</x:f>
        <x:v>Water Bottle B</x:v>
      </x:c>
      <x:c r="F38" s="111" t="str">
        <x:f>IFERROR(VLOOKUP(UPPER(TRIM('Raw Inventory'!D38)),Reference!$A$5:$B$10,2,FALSE),"Needs Review")</x:f>
        <x:v>Accessories</x:v>
      </x:c>
      <x:c r="G38" s="111" t="str">
        <x:f>IFERROR(VLOOKUP(UPPER(TRIM('Raw Inventory'!E38)),Reference!$D$5:$E$9,2,FALSE),"Needs Review")</x:f>
        <x:v>SBY-A</x:v>
      </x:c>
      <x:c r="H38" s="112" t="n">
        <x:f>'Raw Inventory'!F38</x:f>
        <x:v>38</x:v>
      </x:c>
      <x:c r="I38" s="184" t="n">
        <x:f>'Raw Inventory'!G38</x:f>
        <x:v>58</x:v>
      </x:c>
      <x:c r="J38" s="184" t="n">
        <x:f>'Raw Inventory'!H38</x:f>
        <x:v>54</x:v>
      </x:c>
      <x:c r="K38" s="184" t="n">
        <x:f>'Raw Inventory'!I38</x:f>
        <x:v>29</x:v>
      </x:c>
      <x:c r="L38" s="184">
        <x:f t="shared" si="12"/>
        <x:v>-4</x:v>
      </x:c>
      <x:c r="M38" s="184">
        <x:f t="shared" si="13"/>
        <x:v>4</x:v>
      </x:c>
      <x:c r="N38" s="185">
        <x:f t="shared" si="14"/>
        <x:v>-152</x:v>
      </x:c>
      <x:c r="O38" s="183" t="str">
        <x:f t="shared" si="15"/>
        <x:v>OK</x:v>
      </x:c>
      <x:c r="P38" s="183" t="str">
        <x:f t="shared" si="16"/>
        <x:v>OK</x:v>
      </x:c>
      <x:c r="Q38" s="183" t="str">
        <x:f t="shared" si="17"/>
        <x:v>OK</x:v>
      </x:c>
      <x:c r="R38" s="183" t="str">
        <x:f t="shared" si="18"/>
        <x:v>OK</x:v>
      </x:c>
      <x:c r="S38" s="183" t="str">
        <x:f>IF(ISBLANK('Raw Inventory'!H38),"Missing Physical Qty",IF(OR(NOT(ISNUMBER(J38)),J38&lt;0),"Invalid Physical Qty","OK"))</x:f>
        <x:v>OK</x:v>
      </x:c>
      <x:c r="T38" s="183" t="str">
        <x:f>IF(TRIM('Raw Inventory'!K38)="","Missing Evidence","OK")</x:f>
        <x:v>OK</x:v>
      </x:c>
      <x:c r="U38" s="183" t="str">
        <x:f t="shared" si="19"/>
        <x:v>OK</x:v>
      </x:c>
      <x:c r="V38" s="183" t="str">
        <x:f t="shared" si="20"/>
        <x:v>OK</x:v>
      </x:c>
      <x:c r="W38" s="183">
        <x:f t="shared" si="21"/>
        <x:v>1</x:v>
      </x:c>
      <x:c r="X38" s="190" t="str">
        <x:f t="shared" si="22"/>
        <x:v>Review</x:v>
      </x:c>
      <x:c r="Y38" s="193" t="str">
        <x:f t="shared" si="23"/>
        <x:v>Investigate shortage and record a written resolution</x:v>
      </x:c>
    </x:row>
    <x:row r="39" ht="14.25" hidden="0" customHeight="1">
      <x:c r="A39" s="183" t="n">
        <x:f>ROW('Raw Inventory'!A39)</x:f>
        <x:v>39</x:v>
      </x:c>
      <x:c r="B39" s="110" t="n">
        <x:f>'Raw Inventory'!A39</x:f>
        <x:v>46235</x:v>
      </x:c>
      <x:c r="C39" s="183" t="str">
        <x:f>'Raw Inventory'!B39</x:f>
        <x:v>SKU-0036</x:v>
      </x:c>
      <x:c r="D39" s="183" t="n">
        <x:f>COUNTIF('Raw Inventory'!$B$4:$B$63,C39)</x:f>
        <x:v>1</x:v>
      </x:c>
      <x:c r="E39" s="111" t="str">
        <x:f>TRIM('Raw Inventory'!C39)</x:f>
        <x:v>Foam Roller C</x:v>
      </x:c>
      <x:c r="F39" s="111" t="str">
        <x:f>IFERROR(VLOOKUP(UPPER(TRIM('Raw Inventory'!D39)),Reference!$A$5:$B$10,2,FALSE),"Needs Review")</x:f>
        <x:v>Equipment</x:v>
      </x:c>
      <x:c r="G39" s="111" t="str">
        <x:f>IFERROR(VLOOKUP(UPPER(TRIM('Raw Inventory'!E39)),Reference!$D$5:$E$9,2,FALSE),"Needs Review")</x:f>
        <x:v>BDG-A</x:v>
      </x:c>
      <x:c r="H39" s="112" t="n">
        <x:f>'Raw Inventory'!F39</x:f>
        <x:v>45</x:v>
      </x:c>
      <x:c r="I39" s="184" t="n">
        <x:f>'Raw Inventory'!G39</x:f>
        <x:v>71</x:v>
      </x:c>
      <x:c r="J39" s="184" t="n">
        <x:f>'Raw Inventory'!H39</x:f>
        <x:v>69</x:v>
      </x:c>
      <x:c r="K39" s="184" t="n">
        <x:f>'Raw Inventory'!I39</x:f>
        <x:v>32</x:v>
      </x:c>
      <x:c r="L39" s="184">
        <x:f t="shared" si="12"/>
        <x:v>-2</x:v>
      </x:c>
      <x:c r="M39" s="184">
        <x:f t="shared" si="13"/>
        <x:v>2</x:v>
      </x:c>
      <x:c r="N39" s="185">
        <x:f t="shared" si="14"/>
        <x:v>-90</x:v>
      </x:c>
      <x:c r="O39" s="183" t="str">
        <x:f t="shared" si="15"/>
        <x:v>OK</x:v>
      </x:c>
      <x:c r="P39" s="183" t="str">
        <x:f t="shared" si="16"/>
        <x:v>OK</x:v>
      </x:c>
      <x:c r="Q39" s="183" t="str">
        <x:f t="shared" si="17"/>
        <x:v>OK</x:v>
      </x:c>
      <x:c r="R39" s="183" t="str">
        <x:f t="shared" si="18"/>
        <x:v>OK</x:v>
      </x:c>
      <x:c r="S39" s="183" t="str">
        <x:f>IF(ISBLANK('Raw Inventory'!H39),"Missing Physical Qty",IF(OR(NOT(ISNUMBER(J39)),J39&lt;0),"Invalid Physical Qty","OK"))</x:f>
        <x:v>OK</x:v>
      </x:c>
      <x:c r="T39" s="183" t="str">
        <x:f>IF(TRIM('Raw Inventory'!K39)="","Missing Evidence","OK")</x:f>
        <x:v>Missing Evidence</x:v>
      </x:c>
      <x:c r="U39" s="183" t="str">
        <x:f t="shared" si="19"/>
        <x:v>OK</x:v>
      </x:c>
      <x:c r="V39" s="183" t="str">
        <x:f t="shared" si="20"/>
        <x:v>OK</x:v>
      </x:c>
      <x:c r="W39" s="183">
        <x:f t="shared" si="21"/>
        <x:v>2</x:v>
      </x:c>
      <x:c r="X39" s="190" t="str">
        <x:f t="shared" si="22"/>
        <x:v>Review</x:v>
      </x:c>
      <x:c r="Y39" s="193" t="str">
        <x:f t="shared" si="23"/>
        <x:v>Attach the count-sheet reference</x:v>
      </x:c>
    </x:row>
    <x:row r="40" ht="14.25" hidden="0" customHeight="1">
      <x:c r="A40" s="183" t="n">
        <x:f>ROW('Raw Inventory'!A40)</x:f>
        <x:v>40</x:v>
      </x:c>
      <x:c r="B40" s="110" t="n">
        <x:f>'Raw Inventory'!A40</x:f>
        <x:v>46236</x:v>
      </x:c>
      <x:c r="C40" s="183" t="str">
        <x:f>'Raw Inventory'!B40</x:f>
        <x:v>SKU-0037</x:v>
      </x:c>
      <x:c r="D40" s="183" t="n">
        <x:f>COUNTIF('Raw Inventory'!$B$4:$B$63,C40)</x:f>
        <x:v>1</x:v>
      </x:c>
      <x:c r="E40" s="111" t="str">
        <x:f>TRIM('Raw Inventory'!C40)</x:f>
        <x:v>Daily Trainer A</x:v>
      </x:c>
      <x:c r="F40" s="111" t="str">
        <x:f>IFERROR(VLOOKUP(UPPER(TRIM('Raw Inventory'!D40)),Reference!$A$5:$B$10,2,FALSE),"Needs Review")</x:f>
        <x:v>Footwear</x:v>
      </x:c>
      <x:c r="G40" s="111" t="str">
        <x:f>IFERROR(VLOOKUP(UPPER(TRIM('Raw Inventory'!E40)),Reference!$D$5:$E$9,2,FALSE),"Needs Review")</x:f>
        <x:v>JKT-A</x:v>
      </x:c>
      <x:c r="H40" s="112" t="n">
        <x:f>'Raw Inventory'!F40</x:f>
        <x:v>52</x:v>
      </x:c>
      <x:c r="I40" s="184" t="n">
        <x:f>'Raw Inventory'!G40</x:f>
        <x:v>84</x:v>
      </x:c>
      <x:c r="J40" s="184" t="n">
        <x:f>'Raw Inventory'!H40</x:f>
        <x:v>84</x:v>
      </x:c>
      <x:c r="K40" s="184" t="n">
        <x:f>'Raw Inventory'!I40</x:f>
        <x:v>35</x:v>
      </x:c>
      <x:c r="L40" s="184">
        <x:f t="shared" si="12"/>
        <x:v>0</x:v>
      </x:c>
      <x:c r="M40" s="184">
        <x:f t="shared" si="13"/>
        <x:v>0</x:v>
      </x:c>
      <x:c r="N40" s="185">
        <x:f t="shared" si="14"/>
        <x:v>0</x:v>
      </x:c>
      <x:c r="O40" s="183" t="str">
        <x:f t="shared" si="15"/>
        <x:v>OK</x:v>
      </x:c>
      <x:c r="P40" s="183" t="str">
        <x:f t="shared" si="16"/>
        <x:v>OK</x:v>
      </x:c>
      <x:c r="Q40" s="183" t="str">
        <x:f t="shared" si="17"/>
        <x:v>OK</x:v>
      </x:c>
      <x:c r="R40" s="183" t="str">
        <x:f t="shared" si="18"/>
        <x:v>OK</x:v>
      </x:c>
      <x:c r="S40" s="183" t="str">
        <x:f>IF(ISBLANK('Raw Inventory'!H40),"Missing Physical Qty",IF(OR(NOT(ISNUMBER(J40)),J40&lt;0),"Invalid Physical Qty","OK"))</x:f>
        <x:v>OK</x:v>
      </x:c>
      <x:c r="T40" s="183" t="str">
        <x:f>IF(TRIM('Raw Inventory'!K40)="","Missing Evidence","OK")</x:f>
        <x:v>OK</x:v>
      </x:c>
      <x:c r="U40" s="183" t="str">
        <x:f t="shared" si="19"/>
        <x:v>OK</x:v>
      </x:c>
      <x:c r="V40" s="183" t="str">
        <x:f t="shared" si="20"/>
        <x:v>OK</x:v>
      </x:c>
      <x:c r="W40" s="183">
        <x:f t="shared" si="21"/>
        <x:v>0</x:v>
      </x:c>
      <x:c r="X40" s="190" t="str">
        <x:f t="shared" si="22"/>
        <x:v>Ready</x:v>
      </x:c>
      <x:c r="Y40" s="193" t="str">
        <x:f t="shared" si="23"/>
        <x:v>No action required</x:v>
      </x:c>
    </x:row>
    <x:row r="41" ht="14.25" hidden="0" customHeight="1">
      <x:c r="A41" s="183" t="n">
        <x:f>ROW('Raw Inventory'!A41)</x:f>
        <x:v>41</x:v>
      </x:c>
      <x:c r="B41" s="110" t="n">
        <x:f>'Raw Inventory'!A41</x:f>
        <x:v>46237</x:v>
      </x:c>
      <x:c r="C41" s="183" t="str">
        <x:f>'Raw Inventory'!B41</x:f>
        <x:v>SKU-0038</x:v>
      </x:c>
      <x:c r="D41" s="183" t="n">
        <x:f>COUNTIF('Raw Inventory'!$B$4:$B$63,C41)</x:f>
        <x:v>1</x:v>
      </x:c>
      <x:c r="E41" s="111" t="str">
        <x:f>TRIM('Raw Inventory'!C41)</x:f>
        <x:v>Active Shorts B</x:v>
      </x:c>
      <x:c r="F41" s="111" t="str">
        <x:f>IFERROR(VLOOKUP(UPPER(TRIM('Raw Inventory'!D41)),Reference!$A$5:$B$10,2,FALSE),"Needs Review")</x:f>
        <x:v>Apparel</x:v>
      </x:c>
      <x:c r="G41" s="111" t="str">
        <x:f>IFERROR(VLOOKUP(UPPER(TRIM('Raw Inventory'!E41)),Reference!$D$5:$E$9,2,FALSE),"Needs Review")</x:f>
        <x:v>JKT-B</x:v>
      </x:c>
      <x:c r="H41" s="112" t="n">
        <x:f>'Raw Inventory'!F41</x:f>
        <x:v>59</x:v>
      </x:c>
      <x:c r="I41" s="184" t="n">
        <x:f>'Raw Inventory'!G41</x:f>
        <x:v>97</x:v>
      </x:c>
      <x:c r="J41" s="184" t="n">
        <x:f>'Raw Inventory'!H41</x:f>
        <x:v>97</x:v>
      </x:c>
      <x:c r="K41" s="184" t="n">
        <x:f>'Raw Inventory'!I41</x:f>
        <x:v>22</x:v>
      </x:c>
      <x:c r="L41" s="184">
        <x:f t="shared" si="12"/>
        <x:v>0</x:v>
      </x:c>
      <x:c r="M41" s="184">
        <x:f t="shared" si="13"/>
        <x:v>0</x:v>
      </x:c>
      <x:c r="N41" s="185">
        <x:f t="shared" si="14"/>
        <x:v>0</x:v>
      </x:c>
      <x:c r="O41" s="183" t="str">
        <x:f t="shared" si="15"/>
        <x:v>OK</x:v>
      </x:c>
      <x:c r="P41" s="183" t="str">
        <x:f t="shared" si="16"/>
        <x:v>OK</x:v>
      </x:c>
      <x:c r="Q41" s="183" t="str">
        <x:f t="shared" si="17"/>
        <x:v>OK</x:v>
      </x:c>
      <x:c r="R41" s="183" t="str">
        <x:f t="shared" si="18"/>
        <x:v>OK</x:v>
      </x:c>
      <x:c r="S41" s="183" t="str">
        <x:f>IF(ISBLANK('Raw Inventory'!H41),"Missing Physical Qty",IF(OR(NOT(ISNUMBER(J41)),J41&lt;0),"Invalid Physical Qty","OK"))</x:f>
        <x:v>OK</x:v>
      </x:c>
      <x:c r="T41" s="183" t="str">
        <x:f>IF(TRIM('Raw Inventory'!K41)="","Missing Evidence","OK")</x:f>
        <x:v>OK</x:v>
      </x:c>
      <x:c r="U41" s="183" t="str">
        <x:f t="shared" si="19"/>
        <x:v>OK</x:v>
      </x:c>
      <x:c r="V41" s="183" t="str">
        <x:f t="shared" si="20"/>
        <x:v>OK</x:v>
      </x:c>
      <x:c r="W41" s="183">
        <x:f t="shared" si="21"/>
        <x:v>0</x:v>
      </x:c>
      <x:c r="X41" s="190" t="str">
        <x:f t="shared" si="22"/>
        <x:v>Ready</x:v>
      </x:c>
      <x:c r="Y41" s="193" t="str">
        <x:f t="shared" si="23"/>
        <x:v>No action required</x:v>
      </x:c>
    </x:row>
    <x:row r="42" ht="14.25" hidden="0" customHeight="1">
      <x:c r="A42" s="183" t="n">
        <x:f>ROW('Raw Inventory'!A42)</x:f>
        <x:v>42</x:v>
      </x:c>
      <x:c r="B42" s="110" t="n">
        <x:f>'Raw Inventory'!A42</x:f>
        <x:v>46238</x:v>
      </x:c>
      <x:c r="C42" s="183" t="str">
        <x:f>'Raw Inventory'!B42</x:f>
        <x:v>SKU-0039</x:v>
      </x:c>
      <x:c r="D42" s="183" t="n">
        <x:f>COUNTIF('Raw Inventory'!$B$4:$B$63,C42)</x:f>
        <x:v>1</x:v>
      </x:c>
      <x:c r="E42" s="111" t="str">
        <x:f>TRIM('Raw Inventory'!C42)</x:f>
        <x:v>Wristband Set C</x:v>
      </x:c>
      <x:c r="F42" s="111" t="str">
        <x:f>IFERROR(VLOOKUP(UPPER(TRIM('Raw Inventory'!D42)),Reference!$A$5:$B$10,2,FALSE),"Needs Review")</x:f>
        <x:v>Accessories</x:v>
      </x:c>
      <x:c r="G42" s="111" t="str">
        <x:f>IFERROR(VLOOKUP(UPPER(TRIM('Raw Inventory'!E42)),Reference!$D$5:$E$9,2,FALSE),"Needs Review")</x:f>
        <x:v>SBY-A</x:v>
      </x:c>
      <x:c r="H42" s="112" t="n">
        <x:f>'Raw Inventory'!F42</x:f>
        <x:v>66</x:v>
      </x:c>
      <x:c r="I42" s="184" t="n">
        <x:f>'Raw Inventory'!G42</x:f>
        <x:v>27</x:v>
      </x:c>
      <x:c r="J42" s="184" t="n">
        <x:f>'Raw Inventory'!H42</x:f>
        <x:v>27</x:v>
      </x:c>
      <x:c r="K42" s="184" t="n">
        <x:f>'Raw Inventory'!I42</x:f>
        <x:v>25</x:v>
      </x:c>
      <x:c r="L42" s="184">
        <x:f t="shared" si="12"/>
        <x:v>0</x:v>
      </x:c>
      <x:c r="M42" s="184">
        <x:f t="shared" si="13"/>
        <x:v>0</x:v>
      </x:c>
      <x:c r="N42" s="185">
        <x:f t="shared" si="14"/>
        <x:v>0</x:v>
      </x:c>
      <x:c r="O42" s="183" t="str">
        <x:f t="shared" si="15"/>
        <x:v>OK</x:v>
      </x:c>
      <x:c r="P42" s="183" t="str">
        <x:f t="shared" si="16"/>
        <x:v>OK</x:v>
      </x:c>
      <x:c r="Q42" s="183" t="str">
        <x:f t="shared" si="17"/>
        <x:v>OK</x:v>
      </x:c>
      <x:c r="R42" s="183" t="str">
        <x:f t="shared" si="18"/>
        <x:v>OK</x:v>
      </x:c>
      <x:c r="S42" s="183" t="str">
        <x:f>IF(ISBLANK('Raw Inventory'!H42),"Missing Physical Qty",IF(OR(NOT(ISNUMBER(J42)),J42&lt;0),"Invalid Physical Qty","OK"))</x:f>
        <x:v>OK</x:v>
      </x:c>
      <x:c r="T42" s="183" t="str">
        <x:f>IF(TRIM('Raw Inventory'!K42)="","Missing Evidence","OK")</x:f>
        <x:v>OK</x:v>
      </x:c>
      <x:c r="U42" s="183" t="str">
        <x:f t="shared" si="19"/>
        <x:v>OK</x:v>
      </x:c>
      <x:c r="V42" s="183" t="str">
        <x:f t="shared" si="20"/>
        <x:v>OK</x:v>
      </x:c>
      <x:c r="W42" s="183">
        <x:f t="shared" si="21"/>
        <x:v>0</x:v>
      </x:c>
      <x:c r="X42" s="190" t="str">
        <x:f t="shared" si="22"/>
        <x:v>Ready</x:v>
      </x:c>
      <x:c r="Y42" s="193" t="str">
        <x:f t="shared" si="23"/>
        <x:v>No action required</x:v>
      </x:c>
    </x:row>
    <x:row r="43" ht="14.25" hidden="0" customHeight="1">
      <x:c r="A43" s="183" t="n">
        <x:f>ROW('Raw Inventory'!A43)</x:f>
        <x:v>43</x:v>
      </x:c>
      <x:c r="B43" s="110" t="n">
        <x:f>'Raw Inventory'!A43</x:f>
        <x:v>46239</x:v>
      </x:c>
      <x:c r="C43" s="183" t="str">
        <x:f>'Raw Inventory'!B43</x:f>
        <x:v>SKU-0040</x:v>
      </x:c>
      <x:c r="D43" s="183" t="n">
        <x:f>COUNTIF('Raw Inventory'!$B$4:$B$63,C43)</x:f>
        <x:v>1</x:v>
      </x:c>
      <x:c r="E43" s="111" t="str">
        <x:f>TRIM('Raw Inventory'!C43)</x:f>
        <x:v>Jump Rope A</x:v>
      </x:c>
      <x:c r="F43" s="111" t="str">
        <x:f>IFERROR(VLOOKUP(UPPER(TRIM('Raw Inventory'!D43)),Reference!$A$5:$B$10,2,FALSE),"Needs Review")</x:f>
        <x:v>Equipment</x:v>
      </x:c>
      <x:c r="G43" s="111" t="str">
        <x:f>IFERROR(VLOOKUP(UPPER(TRIM('Raw Inventory'!E43)),Reference!$D$5:$E$9,2,FALSE),"Needs Review")</x:f>
        <x:v>BDG-A</x:v>
      </x:c>
      <x:c r="H43" s="112" t="n">
        <x:f>'Raw Inventory'!F43</x:f>
        <x:v>73</x:v>
      </x:c>
      <x:c r="I43" s="184" t="n">
        <x:f>'Raw Inventory'!G43</x:f>
        <x:v>40</x:v>
      </x:c>
      <x:c r="J43" s="184" t="n">
        <x:f>'Raw Inventory'!H43</x:f>
        <x:v>41</x:v>
      </x:c>
      <x:c r="K43" s="184" t="n">
        <x:f>'Raw Inventory'!I43</x:f>
        <x:v>28</x:v>
      </x:c>
      <x:c r="L43" s="184">
        <x:f t="shared" si="12"/>
        <x:v>1</x:v>
      </x:c>
      <x:c r="M43" s="184">
        <x:f t="shared" si="13"/>
        <x:v>1</x:v>
      </x:c>
      <x:c r="N43" s="185">
        <x:f t="shared" si="14"/>
        <x:v>73</x:v>
      </x:c>
      <x:c r="O43" s="183" t="str">
        <x:f t="shared" si="15"/>
        <x:v>OK</x:v>
      </x:c>
      <x:c r="P43" s="183" t="str">
        <x:f t="shared" si="16"/>
        <x:v>OK</x:v>
      </x:c>
      <x:c r="Q43" s="183" t="str">
        <x:f t="shared" si="17"/>
        <x:v>OK</x:v>
      </x:c>
      <x:c r="R43" s="183" t="str">
        <x:f t="shared" si="18"/>
        <x:v>OK</x:v>
      </x:c>
      <x:c r="S43" s="183" t="str">
        <x:f>IF(ISBLANK('Raw Inventory'!H43),"Missing Physical Qty",IF(OR(NOT(ISNUMBER(J43)),J43&lt;0),"Invalid Physical Qty","OK"))</x:f>
        <x:v>OK</x:v>
      </x:c>
      <x:c r="T43" s="183" t="str">
        <x:f>IF(TRIM('Raw Inventory'!K43)="","Missing Evidence","OK")</x:f>
        <x:v>OK</x:v>
      </x:c>
      <x:c r="U43" s="183" t="str">
        <x:f t="shared" si="19"/>
        <x:v>OK</x:v>
      </x:c>
      <x:c r="V43" s="183" t="str">
        <x:f t="shared" si="20"/>
        <x:v>OK</x:v>
      </x:c>
      <x:c r="W43" s="183">
        <x:f t="shared" si="21"/>
        <x:v>1</x:v>
      </x:c>
      <x:c r="X43" s="190" t="str">
        <x:f t="shared" si="22"/>
        <x:v>Review</x:v>
      </x:c>
      <x:c r="Y43" s="193" t="str">
        <x:f t="shared" si="23"/>
        <x:v>Investigate overage and record a written resolution</x:v>
      </x:c>
    </x:row>
    <x:row r="44" ht="14.25" hidden="0" customHeight="1">
      <x:c r="A44" s="183" t="n">
        <x:f>ROW('Raw Inventory'!A44)</x:f>
        <x:v>44</x:v>
      </x:c>
      <x:c r="B44" s="110" t="n">
        <x:f>'Raw Inventory'!A44</x:f>
        <x:v>46235</x:v>
      </x:c>
      <x:c r="C44" s="183" t="str">
        <x:f>'Raw Inventory'!B44</x:f>
        <x:v>SKU-0041</x:v>
      </x:c>
      <x:c r="D44" s="183" t="n">
        <x:f>COUNTIF('Raw Inventory'!$B$4:$B$63,C44)</x:f>
        <x:v>2</x:v>
      </x:c>
      <x:c r="E44" s="111" t="str">
        <x:f>TRIM('Raw Inventory'!C44)</x:f>
        <x:v>Stride Runner B</x:v>
      </x:c>
      <x:c r="F44" s="111" t="str">
        <x:f>IFERROR(VLOOKUP(UPPER(TRIM('Raw Inventory'!D44)),Reference!$A$5:$B$10,2,FALSE),"Needs Review")</x:f>
        <x:v>Footwear</x:v>
      </x:c>
      <x:c r="G44" s="111" t="str">
        <x:f>IFERROR(VLOOKUP(UPPER(TRIM('Raw Inventory'!E44)),Reference!$D$5:$E$9,2,FALSE),"Needs Review")</x:f>
        <x:v>JKT-A</x:v>
      </x:c>
      <x:c r="H44" s="112" t="n">
        <x:f>'Raw Inventory'!F44</x:f>
        <x:v>80</x:v>
      </x:c>
      <x:c r="I44" s="184" t="n">
        <x:f>'Raw Inventory'!G44</x:f>
        <x:v>53</x:v>
      </x:c>
      <x:c r="J44" s="184" t="n">
        <x:f>'Raw Inventory'!H44</x:f>
        <x:v>56</x:v>
      </x:c>
      <x:c r="K44" s="184" t="n">
        <x:f>'Raw Inventory'!I44</x:f>
        <x:v>31</x:v>
      </x:c>
      <x:c r="L44" s="184">
        <x:f t="shared" si="12"/>
        <x:v>3</x:v>
      </x:c>
      <x:c r="M44" s="184">
        <x:f t="shared" si="13"/>
        <x:v>3</x:v>
      </x:c>
      <x:c r="N44" s="185">
        <x:f t="shared" si="14"/>
        <x:v>240</x:v>
      </x:c>
      <x:c r="O44" s="183" t="str">
        <x:f t="shared" si="15"/>
        <x:v>OK</x:v>
      </x:c>
      <x:c r="P44" s="183" t="str">
        <x:f t="shared" si="16"/>
        <x:v>OK</x:v>
      </x:c>
      <x:c r="Q44" s="183" t="str">
        <x:f t="shared" si="17"/>
        <x:v>OK</x:v>
      </x:c>
      <x:c r="R44" s="183" t="str">
        <x:f t="shared" si="18"/>
        <x:v>OK</x:v>
      </x:c>
      <x:c r="S44" s="183" t="str">
        <x:f>IF(ISBLANK('Raw Inventory'!H44),"Missing Physical Qty",IF(OR(NOT(ISNUMBER(J44)),J44&lt;0),"Invalid Physical Qty","OK"))</x:f>
        <x:v>OK</x:v>
      </x:c>
      <x:c r="T44" s="183" t="str">
        <x:f>IF(TRIM('Raw Inventory'!K44)="","Missing Evidence","OK")</x:f>
        <x:v>OK</x:v>
      </x:c>
      <x:c r="U44" s="183" t="str">
        <x:f t="shared" si="19"/>
        <x:v>Duplicate SKU</x:v>
      </x:c>
      <x:c r="V44" s="183" t="str">
        <x:f t="shared" si="20"/>
        <x:v>OK</x:v>
      </x:c>
      <x:c r="W44" s="183">
        <x:f t="shared" si="21"/>
        <x:v>2</x:v>
      </x:c>
      <x:c r="X44" s="190" t="str">
        <x:f t="shared" si="22"/>
        <x:v>High Priority Review</x:v>
      </x:c>
      <x:c r="Y44" s="193" t="str">
        <x:f t="shared" si="23"/>
        <x:v>Compare duplicate rows with the approved stock source</x:v>
      </x:c>
    </x:row>
    <x:row r="45" ht="14.25" hidden="0" customHeight="1">
      <x:c r="A45" s="183" t="n">
        <x:f>ROW('Raw Inventory'!A45)</x:f>
        <x:v>45</x:v>
      </x:c>
      <x:c r="B45" s="110" t="n">
        <x:f>'Raw Inventory'!A45</x:f>
        <x:v>46236</x:v>
      </x:c>
      <x:c r="C45" s="183" t="str">
        <x:f>'Raw Inventory'!B45</x:f>
        <x:v>SKU-0041</x:v>
      </x:c>
      <x:c r="D45" s="183" t="n">
        <x:f>COUNTIF('Raw Inventory'!$B$4:$B$63,C45)</x:f>
        <x:v>2</x:v>
      </x:c>
      <x:c r="E45" s="111" t="str">
        <x:f>TRIM('Raw Inventory'!C45)</x:f>
        <x:v>Core Tee C</x:v>
      </x:c>
      <x:c r="F45" s="111" t="str">
        <x:f>IFERROR(VLOOKUP(UPPER(TRIM('Raw Inventory'!D45)),Reference!$A$5:$B$10,2,FALSE),"Needs Review")</x:f>
        <x:v>Apparel</x:v>
      </x:c>
      <x:c r="G45" s="111" t="str">
        <x:f>IFERROR(VLOOKUP(UPPER(TRIM('Raw Inventory'!E45)),Reference!$D$5:$E$9,2,FALSE),"Needs Review")</x:f>
        <x:v>JKT-B</x:v>
      </x:c>
      <x:c r="H45" s="112" t="n">
        <x:f>'Raw Inventory'!F45</x:f>
        <x:v>14</x:v>
      </x:c>
      <x:c r="I45" s="184" t="n">
        <x:f>'Raw Inventory'!G45</x:f>
        <x:v>66</x:v>
      </x:c>
      <x:c r="J45" s="184" t="n">
        <x:f>'Raw Inventory'!H45</x:f>
        <x:v>62</x:v>
      </x:c>
      <x:c r="K45" s="184" t="n">
        <x:f>'Raw Inventory'!I45</x:f>
        <x:v>34</x:v>
      </x:c>
      <x:c r="L45" s="184">
        <x:f t="shared" si="12"/>
        <x:v>-4</x:v>
      </x:c>
      <x:c r="M45" s="184">
        <x:f t="shared" si="13"/>
        <x:v>4</x:v>
      </x:c>
      <x:c r="N45" s="185">
        <x:f t="shared" si="14"/>
        <x:v>-56</x:v>
      </x:c>
      <x:c r="O45" s="183" t="str">
        <x:f t="shared" si="15"/>
        <x:v>OK</x:v>
      </x:c>
      <x:c r="P45" s="183" t="str">
        <x:f t="shared" si="16"/>
        <x:v>OK</x:v>
      </x:c>
      <x:c r="Q45" s="183" t="str">
        <x:f t="shared" si="17"/>
        <x:v>OK</x:v>
      </x:c>
      <x:c r="R45" s="183" t="str">
        <x:f t="shared" si="18"/>
        <x:v>OK</x:v>
      </x:c>
      <x:c r="S45" s="183" t="str">
        <x:f>IF(ISBLANK('Raw Inventory'!H45),"Missing Physical Qty",IF(OR(NOT(ISNUMBER(J45)),J45&lt;0),"Invalid Physical Qty","OK"))</x:f>
        <x:v>OK</x:v>
      </x:c>
      <x:c r="T45" s="183" t="str">
        <x:f>IF(TRIM('Raw Inventory'!K45)="","Missing Evidence","OK")</x:f>
        <x:v>OK</x:v>
      </x:c>
      <x:c r="U45" s="183" t="str">
        <x:f t="shared" si="19"/>
        <x:v>Duplicate SKU</x:v>
      </x:c>
      <x:c r="V45" s="183" t="str">
        <x:f t="shared" si="20"/>
        <x:v>OK</x:v>
      </x:c>
      <x:c r="W45" s="183">
        <x:f t="shared" si="21"/>
        <x:v>2</x:v>
      </x:c>
      <x:c r="X45" s="190" t="str">
        <x:f t="shared" si="22"/>
        <x:v>High Priority Review</x:v>
      </x:c>
      <x:c r="Y45" s="193" t="str">
        <x:f t="shared" si="23"/>
        <x:v>Compare duplicate rows with the approved stock source</x:v>
      </x:c>
    </x:row>
    <x:row r="46" ht="14.25" hidden="0" customHeight="1">
      <x:c r="A46" s="183" t="n">
        <x:f>ROW('Raw Inventory'!A46)</x:f>
        <x:v>46</x:v>
      </x:c>
      <x:c r="B46" s="110" t="n">
        <x:f>'Raw Inventory'!A46</x:f>
        <x:v>46237</x:v>
      </x:c>
      <x:c r="C46" s="183" t="str">
        <x:f>'Raw Inventory'!B46</x:f>
        <x:v>SKU-0043</x:v>
      </x:c>
      <x:c r="D46" s="183" t="n">
        <x:f>COUNTIF('Raw Inventory'!$B$4:$B$63,C46)</x:f>
        <x:v>1</x:v>
      </x:c>
      <x:c r="E46" s="111" t="str">
        <x:f>TRIM('Raw Inventory'!C46)</x:f>
        <x:v>Sport Cap A</x:v>
      </x:c>
      <x:c r="F46" s="111" t="str">
        <x:f>IFERROR(VLOOKUP(UPPER(TRIM('Raw Inventory'!D46)),Reference!$A$5:$B$10,2,FALSE),"Needs Review")</x:f>
        <x:v>Accessories</x:v>
      </x:c>
      <x:c r="G46" s="111" t="str">
        <x:f>IFERROR(VLOOKUP(UPPER(TRIM('Raw Inventory'!E46)),Reference!$D$5:$E$9,2,FALSE),"Needs Review")</x:f>
        <x:v>SBY-A</x:v>
      </x:c>
      <x:c r="H46" s="112" t="n">
        <x:f>'Raw Inventory'!F46</x:f>
        <x:v>21</x:v>
      </x:c>
      <x:c r="I46" s="184" t="n">
        <x:f>'Raw Inventory'!G46</x:f>
        <x:v>79</x:v>
      </x:c>
      <x:c r="J46" s="184" t="n">
        <x:f>'Raw Inventory'!H46</x:f>
        <x:v>77</x:v>
      </x:c>
      <x:c r="K46" s="184" t="n">
        <x:f>'Raw Inventory'!I46</x:f>
        <x:v>21</x:v>
      </x:c>
      <x:c r="L46" s="184">
        <x:f t="shared" si="12"/>
        <x:v>-2</x:v>
      </x:c>
      <x:c r="M46" s="184">
        <x:f t="shared" si="13"/>
        <x:v>2</x:v>
      </x:c>
      <x:c r="N46" s="185">
        <x:f t="shared" si="14"/>
        <x:v>-42</x:v>
      </x:c>
      <x:c r="O46" s="183" t="str">
        <x:f t="shared" si="15"/>
        <x:v>OK</x:v>
      </x:c>
      <x:c r="P46" s="183" t="str">
        <x:f t="shared" si="16"/>
        <x:v>OK</x:v>
      </x:c>
      <x:c r="Q46" s="183" t="str">
        <x:f t="shared" si="17"/>
        <x:v>OK</x:v>
      </x:c>
      <x:c r="R46" s="183" t="str">
        <x:f t="shared" si="18"/>
        <x:v>OK</x:v>
      </x:c>
      <x:c r="S46" s="183" t="str">
        <x:f>IF(ISBLANK('Raw Inventory'!H46),"Missing Physical Qty",IF(OR(NOT(ISNUMBER(J46)),J46&lt;0),"Invalid Physical Qty","OK"))</x:f>
        <x:v>OK</x:v>
      </x:c>
      <x:c r="T46" s="183" t="str">
        <x:f>IF(TRIM('Raw Inventory'!K46)="","Missing Evidence","OK")</x:f>
        <x:v>OK</x:v>
      </x:c>
      <x:c r="U46" s="183" t="str">
        <x:f t="shared" si="19"/>
        <x:v>OK</x:v>
      </x:c>
      <x:c r="V46" s="183" t="str">
        <x:f t="shared" si="20"/>
        <x:v>OK</x:v>
      </x:c>
      <x:c r="W46" s="183">
        <x:f t="shared" si="21"/>
        <x:v>1</x:v>
      </x:c>
      <x:c r="X46" s="190" t="str">
        <x:f t="shared" si="22"/>
        <x:v>Review</x:v>
      </x:c>
      <x:c r="Y46" s="193" t="str">
        <x:f t="shared" si="23"/>
        <x:v>Investigate shortage and record a written resolution</x:v>
      </x:c>
    </x:row>
    <x:row r="47" ht="14.25" hidden="0" customHeight="1">
      <x:c r="A47" s="183" t="n">
        <x:f>ROW('Raw Inventory'!A47)</x:f>
        <x:v>47</x:v>
      </x:c>
      <x:c r="B47" s="110" t="n">
        <x:f>'Raw Inventory'!A47</x:f>
        <x:v>46238</x:v>
      </x:c>
      <x:c r="C47" s="183" t="str">
        <x:f>'Raw Inventory'!B47</x:f>
        <x:v>SKU-0044</x:v>
      </x:c>
      <x:c r="D47" s="183" t="n">
        <x:f>COUNTIF('Raw Inventory'!$B$4:$B$63,C47)</x:f>
        <x:v>1</x:v>
      </x:c>
      <x:c r="E47" s="111" t="str">
        <x:f>TRIM('Raw Inventory'!C47)</x:f>
        <x:v>Yoga Mat B</x:v>
      </x:c>
      <x:c r="F47" s="111" t="str">
        <x:f>IFERROR(VLOOKUP(UPPER(TRIM('Raw Inventory'!D47)),Reference!$A$5:$B$10,2,FALSE),"Needs Review")</x:f>
        <x:v>Equipment</x:v>
      </x:c>
      <x:c r="G47" s="111" t="str">
        <x:f>IFERROR(VLOOKUP(UPPER(TRIM('Raw Inventory'!E47)),Reference!$D$5:$E$9,2,FALSE),"Needs Review")</x:f>
        <x:v>BDG-A</x:v>
      </x:c>
      <x:c r="H47" s="112" t="n">
        <x:f>'Raw Inventory'!F47</x:f>
        <x:v>28</x:v>
      </x:c>
      <x:c r="I47" s="184" t="n">
        <x:f>'Raw Inventory'!G47</x:f>
        <x:v>92</x:v>
      </x:c>
      <x:c r="J47" s="184" t="n">
        <x:f>'Raw Inventory'!H47</x:f>
        <x:v>92</x:v>
      </x:c>
      <x:c r="K47" s="184" t="n">
        <x:f>'Raw Inventory'!I47</x:f>
        <x:v>24</x:v>
      </x:c>
      <x:c r="L47" s="184">
        <x:f t="shared" si="12"/>
        <x:v>0</x:v>
      </x:c>
      <x:c r="M47" s="184">
        <x:f t="shared" si="13"/>
        <x:v>0</x:v>
      </x:c>
      <x:c r="N47" s="185">
        <x:f t="shared" si="14"/>
        <x:v>0</x:v>
      </x:c>
      <x:c r="O47" s="183" t="str">
        <x:f t="shared" si="15"/>
        <x:v>OK</x:v>
      </x:c>
      <x:c r="P47" s="183" t="str">
        <x:f t="shared" si="16"/>
        <x:v>OK</x:v>
      </x:c>
      <x:c r="Q47" s="183" t="str">
        <x:f t="shared" si="17"/>
        <x:v>OK</x:v>
      </x:c>
      <x:c r="R47" s="183" t="str">
        <x:f t="shared" si="18"/>
        <x:v>OK</x:v>
      </x:c>
      <x:c r="S47" s="183" t="str">
        <x:f>IF(ISBLANK('Raw Inventory'!H47),"Missing Physical Qty",IF(OR(NOT(ISNUMBER(J47)),J47&lt;0),"Invalid Physical Qty","OK"))</x:f>
        <x:v>OK</x:v>
      </x:c>
      <x:c r="T47" s="183" t="str">
        <x:f>IF(TRIM('Raw Inventory'!K47)="","Missing Evidence","OK")</x:f>
        <x:v>OK</x:v>
      </x:c>
      <x:c r="U47" s="183" t="str">
        <x:f t="shared" si="19"/>
        <x:v>OK</x:v>
      </x:c>
      <x:c r="V47" s="183" t="str">
        <x:f t="shared" si="20"/>
        <x:v>OK</x:v>
      </x:c>
      <x:c r="W47" s="183">
        <x:f t="shared" si="21"/>
        <x:v>0</x:v>
      </x:c>
      <x:c r="X47" s="190" t="str">
        <x:f t="shared" si="22"/>
        <x:v>Ready</x:v>
      </x:c>
      <x:c r="Y47" s="193" t="str">
        <x:f t="shared" si="23"/>
        <x:v>No action required</x:v>
      </x:c>
    </x:row>
    <x:row r="48" ht="14.25" hidden="0" customHeight="1">
      <x:c r="A48" s="183" t="n">
        <x:f>ROW('Raw Inventory'!A48)</x:f>
        <x:v>48</x:v>
      </x:c>
      <x:c r="B48" s="110" t="n">
        <x:f>'Raw Inventory'!A48</x:f>
        <x:v>46239</x:v>
      </x:c>
      <x:c r="C48" s="183" t="str">
        <x:f>'Raw Inventory'!B48</x:f>
        <x:v>SKU-0045</x:v>
      </x:c>
      <x:c r="D48" s="183" t="n">
        <x:f>COUNTIF('Raw Inventory'!$B$4:$B$63,C48)</x:f>
        <x:v>1</x:v>
      </x:c>
      <x:c r="E48" s="111" t="str">
        <x:f>TRIM('Raw Inventory'!C48)</x:f>
        <x:v>Court Classic C</x:v>
      </x:c>
      <x:c r="F48" s="111" t="str">
        <x:f>IFERROR(VLOOKUP(UPPER(TRIM('Raw Inventory'!D48)),Reference!$A$5:$B$10,2,FALSE),"Needs Review")</x:f>
        <x:v>Footwear</x:v>
      </x:c>
      <x:c r="G48" s="111" t="str">
        <x:f>IFERROR(VLOOKUP(UPPER(TRIM('Raw Inventory'!E48)),Reference!$D$5:$E$9,2,FALSE),"Needs Review")</x:f>
        <x:v>JKT-A</x:v>
      </x:c>
      <x:c r="H48" s="112" t="n">
        <x:f>'Raw Inventory'!F48</x:f>
        <x:v>35</x:v>
      </x:c>
      <x:c r="I48" s="184" t="n">
        <x:f>'Raw Inventory'!G48</x:f>
        <x:v>22</x:v>
      </x:c>
      <x:c r="J48" s="184" t="n">
        <x:f>'Raw Inventory'!H48</x:f>
        <x:v>22</x:v>
      </x:c>
      <x:c r="K48" s="184" t="n">
        <x:f>'Raw Inventory'!I48</x:f>
        <x:v>27</x:v>
      </x:c>
      <x:c r="L48" s="184">
        <x:f t="shared" si="12"/>
        <x:v>0</x:v>
      </x:c>
      <x:c r="M48" s="184">
        <x:f t="shared" si="13"/>
        <x:v>0</x:v>
      </x:c>
      <x:c r="N48" s="185">
        <x:f t="shared" si="14"/>
        <x:v>0</x:v>
      </x:c>
      <x:c r="O48" s="183" t="str">
        <x:f t="shared" si="15"/>
        <x:v>OK</x:v>
      </x:c>
      <x:c r="P48" s="183" t="str">
        <x:f t="shared" si="16"/>
        <x:v>OK</x:v>
      </x:c>
      <x:c r="Q48" s="183" t="str">
        <x:f t="shared" si="17"/>
        <x:v>OK</x:v>
      </x:c>
      <x:c r="R48" s="183" t="str">
        <x:f t="shared" si="18"/>
        <x:v>OK</x:v>
      </x:c>
      <x:c r="S48" s="183" t="str">
        <x:f>IF(ISBLANK('Raw Inventory'!H48),"Missing Physical Qty",IF(OR(NOT(ISNUMBER(J48)),J48&lt;0),"Invalid Physical Qty","OK"))</x:f>
        <x:v>OK</x:v>
      </x:c>
      <x:c r="T48" s="183" t="str">
        <x:f>IF(TRIM('Raw Inventory'!K48)="","Missing Evidence","OK")</x:f>
        <x:v>OK</x:v>
      </x:c>
      <x:c r="U48" s="183" t="str">
        <x:f t="shared" si="19"/>
        <x:v>OK</x:v>
      </x:c>
      <x:c r="V48" s="183" t="str">
        <x:f t="shared" si="20"/>
        <x:v>Low Stock</x:v>
      </x:c>
      <x:c r="W48" s="183">
        <x:f t="shared" si="21"/>
        <x:v>1</x:v>
      </x:c>
      <x:c r="X48" s="190" t="str">
        <x:f t="shared" si="22"/>
        <x:v>Review</x:v>
      </x:c>
      <x:c r="Y48" s="193" t="str">
        <x:f t="shared" si="23"/>
        <x:v>Create a written replenishment request</x:v>
      </x:c>
    </x:row>
    <x:row r="49" ht="14.25" hidden="0" customHeight="1">
      <x:c r="A49" s="183" t="n">
        <x:f>ROW('Raw Inventory'!A49)</x:f>
        <x:v>49</x:v>
      </x:c>
      <x:c r="B49" s="110" t="n">
        <x:f>'Raw Inventory'!A49</x:f>
        <x:v>46235</x:v>
      </x:c>
      <x:c r="C49" s="183" t="str">
        <x:f>'Raw Inventory'!B49</x:f>
        <x:v>SKU-0046</x:v>
      </x:c>
      <x:c r="D49" s="183" t="n">
        <x:f>COUNTIF('Raw Inventory'!$B$4:$B$63,C49)</x:f>
        <x:v>1</x:v>
      </x:c>
      <x:c r="E49" s="111" t="str">
        <x:f>TRIM('Raw Inventory'!C49)</x:f>
        <x:v>Performance Polo A</x:v>
      </x:c>
      <x:c r="F49" s="111" t="str">
        <x:f>IFERROR(VLOOKUP(UPPER(TRIM('Raw Inventory'!D49)),Reference!$A$5:$B$10,2,FALSE),"Needs Review")</x:f>
        <x:v>Apparel</x:v>
      </x:c>
      <x:c r="G49" s="111" t="str">
        <x:f>IFERROR(VLOOKUP(UPPER(TRIM('Raw Inventory'!E49)),Reference!$D$5:$E$9,2,FALSE),"Needs Review")</x:f>
        <x:v>JKT-B</x:v>
      </x:c>
      <x:c r="H49" s="112" t="n">
        <x:f>'Raw Inventory'!F49</x:f>
        <x:v>42</x:v>
      </x:c>
      <x:c r="I49" s="184" t="n">
        <x:f>'Raw Inventory'!G49</x:f>
        <x:v>35</x:v>
      </x:c>
      <x:c r="J49" s="184" t="n">
        <x:f>'Raw Inventory'!H49</x:f>
        <x:v>35</x:v>
      </x:c>
      <x:c r="K49" s="184" t="n">
        <x:f>'Raw Inventory'!I49</x:f>
        <x:v>30</x:v>
      </x:c>
      <x:c r="L49" s="184">
        <x:f t="shared" si="12"/>
        <x:v>0</x:v>
      </x:c>
      <x:c r="M49" s="184">
        <x:f t="shared" si="13"/>
        <x:v>0</x:v>
      </x:c>
      <x:c r="N49" s="185">
        <x:f t="shared" si="14"/>
        <x:v>0</x:v>
      </x:c>
      <x:c r="O49" s="183" t="str">
        <x:f t="shared" si="15"/>
        <x:v>OK</x:v>
      </x:c>
      <x:c r="P49" s="183" t="str">
        <x:f t="shared" si="16"/>
        <x:v>OK</x:v>
      </x:c>
      <x:c r="Q49" s="183" t="str">
        <x:f t="shared" si="17"/>
        <x:v>OK</x:v>
      </x:c>
      <x:c r="R49" s="183" t="str">
        <x:f t="shared" si="18"/>
        <x:v>OK</x:v>
      </x:c>
      <x:c r="S49" s="183" t="str">
        <x:f>IF(ISBLANK('Raw Inventory'!H49),"Missing Physical Qty",IF(OR(NOT(ISNUMBER(J49)),J49&lt;0),"Invalid Physical Qty","OK"))</x:f>
        <x:v>OK</x:v>
      </x:c>
      <x:c r="T49" s="183" t="str">
        <x:f>IF(TRIM('Raw Inventory'!K49)="","Missing Evidence","OK")</x:f>
        <x:v>OK</x:v>
      </x:c>
      <x:c r="U49" s="183" t="str">
        <x:f t="shared" si="19"/>
        <x:v>OK</x:v>
      </x:c>
      <x:c r="V49" s="183" t="str">
        <x:f t="shared" si="20"/>
        <x:v>OK</x:v>
      </x:c>
      <x:c r="W49" s="183">
        <x:f t="shared" si="21"/>
        <x:v>0</x:v>
      </x:c>
      <x:c r="X49" s="190" t="str">
        <x:f t="shared" si="22"/>
        <x:v>Ready</x:v>
      </x:c>
      <x:c r="Y49" s="193" t="str">
        <x:f t="shared" si="23"/>
        <x:v>No action required</x:v>
      </x:c>
    </x:row>
    <x:row r="50" ht="14.25" hidden="0" customHeight="1">
      <x:c r="A50" s="183" t="n">
        <x:f>ROW('Raw Inventory'!A50)</x:f>
        <x:v>50</x:v>
      </x:c>
      <x:c r="B50" s="110" t="n">
        <x:f>'Raw Inventory'!A50</x:f>
        <x:v>46236</x:v>
      </x:c>
      <x:c r="C50" s="183" t="str">
        <x:f>'Raw Inventory'!B50</x:f>
        <x:v>SKU-0047</x:v>
      </x:c>
      <x:c r="D50" s="183" t="n">
        <x:f>COUNTIF('Raw Inventory'!$B$4:$B$63,C50)</x:f>
        <x:v>1</x:v>
      </x:c>
      <x:c r="E50" s="111" t="str">
        <x:f>TRIM('Raw Inventory'!C50)</x:f>
        <x:v>Gym Bag B</x:v>
      </x:c>
      <x:c r="F50" s="111" t="str">
        <x:f>IFERROR(VLOOKUP(UPPER(TRIM('Raw Inventory'!D50)),Reference!$A$5:$B$10,2,FALSE),"Needs Review")</x:f>
        <x:v>Accessories</x:v>
      </x:c>
      <x:c r="G50" s="111" t="str">
        <x:f>IFERROR(VLOOKUP(UPPER(TRIM('Raw Inventory'!E50)),Reference!$D$5:$E$9,2,FALSE),"Needs Review")</x:f>
        <x:v>SBY-A</x:v>
      </x:c>
      <x:c r="H50" s="112" t="n">
        <x:f>'Raw Inventory'!F50</x:f>
        <x:v>49</x:v>
      </x:c>
      <x:c r="I50" s="184" t="n">
        <x:f>'Raw Inventory'!G50</x:f>
        <x:v>48</x:v>
      </x:c>
      <x:c r="J50" s="184" t="n">
        <x:f>'Raw Inventory'!H50</x:f>
        <x:v>49</x:v>
      </x:c>
      <x:c r="K50" s="184" t="n">
        <x:f>'Raw Inventory'!I50</x:f>
        <x:v>33</x:v>
      </x:c>
      <x:c r="L50" s="184">
        <x:f t="shared" si="12"/>
        <x:v>1</x:v>
      </x:c>
      <x:c r="M50" s="184">
        <x:f t="shared" si="13"/>
        <x:v>1</x:v>
      </x:c>
      <x:c r="N50" s="185">
        <x:f t="shared" si="14"/>
        <x:v>49</x:v>
      </x:c>
      <x:c r="O50" s="183" t="str">
        <x:f t="shared" si="15"/>
        <x:v>OK</x:v>
      </x:c>
      <x:c r="P50" s="183" t="str">
        <x:f t="shared" si="16"/>
        <x:v>OK</x:v>
      </x:c>
      <x:c r="Q50" s="183" t="str">
        <x:f t="shared" si="17"/>
        <x:v>OK</x:v>
      </x:c>
      <x:c r="R50" s="183" t="str">
        <x:f t="shared" si="18"/>
        <x:v>OK</x:v>
      </x:c>
      <x:c r="S50" s="183" t="str">
        <x:f>IF(ISBLANK('Raw Inventory'!H50),"Missing Physical Qty",IF(OR(NOT(ISNUMBER(J50)),J50&lt;0),"Invalid Physical Qty","OK"))</x:f>
        <x:v>OK</x:v>
      </x:c>
      <x:c r="T50" s="183" t="str">
        <x:f>IF(TRIM('Raw Inventory'!K50)="","Missing Evidence","OK")</x:f>
        <x:v>OK</x:v>
      </x:c>
      <x:c r="U50" s="183" t="str">
        <x:f t="shared" si="19"/>
        <x:v>OK</x:v>
      </x:c>
      <x:c r="V50" s="183" t="str">
        <x:f t="shared" si="20"/>
        <x:v>OK</x:v>
      </x:c>
      <x:c r="W50" s="183">
        <x:f t="shared" si="21"/>
        <x:v>1</x:v>
      </x:c>
      <x:c r="X50" s="190" t="str">
        <x:f t="shared" si="22"/>
        <x:v>Review</x:v>
      </x:c>
      <x:c r="Y50" s="193" t="str">
        <x:f t="shared" si="23"/>
        <x:v>Investigate overage and record a written resolution</x:v>
      </x:c>
    </x:row>
    <x:row r="51" ht="14.25" hidden="0" customHeight="1">
      <x:c r="A51" s="183" t="n">
        <x:f>ROW('Raw Inventory'!A51)</x:f>
        <x:v>51</x:v>
      </x:c>
      <x:c r="B51" s="110" t="n">
        <x:f>'Raw Inventory'!A51</x:f>
        <x:v>46237</x:v>
      </x:c>
      <x:c r="C51" s="183" t="str">
        <x:f>'Raw Inventory'!B51</x:f>
        <x:v>SKU-0048</x:v>
      </x:c>
      <x:c r="D51" s="183" t="n">
        <x:f>COUNTIF('Raw Inventory'!$B$4:$B$63,C51)</x:f>
        <x:v>1</x:v>
      </x:c>
      <x:c r="E51" s="111" t="str">
        <x:f>TRIM('Raw Inventory'!C51)</x:f>
        <x:v>Resistance Band C</x:v>
      </x:c>
      <x:c r="F51" s="111" t="str">
        <x:f>IFERROR(VLOOKUP(UPPER(TRIM('Raw Inventory'!D51)),Reference!$A$5:$B$10,2,FALSE),"Needs Review")</x:f>
        <x:v>Equipment</x:v>
      </x:c>
      <x:c r="G51" s="111" t="str">
        <x:f>IFERROR(VLOOKUP(UPPER(TRIM('Raw Inventory'!E51)),Reference!$D$5:$E$9,2,FALSE),"Needs Review")</x:f>
        <x:v>BDG-A</x:v>
      </x:c>
      <x:c r="H51" s="112" t="n">
        <x:f>'Raw Inventory'!F51</x:f>
        <x:v>56</x:v>
      </x:c>
      <x:c r="I51" s="184" t="n">
        <x:f>'Raw Inventory'!G51</x:f>
        <x:v>61</x:v>
      </x:c>
      <x:c r="J51" s="184" t="n">
        <x:f>'Raw Inventory'!H51</x:f>
        <x:v>64</x:v>
      </x:c>
      <x:c r="K51" s="184" t="n">
        <x:f>'Raw Inventory'!I51</x:f>
        <x:v>20</x:v>
      </x:c>
      <x:c r="L51" s="184">
        <x:f t="shared" si="12"/>
        <x:v>3</x:v>
      </x:c>
      <x:c r="M51" s="184">
        <x:f t="shared" si="13"/>
        <x:v>3</x:v>
      </x:c>
      <x:c r="N51" s="185">
        <x:f t="shared" si="14"/>
        <x:v>168</x:v>
      </x:c>
      <x:c r="O51" s="183" t="str">
        <x:f t="shared" si="15"/>
        <x:v>OK</x:v>
      </x:c>
      <x:c r="P51" s="183" t="str">
        <x:f t="shared" si="16"/>
        <x:v>OK</x:v>
      </x:c>
      <x:c r="Q51" s="183" t="str">
        <x:f t="shared" si="17"/>
        <x:v>OK</x:v>
      </x:c>
      <x:c r="R51" s="183" t="str">
        <x:f t="shared" si="18"/>
        <x:v>OK</x:v>
      </x:c>
      <x:c r="S51" s="183" t="str">
        <x:f>IF(ISBLANK('Raw Inventory'!H51),"Missing Physical Qty",IF(OR(NOT(ISNUMBER(J51)),J51&lt;0),"Invalid Physical Qty","OK"))</x:f>
        <x:v>OK</x:v>
      </x:c>
      <x:c r="T51" s="183" t="str">
        <x:f>IF(TRIM('Raw Inventory'!K51)="","Missing Evidence","OK")</x:f>
        <x:v>OK</x:v>
      </x:c>
      <x:c r="U51" s="183" t="str">
        <x:f t="shared" si="19"/>
        <x:v>OK</x:v>
      </x:c>
      <x:c r="V51" s="183" t="str">
        <x:f t="shared" si="20"/>
        <x:v>OK</x:v>
      </x:c>
      <x:c r="W51" s="183">
        <x:f t="shared" si="21"/>
        <x:v>1</x:v>
      </x:c>
      <x:c r="X51" s="190" t="str">
        <x:f t="shared" si="22"/>
        <x:v>Review</x:v>
      </x:c>
      <x:c r="Y51" s="193" t="str">
        <x:f t="shared" si="23"/>
        <x:v>Investigate overage and record a written resolution</x:v>
      </x:c>
    </x:row>
    <x:row r="52" ht="14.25" hidden="0" customHeight="1">
      <x:c r="A52" s="183" t="n">
        <x:f>ROW('Raw Inventory'!A52)</x:f>
        <x:v>52</x:v>
      </x:c>
      <x:c r="B52" s="110" t="n">
        <x:f>'Raw Inventory'!A52</x:f>
        <x:v>46238</x:v>
      </x:c>
      <x:c r="C52" s="183" t="str">
        <x:f>'Raw Inventory'!B52</x:f>
        <x:v>SKU-0049</x:v>
      </x:c>
      <x:c r="D52" s="183" t="n">
        <x:f>COUNTIF('Raw Inventory'!$B$4:$B$63,C52)</x:f>
        <x:v>1</x:v>
      </x:c>
      <x:c r="E52" s="111" t="str">
        <x:f>TRIM('Raw Inventory'!C52)</x:f>
        <x:v>Trail Motion A</x:v>
      </x:c>
      <x:c r="F52" s="111" t="str">
        <x:f>IFERROR(VLOOKUP(UPPER(TRIM('Raw Inventory'!D52)),Reference!$A$5:$B$10,2,FALSE),"Needs Review")</x:f>
        <x:v>Footwear</x:v>
      </x:c>
      <x:c r="G52" s="111" t="str">
        <x:f>IFERROR(VLOOKUP(UPPER(TRIM('Raw Inventory'!E52)),Reference!$D$5:$E$9,2,FALSE),"Needs Review")</x:f>
        <x:v>JKT-A</x:v>
      </x:c>
      <x:c r="H52" s="112" t="n">
        <x:f>'Raw Inventory'!F52</x:f>
        <x:v>63</x:v>
      </x:c>
      <x:c r="I52" s="184" t="n">
        <x:f>'Raw Inventory'!G52</x:f>
        <x:v>74</x:v>
      </x:c>
      <x:c r="J52" s="184" t="n">
        <x:f>'Raw Inventory'!H52</x:f>
        <x:v>0</x:v>
      </x:c>
      <x:c r="K52" s="184" t="n">
        <x:f>'Raw Inventory'!I52</x:f>
        <x:v>23</x:v>
      </x:c>
      <x:c r="L52" s="184" t="str">
        <x:f t="shared" si="12"/>
      </x:c>
      <x:c r="M52" s="184" t="str">
        <x:f t="shared" si="13"/>
      </x:c>
      <x:c r="N52" s="185" t="str">
        <x:f t="shared" si="14"/>
      </x:c>
      <x:c r="O52" s="183" t="str">
        <x:f t="shared" si="15"/>
        <x:v>OK</x:v>
      </x:c>
      <x:c r="P52" s="183" t="str">
        <x:f t="shared" si="16"/>
        <x:v>OK</x:v>
      </x:c>
      <x:c r="Q52" s="183" t="str">
        <x:f t="shared" si="17"/>
        <x:v>OK</x:v>
      </x:c>
      <x:c r="R52" s="183" t="str">
        <x:f t="shared" si="18"/>
        <x:v>OK</x:v>
      </x:c>
      <x:c r="S52" s="183" t="str">
        <x:f>IF(ISBLANK('Raw Inventory'!H52),"Missing Physical Qty",IF(OR(NOT(ISNUMBER(J52)),J52&lt;0),"Invalid Physical Qty","OK"))</x:f>
        <x:v>Missing Physical Qty</x:v>
      </x:c>
      <x:c r="T52" s="183" t="str">
        <x:f>IF(TRIM('Raw Inventory'!K52)="","Missing Evidence","OK")</x:f>
        <x:v>OK</x:v>
      </x:c>
      <x:c r="U52" s="183" t="str">
        <x:f t="shared" si="19"/>
        <x:v>OK</x:v>
      </x:c>
      <x:c r="V52" s="183" t="str">
        <x:f t="shared" si="20"/>
        <x:v>N/A</x:v>
      </x:c>
      <x:c r="W52" s="183">
        <x:f t="shared" si="21"/>
        <x:v>1</x:v>
      </x:c>
      <x:c r="X52" s="190" t="str">
        <x:f t="shared" si="22"/>
        <x:v>High Priority Review</x:v>
      </x:c>
      <x:c r="Y52" s="193" t="str">
        <x:f t="shared" si="23"/>
        <x:v>Correct the source field and document the evidence</x:v>
      </x:c>
    </x:row>
    <x:row r="53" ht="14.25" hidden="0" customHeight="1">
      <x:c r="A53" s="183" t="n">
        <x:f>ROW('Raw Inventory'!A53)</x:f>
        <x:v>53</x:v>
      </x:c>
      <x:c r="B53" s="110" t="n">
        <x:f>'Raw Inventory'!A53</x:f>
        <x:v>46239</x:v>
      </x:c>
      <x:c r="C53" s="183" t="str">
        <x:f>'Raw Inventory'!B53</x:f>
        <x:v>SKU-0050</x:v>
      </x:c>
      <x:c r="D53" s="183" t="n">
        <x:f>COUNTIF('Raw Inventory'!$B$4:$B$63,C53)</x:f>
        <x:v>1</x:v>
      </x:c>
      <x:c r="E53" s="111" t="str">
        <x:f>TRIM('Raw Inventory'!C53)</x:f>
        <x:v>Training Jacket B</x:v>
      </x:c>
      <x:c r="F53" s="111" t="str">
        <x:f>IFERROR(VLOOKUP(UPPER(TRIM('Raw Inventory'!D53)),Reference!$A$5:$B$10,2,FALSE),"Needs Review")</x:f>
        <x:v>Apparel</x:v>
      </x:c>
      <x:c r="G53" s="111" t="str">
        <x:f>IFERROR(VLOOKUP(UPPER(TRIM('Raw Inventory'!E53)),Reference!$D$5:$E$9,2,FALSE),"Needs Review")</x:f>
        <x:v>JKT-B</x:v>
      </x:c>
      <x:c r="H53" s="112" t="n">
        <x:f>'Raw Inventory'!F53</x:f>
        <x:v>70</x:v>
      </x:c>
      <x:c r="I53" s="184" t="n">
        <x:f>'Raw Inventory'!G53</x:f>
        <x:v>87</x:v>
      </x:c>
      <x:c r="J53" s="184" t="n">
        <x:f>'Raw Inventory'!H53</x:f>
        <x:v>85</x:v>
      </x:c>
      <x:c r="K53" s="184" t="n">
        <x:f>'Raw Inventory'!I53</x:f>
        <x:v>26</x:v>
      </x:c>
      <x:c r="L53" s="184">
        <x:f t="shared" si="12"/>
        <x:v>-2</x:v>
      </x:c>
      <x:c r="M53" s="184">
        <x:f t="shared" si="13"/>
        <x:v>2</x:v>
      </x:c>
      <x:c r="N53" s="185">
        <x:f t="shared" si="14"/>
        <x:v>-140</x:v>
      </x:c>
      <x:c r="O53" s="183" t="str">
        <x:f t="shared" si="15"/>
        <x:v>OK</x:v>
      </x:c>
      <x:c r="P53" s="183" t="str">
        <x:f t="shared" si="16"/>
        <x:v>OK</x:v>
      </x:c>
      <x:c r="Q53" s="183" t="str">
        <x:f t="shared" si="17"/>
        <x:v>OK</x:v>
      </x:c>
      <x:c r="R53" s="183" t="str">
        <x:f t="shared" si="18"/>
        <x:v>OK</x:v>
      </x:c>
      <x:c r="S53" s="183" t="str">
        <x:f>IF(ISBLANK('Raw Inventory'!H53),"Missing Physical Qty",IF(OR(NOT(ISNUMBER(J53)),J53&lt;0),"Invalid Physical Qty","OK"))</x:f>
        <x:v>OK</x:v>
      </x:c>
      <x:c r="T53" s="183" t="str">
        <x:f>IF(TRIM('Raw Inventory'!K53)="","Missing Evidence","OK")</x:f>
        <x:v>OK</x:v>
      </x:c>
      <x:c r="U53" s="183" t="str">
        <x:f t="shared" si="19"/>
        <x:v>OK</x:v>
      </x:c>
      <x:c r="V53" s="183" t="str">
        <x:f t="shared" si="20"/>
        <x:v>OK</x:v>
      </x:c>
      <x:c r="W53" s="183">
        <x:f t="shared" si="21"/>
        <x:v>1</x:v>
      </x:c>
      <x:c r="X53" s="190" t="str">
        <x:f t="shared" si="22"/>
        <x:v>Review</x:v>
      </x:c>
      <x:c r="Y53" s="193" t="str">
        <x:f t="shared" si="23"/>
        <x:v>Investigate shortage and record a written resolution</x:v>
      </x:c>
    </x:row>
    <x:row r="54" ht="14.25" hidden="0" customHeight="1">
      <x:c r="A54" s="183" t="n">
        <x:f>ROW('Raw Inventory'!A54)</x:f>
        <x:v>54</x:v>
      </x:c>
      <x:c r="B54" s="110" t="n">
        <x:f>'Raw Inventory'!A54</x:f>
        <x:v>46235</x:v>
      </x:c>
      <x:c r="C54" s="183" t="str">
        <x:f>'Raw Inventory'!B54</x:f>
        <x:v>SKU-0051</x:v>
      </x:c>
      <x:c r="D54" s="183" t="n">
        <x:f>COUNTIF('Raw Inventory'!$B$4:$B$63,C54)</x:f>
        <x:v>1</x:v>
      </x:c>
      <x:c r="E54" s="111" t="str">
        <x:f>TRIM('Raw Inventory'!C54)</x:f>
        <x:v>Crew Socks C</x:v>
      </x:c>
      <x:c r="F54" s="111" t="str">
        <x:f>IFERROR(VLOOKUP(UPPER(TRIM('Raw Inventory'!D54)),Reference!$A$5:$B$10,2,FALSE),"Needs Review")</x:f>
        <x:v>Accessories</x:v>
      </x:c>
      <x:c r="G54" s="111" t="str">
        <x:f>IFERROR(VLOOKUP(UPPER(TRIM('Raw Inventory'!E54)),Reference!$D$5:$E$9,2,FALSE),"Needs Review")</x:f>
        <x:v>SBY-A</x:v>
      </x:c>
      <x:c r="H54" s="112" t="n">
        <x:f>'Raw Inventory'!F54</x:f>
        <x:v>77</x:v>
      </x:c>
      <x:c r="I54" s="184" t="n">
        <x:f>'Raw Inventory'!G54</x:f>
        <x:v>100</x:v>
      </x:c>
      <x:c r="J54" s="184" t="n">
        <x:f>'Raw Inventory'!H54</x:f>
        <x:v>100</x:v>
      </x:c>
      <x:c r="K54" s="184" t="n">
        <x:f>'Raw Inventory'!I54</x:f>
        <x:v>29</x:v>
      </x:c>
      <x:c r="L54" s="184">
        <x:f t="shared" si="12"/>
        <x:v>0</x:v>
      </x:c>
      <x:c r="M54" s="184">
        <x:f t="shared" si="13"/>
        <x:v>0</x:v>
      </x:c>
      <x:c r="N54" s="185">
        <x:f t="shared" si="14"/>
        <x:v>0</x:v>
      </x:c>
      <x:c r="O54" s="183" t="str">
        <x:f t="shared" si="15"/>
        <x:v>OK</x:v>
      </x:c>
      <x:c r="P54" s="183" t="str">
        <x:f t="shared" si="16"/>
        <x:v>OK</x:v>
      </x:c>
      <x:c r="Q54" s="183" t="str">
        <x:f t="shared" si="17"/>
        <x:v>OK</x:v>
      </x:c>
      <x:c r="R54" s="183" t="str">
        <x:f t="shared" si="18"/>
        <x:v>OK</x:v>
      </x:c>
      <x:c r="S54" s="183" t="str">
        <x:f>IF(ISBLANK('Raw Inventory'!H54),"Missing Physical Qty",IF(OR(NOT(ISNUMBER(J54)),J54&lt;0),"Invalid Physical Qty","OK"))</x:f>
        <x:v>OK</x:v>
      </x:c>
      <x:c r="T54" s="183" t="str">
        <x:f>IF(TRIM('Raw Inventory'!K54)="","Missing Evidence","OK")</x:f>
        <x:v>OK</x:v>
      </x:c>
      <x:c r="U54" s="183" t="str">
        <x:f t="shared" si="19"/>
        <x:v>OK</x:v>
      </x:c>
      <x:c r="V54" s="183" t="str">
        <x:f t="shared" si="20"/>
        <x:v>OK</x:v>
      </x:c>
      <x:c r="W54" s="183">
        <x:f t="shared" si="21"/>
        <x:v>0</x:v>
      </x:c>
      <x:c r="X54" s="190" t="str">
        <x:f t="shared" si="22"/>
        <x:v>Ready</x:v>
      </x:c>
      <x:c r="Y54" s="193" t="str">
        <x:f t="shared" si="23"/>
        <x:v>No action required</x:v>
      </x:c>
    </x:row>
    <x:row r="55" ht="14.25" hidden="0" customHeight="1">
      <x:c r="A55" s="183" t="n">
        <x:f>ROW('Raw Inventory'!A55)</x:f>
        <x:v>55</x:v>
      </x:c>
      <x:c r="B55" s="110" t="n">
        <x:f>'Raw Inventory'!A55</x:f>
        <x:v>46236</x:v>
      </x:c>
      <x:c r="C55" s="183" t="str">
        <x:f>'Raw Inventory'!B55</x:f>
        <x:v>SKU-0052</x:v>
      </x:c>
      <x:c r="D55" s="183" t="n">
        <x:f>COUNTIF('Raw Inventory'!$B$4:$B$63,C55)</x:f>
        <x:v>1</x:v>
      </x:c>
      <x:c r="E55" s="111" t="str">
        <x:f>TRIM('Raw Inventory'!C55)</x:f>
        <x:v>Training Cone A</x:v>
      </x:c>
      <x:c r="F55" s="111" t="str">
        <x:f>IFERROR(VLOOKUP(UPPER(TRIM('Raw Inventory'!D55)),Reference!$A$5:$B$10,2,FALSE),"Needs Review")</x:f>
        <x:v>Equipment</x:v>
      </x:c>
      <x:c r="G55" s="111" t="str">
        <x:f>IFERROR(VLOOKUP(UPPER(TRIM('Raw Inventory'!E55)),Reference!$D$5:$E$9,2,FALSE),"Needs Review")</x:f>
        <x:v>BDG-A</x:v>
      </x:c>
      <x:c r="H55" s="112" t="n">
        <x:f>'Raw Inventory'!F55</x:f>
        <x:v>84</x:v>
      </x:c>
      <x:c r="I55" s="184" t="n">
        <x:f>'Raw Inventory'!G55</x:f>
        <x:v>30</x:v>
      </x:c>
      <x:c r="J55" s="184" t="n">
        <x:f>'Raw Inventory'!H55</x:f>
        <x:v>30</x:v>
      </x:c>
      <x:c r="K55" s="184" t="n">
        <x:f>'Raw Inventory'!I55</x:f>
        <x:v>32</x:v>
      </x:c>
      <x:c r="L55" s="184">
        <x:f t="shared" si="12"/>
        <x:v>0</x:v>
      </x:c>
      <x:c r="M55" s="184">
        <x:f t="shared" si="13"/>
        <x:v>0</x:v>
      </x:c>
      <x:c r="N55" s="185">
        <x:f t="shared" si="14"/>
        <x:v>0</x:v>
      </x:c>
      <x:c r="O55" s="183" t="str">
        <x:f t="shared" si="15"/>
        <x:v>OK</x:v>
      </x:c>
      <x:c r="P55" s="183" t="str">
        <x:f t="shared" si="16"/>
        <x:v>OK</x:v>
      </x:c>
      <x:c r="Q55" s="183" t="str">
        <x:f t="shared" si="17"/>
        <x:v>OK</x:v>
      </x:c>
      <x:c r="R55" s="183" t="str">
        <x:f t="shared" si="18"/>
        <x:v>OK</x:v>
      </x:c>
      <x:c r="S55" s="183" t="str">
        <x:f>IF(ISBLANK('Raw Inventory'!H55),"Missing Physical Qty",IF(OR(NOT(ISNUMBER(J55)),J55&lt;0),"Invalid Physical Qty","OK"))</x:f>
        <x:v>OK</x:v>
      </x:c>
      <x:c r="T55" s="183" t="str">
        <x:f>IF(TRIM('Raw Inventory'!K55)="","Missing Evidence","OK")</x:f>
        <x:v>OK</x:v>
      </x:c>
      <x:c r="U55" s="183" t="str">
        <x:f t="shared" si="19"/>
        <x:v>OK</x:v>
      </x:c>
      <x:c r="V55" s="183" t="str">
        <x:f t="shared" si="20"/>
        <x:v>Low Stock</x:v>
      </x:c>
      <x:c r="W55" s="183">
        <x:f t="shared" si="21"/>
        <x:v>1</x:v>
      </x:c>
      <x:c r="X55" s="190" t="str">
        <x:f t="shared" si="22"/>
        <x:v>Review</x:v>
      </x:c>
      <x:c r="Y55" s="193" t="str">
        <x:f t="shared" si="23"/>
        <x:v>Create a written replenishment request</x:v>
      </x:c>
    </x:row>
    <x:row r="56" ht="14.25" hidden="0" customHeight="1">
      <x:c r="A56" s="183" t="n">
        <x:f>ROW('Raw Inventory'!A56)</x:f>
        <x:v>56</x:v>
      </x:c>
      <x:c r="B56" s="110" t="n">
        <x:f>'Raw Inventory'!A56</x:f>
        <x:v>46237</x:v>
      </x:c>
      <x:c r="C56" s="183" t="str">
        <x:f>'Raw Inventory'!B56</x:f>
        <x:v>SKU-0053</x:v>
      </x:c>
      <x:c r="D56" s="183" t="n">
        <x:f>COUNTIF('Raw Inventory'!$B$4:$B$63,C56)</x:f>
        <x:v>1</x:v>
      </x:c>
      <x:c r="E56" s="111" t="str">
        <x:f>TRIM('Raw Inventory'!C56)</x:f>
        <x:v>Urban Flex B</x:v>
      </x:c>
      <x:c r="F56" s="111" t="str">
        <x:f>IFERROR(VLOOKUP(UPPER(TRIM('Raw Inventory'!D56)),Reference!$A$5:$B$10,2,FALSE),"Needs Review")</x:f>
        <x:v>Footwear</x:v>
      </x:c>
      <x:c r="G56" s="111" t="str">
        <x:f>IFERROR(VLOOKUP(UPPER(TRIM('Raw Inventory'!E56)),Reference!$D$5:$E$9,2,FALSE),"Needs Review")</x:f>
        <x:v>JKT-A</x:v>
      </x:c>
      <x:c r="H56" s="112" t="n">
        <x:f>'Raw Inventory'!F56</x:f>
        <x:v>18</x:v>
      </x:c>
      <x:c r="I56" s="184" t="n">
        <x:f>'Raw Inventory'!G56</x:f>
        <x:v>43</x:v>
      </x:c>
      <x:c r="J56" s="184" t="n">
        <x:f>'Raw Inventory'!H56</x:f>
        <x:v>43</x:v>
      </x:c>
      <x:c r="K56" s="184" t="n">
        <x:f>'Raw Inventory'!I56</x:f>
        <x:v>35</x:v>
      </x:c>
      <x:c r="L56" s="184">
        <x:f t="shared" si="12"/>
        <x:v>0</x:v>
      </x:c>
      <x:c r="M56" s="184">
        <x:f t="shared" si="13"/>
        <x:v>0</x:v>
      </x:c>
      <x:c r="N56" s="185">
        <x:f t="shared" si="14"/>
        <x:v>0</x:v>
      </x:c>
      <x:c r="O56" s="183" t="str">
        <x:f t="shared" si="15"/>
        <x:v>OK</x:v>
      </x:c>
      <x:c r="P56" s="183" t="str">
        <x:f t="shared" si="16"/>
        <x:v>OK</x:v>
      </x:c>
      <x:c r="Q56" s="183" t="str">
        <x:f t="shared" si="17"/>
        <x:v>OK</x:v>
      </x:c>
      <x:c r="R56" s="183" t="str">
        <x:f t="shared" si="18"/>
        <x:v>OK</x:v>
      </x:c>
      <x:c r="S56" s="183" t="str">
        <x:f>IF(ISBLANK('Raw Inventory'!H56),"Missing Physical Qty",IF(OR(NOT(ISNUMBER(J56)),J56&lt;0),"Invalid Physical Qty","OK"))</x:f>
        <x:v>OK</x:v>
      </x:c>
      <x:c r="T56" s="183" t="str">
        <x:f>IF(TRIM('Raw Inventory'!K56)="","Missing Evidence","OK")</x:f>
        <x:v>OK</x:v>
      </x:c>
      <x:c r="U56" s="183" t="str">
        <x:f t="shared" si="19"/>
        <x:v>OK</x:v>
      </x:c>
      <x:c r="V56" s="183" t="str">
        <x:f t="shared" si="20"/>
        <x:v>OK</x:v>
      </x:c>
      <x:c r="W56" s="183">
        <x:f t="shared" si="21"/>
        <x:v>0</x:v>
      </x:c>
      <x:c r="X56" s="190" t="str">
        <x:f t="shared" si="22"/>
        <x:v>Ready</x:v>
      </x:c>
      <x:c r="Y56" s="193" t="str">
        <x:f t="shared" si="23"/>
        <x:v>No action required</x:v>
      </x:c>
    </x:row>
    <x:row r="57" ht="14.25" hidden="0" customHeight="1">
      <x:c r="A57" s="183" t="n">
        <x:f>ROW('Raw Inventory'!A57)</x:f>
        <x:v>57</x:v>
      </x:c>
      <x:c r="B57" s="110" t="n">
        <x:f>'Raw Inventory'!A57</x:f>
        <x:v>46238</x:v>
      </x:c>
      <x:c r="C57" s="183" t="str">
        <x:f>'Raw Inventory'!B57</x:f>
        <x:v>SKU-0054</x:v>
      </x:c>
      <x:c r="D57" s="183" t="n">
        <x:f>COUNTIF('Raw Inventory'!$B$4:$B$63,C57)</x:f>
        <x:v>1</x:v>
      </x:c>
      <x:c r="E57" s="111" t="str">
        <x:f>TRIM('Raw Inventory'!C57)</x:f>
        <x:v>Everyday Hoodie C</x:v>
      </x:c>
      <x:c r="F57" s="111" t="str">
        <x:f>IFERROR(VLOOKUP(UPPER(TRIM('Raw Inventory'!D57)),Reference!$A$5:$B$10,2,FALSE),"Needs Review")</x:f>
        <x:v>Apparel</x:v>
      </x:c>
      <x:c r="G57" s="111" t="str">
        <x:f>IFERROR(VLOOKUP(UPPER(TRIM('Raw Inventory'!E57)),Reference!$D$5:$E$9,2,FALSE),"Needs Review")</x:f>
        <x:v>JKT-B</x:v>
      </x:c>
      <x:c r="H57" s="112" t="n">
        <x:f>'Raw Inventory'!F57</x:f>
        <x:v>25</x:v>
      </x:c>
      <x:c r="I57" s="184" t="n">
        <x:f>'Raw Inventory'!G57</x:f>
        <x:v>56</x:v>
      </x:c>
      <x:c r="J57" s="184" t="n">
        <x:f>'Raw Inventory'!H57</x:f>
        <x:v>57</x:v>
      </x:c>
      <x:c r="K57" s="184" t="n">
        <x:f>'Raw Inventory'!I57</x:f>
        <x:v>22</x:v>
      </x:c>
      <x:c r="L57" s="184">
        <x:f t="shared" si="12"/>
        <x:v>1</x:v>
      </x:c>
      <x:c r="M57" s="184">
        <x:f t="shared" si="13"/>
        <x:v>1</x:v>
      </x:c>
      <x:c r="N57" s="185">
        <x:f t="shared" si="14"/>
        <x:v>25</x:v>
      </x:c>
      <x:c r="O57" s="183" t="str">
        <x:f t="shared" si="15"/>
        <x:v>OK</x:v>
      </x:c>
      <x:c r="P57" s="183" t="str">
        <x:f t="shared" si="16"/>
        <x:v>OK</x:v>
      </x:c>
      <x:c r="Q57" s="183" t="str">
        <x:f t="shared" si="17"/>
        <x:v>OK</x:v>
      </x:c>
      <x:c r="R57" s="183" t="str">
        <x:f t="shared" si="18"/>
        <x:v>OK</x:v>
      </x:c>
      <x:c r="S57" s="183" t="str">
        <x:f>IF(ISBLANK('Raw Inventory'!H57),"Missing Physical Qty",IF(OR(NOT(ISNUMBER(J57)),J57&lt;0),"Invalid Physical Qty","OK"))</x:f>
        <x:v>OK</x:v>
      </x:c>
      <x:c r="T57" s="183" t="str">
        <x:f>IF(TRIM('Raw Inventory'!K57)="","Missing Evidence","OK")</x:f>
        <x:v>Missing Evidence</x:v>
      </x:c>
      <x:c r="U57" s="183" t="str">
        <x:f t="shared" si="19"/>
        <x:v>OK</x:v>
      </x:c>
      <x:c r="V57" s="183" t="str">
        <x:f t="shared" si="20"/>
        <x:v>OK</x:v>
      </x:c>
      <x:c r="W57" s="183">
        <x:f t="shared" si="21"/>
        <x:v>2</x:v>
      </x:c>
      <x:c r="X57" s="190" t="str">
        <x:f t="shared" si="22"/>
        <x:v>Review</x:v>
      </x:c>
      <x:c r="Y57" s="193" t="str">
        <x:f t="shared" si="23"/>
        <x:v>Attach the count-sheet reference</x:v>
      </x:c>
    </x:row>
    <x:row r="58" ht="14.25" hidden="0" customHeight="1">
      <x:c r="A58" s="183" t="n">
        <x:f>ROW('Raw Inventory'!A58)</x:f>
        <x:v>58</x:v>
      </x:c>
      <x:c r="B58" s="110" t="n">
        <x:f>'Raw Inventory'!A58</x:f>
        <x:v>46239</x:v>
      </x:c>
      <x:c r="C58" s="183" t="str">
        <x:f>'Raw Inventory'!B58</x:f>
        <x:v>SKU-0055</x:v>
      </x:c>
      <x:c r="D58" s="183" t="n">
        <x:f>COUNTIF('Raw Inventory'!$B$4:$B$63,C58)</x:f>
        <x:v>1</x:v>
      </x:c>
      <x:c r="E58" s="111" t="str">
        <x:f>TRIM('Raw Inventory'!C58)</x:f>
        <x:v>Water Bottle A</x:v>
      </x:c>
      <x:c r="F58" s="111" t="str">
        <x:f>IFERROR(VLOOKUP(UPPER(TRIM('Raw Inventory'!D58)),Reference!$A$5:$B$10,2,FALSE),"Needs Review")</x:f>
        <x:v>Accessories</x:v>
      </x:c>
      <x:c r="G58" s="111" t="str">
        <x:f>IFERROR(VLOOKUP(UPPER(TRIM('Raw Inventory'!E58)),Reference!$D$5:$E$9,2,FALSE),"Needs Review")</x:f>
        <x:v>SBY-A</x:v>
      </x:c>
      <x:c r="H58" s="112" t="n">
        <x:f>'Raw Inventory'!F58</x:f>
        <x:v>32</x:v>
      </x:c>
      <x:c r="I58" s="184" t="n">
        <x:f>'Raw Inventory'!G58</x:f>
        <x:v>69</x:v>
      </x:c>
      <x:c r="J58" s="184" t="n">
        <x:f>'Raw Inventory'!H58</x:f>
        <x:v>72</x:v>
      </x:c>
      <x:c r="K58" s="184" t="n">
        <x:f>'Raw Inventory'!I58</x:f>
        <x:v>25</x:v>
      </x:c>
      <x:c r="L58" s="184">
        <x:f t="shared" si="12"/>
        <x:v>3</x:v>
      </x:c>
      <x:c r="M58" s="184">
        <x:f t="shared" si="13"/>
        <x:v>3</x:v>
      </x:c>
      <x:c r="N58" s="185">
        <x:f t="shared" si="14"/>
        <x:v>96</x:v>
      </x:c>
      <x:c r="O58" s="183" t="str">
        <x:f t="shared" si="15"/>
        <x:v>OK</x:v>
      </x:c>
      <x:c r="P58" s="183" t="str">
        <x:f t="shared" si="16"/>
        <x:v>OK</x:v>
      </x:c>
      <x:c r="Q58" s="183" t="str">
        <x:f t="shared" si="17"/>
        <x:v>OK</x:v>
      </x:c>
      <x:c r="R58" s="183" t="str">
        <x:f t="shared" si="18"/>
        <x:v>OK</x:v>
      </x:c>
      <x:c r="S58" s="183" t="str">
        <x:f>IF(ISBLANK('Raw Inventory'!H58),"Missing Physical Qty",IF(OR(NOT(ISNUMBER(J58)),J58&lt;0),"Invalid Physical Qty","OK"))</x:f>
        <x:v>OK</x:v>
      </x:c>
      <x:c r="T58" s="183" t="str">
        <x:f>IF(TRIM('Raw Inventory'!K58)="","Missing Evidence","OK")</x:f>
        <x:v>OK</x:v>
      </x:c>
      <x:c r="U58" s="183" t="str">
        <x:f t="shared" si="19"/>
        <x:v>OK</x:v>
      </x:c>
      <x:c r="V58" s="183" t="str">
        <x:f t="shared" si="20"/>
        <x:v>OK</x:v>
      </x:c>
      <x:c r="W58" s="183">
        <x:f t="shared" si="21"/>
        <x:v>1</x:v>
      </x:c>
      <x:c r="X58" s="190" t="str">
        <x:f t="shared" si="22"/>
        <x:v>Review</x:v>
      </x:c>
      <x:c r="Y58" s="193" t="str">
        <x:f t="shared" si="23"/>
        <x:v>Investigate overage and record a written resolution</x:v>
      </x:c>
    </x:row>
    <x:row r="59" ht="14.25" hidden="0" customHeight="1">
      <x:c r="A59" s="183" t="n">
        <x:f>ROW('Raw Inventory'!A59)</x:f>
        <x:v>59</x:v>
      </x:c>
      <x:c r="B59" s="110" t="n">
        <x:f>'Raw Inventory'!A59</x:f>
        <x:v>46235</x:v>
      </x:c>
      <x:c r="C59" s="183" t="str">
        <x:f>'Raw Inventory'!B59</x:f>
        <x:v>SKU-0056</x:v>
      </x:c>
      <x:c r="D59" s="183" t="n">
        <x:f>COUNTIF('Raw Inventory'!$B$4:$B$63,C59)</x:f>
        <x:v>1</x:v>
      </x:c>
      <x:c r="E59" s="111" t="str">
        <x:f>TRIM('Raw Inventory'!C59)</x:f>
        <x:v>Foam Roller B</x:v>
      </x:c>
      <x:c r="F59" s="111" t="str">
        <x:f>IFERROR(VLOOKUP(UPPER(TRIM('Raw Inventory'!D59)),Reference!$A$5:$B$10,2,FALSE),"Needs Review")</x:f>
        <x:v>Equipment</x:v>
      </x:c>
      <x:c r="G59" s="111" t="str">
        <x:f>IFERROR(VLOOKUP(UPPER(TRIM('Raw Inventory'!E59)),Reference!$D$5:$E$9,2,FALSE),"Needs Review")</x:f>
        <x:v>BDG-A</x:v>
      </x:c>
      <x:c r="H59" s="112" t="n">
        <x:f>'Raw Inventory'!F59</x:f>
        <x:v>39</x:v>
      </x:c>
      <x:c r="I59" s="184" t="n">
        <x:f>'Raw Inventory'!G59</x:f>
        <x:v>82</x:v>
      </x:c>
      <x:c r="J59" s="184" t="n">
        <x:f>'Raw Inventory'!H59</x:f>
        <x:v>78</x:v>
      </x:c>
      <x:c r="K59" s="184" t="n">
        <x:f>'Raw Inventory'!I59</x:f>
        <x:v>28</x:v>
      </x:c>
      <x:c r="L59" s="184">
        <x:f t="shared" si="12"/>
        <x:v>-4</x:v>
      </x:c>
      <x:c r="M59" s="184">
        <x:f t="shared" si="13"/>
        <x:v>4</x:v>
      </x:c>
      <x:c r="N59" s="185">
        <x:f t="shared" si="14"/>
        <x:v>-156</x:v>
      </x:c>
      <x:c r="O59" s="183" t="str">
        <x:f t="shared" si="15"/>
        <x:v>OK</x:v>
      </x:c>
      <x:c r="P59" s="183" t="str">
        <x:f t="shared" si="16"/>
        <x:v>OK</x:v>
      </x:c>
      <x:c r="Q59" s="183" t="str">
        <x:f t="shared" si="17"/>
        <x:v>OK</x:v>
      </x:c>
      <x:c r="R59" s="183" t="str">
        <x:f t="shared" si="18"/>
        <x:v>OK</x:v>
      </x:c>
      <x:c r="S59" s="183" t="str">
        <x:f>IF(ISBLANK('Raw Inventory'!H59),"Missing Physical Qty",IF(OR(NOT(ISNUMBER(J59)),J59&lt;0),"Invalid Physical Qty","OK"))</x:f>
        <x:v>OK</x:v>
      </x:c>
      <x:c r="T59" s="183" t="str">
        <x:f>IF(TRIM('Raw Inventory'!K59)="","Missing Evidence","OK")</x:f>
        <x:v>OK</x:v>
      </x:c>
      <x:c r="U59" s="183" t="str">
        <x:f t="shared" si="19"/>
        <x:v>OK</x:v>
      </x:c>
      <x:c r="V59" s="183" t="str">
        <x:f t="shared" si="20"/>
        <x:v>OK</x:v>
      </x:c>
      <x:c r="W59" s="183">
        <x:f t="shared" si="21"/>
        <x:v>1</x:v>
      </x:c>
      <x:c r="X59" s="190" t="str">
        <x:f t="shared" si="22"/>
        <x:v>Review</x:v>
      </x:c>
      <x:c r="Y59" s="193" t="str">
        <x:f t="shared" si="23"/>
        <x:v>Investigate shortage and record a written resolution</x:v>
      </x:c>
    </x:row>
    <x:row r="60" ht="14.25" hidden="0" customHeight="1">
      <x:c r="A60" s="183" t="n">
        <x:f>ROW('Raw Inventory'!A60)</x:f>
        <x:v>60</x:v>
      </x:c>
      <x:c r="B60" s="110" t="n">
        <x:f>'Raw Inventory'!A60</x:f>
        <x:v>46236</x:v>
      </x:c>
      <x:c r="C60" s="183" t="str">
        <x:f>'Raw Inventory'!B60</x:f>
        <x:v>SKU-0057</x:v>
      </x:c>
      <x:c r="D60" s="183" t="n">
        <x:f>COUNTIF('Raw Inventory'!$B$4:$B$63,C60)</x:f>
        <x:v>1</x:v>
      </x:c>
      <x:c r="E60" s="111" t="str">
        <x:f>TRIM('Raw Inventory'!C60)</x:f>
        <x:v>Daily Trainer C</x:v>
      </x:c>
      <x:c r="F60" s="111" t="str">
        <x:f>IFERROR(VLOOKUP(UPPER(TRIM('Raw Inventory'!D60)),Reference!$A$5:$B$10,2,FALSE),"Needs Review")</x:f>
        <x:v>Footwear</x:v>
      </x:c>
      <x:c r="G60" s="111" t="str">
        <x:f>IFERROR(VLOOKUP(UPPER(TRIM('Raw Inventory'!E60)),Reference!$D$5:$E$9,2,FALSE),"Needs Review")</x:f>
        <x:v>JKT-A</x:v>
      </x:c>
      <x:c r="H60" s="112" t="n">
        <x:f>'Raw Inventory'!F60</x:f>
        <x:v>46</x:v>
      </x:c>
      <x:c r="I60" s="184" t="n">
        <x:f>'Raw Inventory'!G60</x:f>
        <x:v>95</x:v>
      </x:c>
      <x:c r="J60" s="184" t="n">
        <x:f>'Raw Inventory'!H60</x:f>
        <x:v>93</x:v>
      </x:c>
      <x:c r="K60" s="184" t="n">
        <x:f>'Raw Inventory'!I60</x:f>
        <x:v>31</x:v>
      </x:c>
      <x:c r="L60" s="184">
        <x:f t="shared" si="12"/>
        <x:v>-2</x:v>
      </x:c>
      <x:c r="M60" s="184">
        <x:f t="shared" si="13"/>
        <x:v>2</x:v>
      </x:c>
      <x:c r="N60" s="185">
        <x:f t="shared" si="14"/>
        <x:v>-92</x:v>
      </x:c>
      <x:c r="O60" s="183" t="str">
        <x:f t="shared" si="15"/>
        <x:v>OK</x:v>
      </x:c>
      <x:c r="P60" s="183" t="str">
        <x:f t="shared" si="16"/>
        <x:v>OK</x:v>
      </x:c>
      <x:c r="Q60" s="183" t="str">
        <x:f t="shared" si="17"/>
        <x:v>OK</x:v>
      </x:c>
      <x:c r="R60" s="183" t="str">
        <x:f t="shared" si="18"/>
        <x:v>OK</x:v>
      </x:c>
      <x:c r="S60" s="183" t="str">
        <x:f>IF(ISBLANK('Raw Inventory'!H60),"Missing Physical Qty",IF(OR(NOT(ISNUMBER(J60)),J60&lt;0),"Invalid Physical Qty","OK"))</x:f>
        <x:v>OK</x:v>
      </x:c>
      <x:c r="T60" s="183" t="str">
        <x:f>IF(TRIM('Raw Inventory'!K60)="","Missing Evidence","OK")</x:f>
        <x:v>OK</x:v>
      </x:c>
      <x:c r="U60" s="183" t="str">
        <x:f t="shared" si="19"/>
        <x:v>OK</x:v>
      </x:c>
      <x:c r="V60" s="183" t="str">
        <x:f t="shared" si="20"/>
        <x:v>OK</x:v>
      </x:c>
      <x:c r="W60" s="183">
        <x:f t="shared" si="21"/>
        <x:v>1</x:v>
      </x:c>
      <x:c r="X60" s="190" t="str">
        <x:f t="shared" si="22"/>
        <x:v>Review</x:v>
      </x:c>
      <x:c r="Y60" s="193" t="str">
        <x:f t="shared" si="23"/>
        <x:v>Investigate shortage and record a written resolution</x:v>
      </x:c>
    </x:row>
    <x:row r="61" ht="14.25" hidden="0" customHeight="1">
      <x:c r="A61" s="183" t="n">
        <x:f>ROW('Raw Inventory'!A61)</x:f>
        <x:v>61</x:v>
      </x:c>
      <x:c r="B61" s="110" t="n">
        <x:f>'Raw Inventory'!A61</x:f>
        <x:v>46237</x:v>
      </x:c>
      <x:c r="C61" s="183" t="str">
        <x:f>'Raw Inventory'!B61</x:f>
        <x:v>SKU-0058</x:v>
      </x:c>
      <x:c r="D61" s="183" t="n">
        <x:f>COUNTIF('Raw Inventory'!$B$4:$B$63,C61)</x:f>
        <x:v>1</x:v>
      </x:c>
      <x:c r="E61" s="111" t="str">
        <x:f>TRIM('Raw Inventory'!C61)</x:f>
        <x:v>Active Shorts A</x:v>
      </x:c>
      <x:c r="F61" s="111" t="str">
        <x:f>IFERROR(VLOOKUP(UPPER(TRIM('Raw Inventory'!D61)),Reference!$A$5:$B$10,2,FALSE),"Needs Review")</x:f>
        <x:v>Apparel</x:v>
      </x:c>
      <x:c r="G61" s="111" t="str">
        <x:f>IFERROR(VLOOKUP(UPPER(TRIM('Raw Inventory'!E61)),Reference!$D$5:$E$9,2,FALSE),"Needs Review")</x:f>
        <x:v>JKT-B</x:v>
      </x:c>
      <x:c r="H61" s="112" t="n">
        <x:f>'Raw Inventory'!F61</x:f>
        <x:v>53</x:v>
      </x:c>
      <x:c r="I61" s="184" t="n">
        <x:f>'Raw Inventory'!G61</x:f>
        <x:v>25</x:v>
      </x:c>
      <x:c r="J61" s="184" t="n">
        <x:f>'Raw Inventory'!H61</x:f>
        <x:v>25</x:v>
      </x:c>
      <x:c r="K61" s="184" t="n">
        <x:f>'Raw Inventory'!I61</x:f>
        <x:v>34</x:v>
      </x:c>
      <x:c r="L61" s="184">
        <x:f t="shared" si="12"/>
        <x:v>0</x:v>
      </x:c>
      <x:c r="M61" s="184">
        <x:f t="shared" si="13"/>
        <x:v>0</x:v>
      </x:c>
      <x:c r="N61" s="185">
        <x:f t="shared" si="14"/>
        <x:v>0</x:v>
      </x:c>
      <x:c r="O61" s="183" t="str">
        <x:f t="shared" si="15"/>
        <x:v>OK</x:v>
      </x:c>
      <x:c r="P61" s="183" t="str">
        <x:f t="shared" si="16"/>
        <x:v>OK</x:v>
      </x:c>
      <x:c r="Q61" s="183" t="str">
        <x:f t="shared" si="17"/>
        <x:v>OK</x:v>
      </x:c>
      <x:c r="R61" s="183" t="str">
        <x:f t="shared" si="18"/>
        <x:v>OK</x:v>
      </x:c>
      <x:c r="S61" s="183" t="str">
        <x:f>IF(ISBLANK('Raw Inventory'!H61),"Missing Physical Qty",IF(OR(NOT(ISNUMBER(J61)),J61&lt;0),"Invalid Physical Qty","OK"))</x:f>
        <x:v>OK</x:v>
      </x:c>
      <x:c r="T61" s="183" t="str">
        <x:f>IF(TRIM('Raw Inventory'!K61)="","Missing Evidence","OK")</x:f>
        <x:v>OK</x:v>
      </x:c>
      <x:c r="U61" s="183" t="str">
        <x:f t="shared" si="19"/>
        <x:v>OK</x:v>
      </x:c>
      <x:c r="V61" s="183" t="str">
        <x:f t="shared" si="20"/>
        <x:v>Low Stock</x:v>
      </x:c>
      <x:c r="W61" s="183">
        <x:f t="shared" si="21"/>
        <x:v>1</x:v>
      </x:c>
      <x:c r="X61" s="190" t="str">
        <x:f t="shared" si="22"/>
        <x:v>Review</x:v>
      </x:c>
      <x:c r="Y61" s="193" t="str">
        <x:f t="shared" si="23"/>
        <x:v>Create a written replenishment request</x:v>
      </x:c>
    </x:row>
    <x:row r="62" ht="14.25" hidden="0" customHeight="1">
      <x:c r="A62" s="183" t="n">
        <x:f>ROW('Raw Inventory'!A62)</x:f>
        <x:v>62</x:v>
      </x:c>
      <x:c r="B62" s="110" t="n">
        <x:f>'Raw Inventory'!A62</x:f>
        <x:v>46238</x:v>
      </x:c>
      <x:c r="C62" s="183" t="str">
        <x:f>'Raw Inventory'!B62</x:f>
        <x:v>SKU-0059</x:v>
      </x:c>
      <x:c r="D62" s="183" t="n">
        <x:f>COUNTIF('Raw Inventory'!$B$4:$B$63,C62)</x:f>
        <x:v>1</x:v>
      </x:c>
      <x:c r="E62" s="111" t="str">
        <x:f>TRIM('Raw Inventory'!C62)</x:f>
        <x:v>Wristband Set B</x:v>
      </x:c>
      <x:c r="F62" s="111" t="str">
        <x:f>IFERROR(VLOOKUP(UPPER(TRIM('Raw Inventory'!D62)),Reference!$A$5:$B$10,2,FALSE),"Needs Review")</x:f>
        <x:v>Accessories</x:v>
      </x:c>
      <x:c r="G62" s="111" t="str">
        <x:f>IFERROR(VLOOKUP(UPPER(TRIM('Raw Inventory'!E62)),Reference!$D$5:$E$9,2,FALSE),"Needs Review")</x:f>
        <x:v>SBY-A</x:v>
      </x:c>
      <x:c r="H62" s="112" t="n">
        <x:f>'Raw Inventory'!F62</x:f>
        <x:v>60</x:v>
      </x:c>
      <x:c r="I62" s="184" t="n">
        <x:f>'Raw Inventory'!G62</x:f>
        <x:v>38</x:v>
      </x:c>
      <x:c r="J62" s="184" t="n">
        <x:f>'Raw Inventory'!H62</x:f>
        <x:v>38</x:v>
      </x:c>
      <x:c r="K62" s="184" t="n">
        <x:f>'Raw Inventory'!I62</x:f>
        <x:v>21</x:v>
      </x:c>
      <x:c r="L62" s="184">
        <x:f t="shared" si="12"/>
        <x:v>0</x:v>
      </x:c>
      <x:c r="M62" s="184">
        <x:f t="shared" si="13"/>
        <x:v>0</x:v>
      </x:c>
      <x:c r="N62" s="185">
        <x:f t="shared" si="14"/>
        <x:v>0</x:v>
      </x:c>
      <x:c r="O62" s="183" t="str">
        <x:f t="shared" si="15"/>
        <x:v>OK</x:v>
      </x:c>
      <x:c r="P62" s="183" t="str">
        <x:f t="shared" si="16"/>
        <x:v>OK</x:v>
      </x:c>
      <x:c r="Q62" s="183" t="str">
        <x:f t="shared" si="17"/>
        <x:v>OK</x:v>
      </x:c>
      <x:c r="R62" s="183" t="str">
        <x:f t="shared" si="18"/>
        <x:v>OK</x:v>
      </x:c>
      <x:c r="S62" s="183" t="str">
        <x:f>IF(ISBLANK('Raw Inventory'!H62),"Missing Physical Qty",IF(OR(NOT(ISNUMBER(J62)),J62&lt;0),"Invalid Physical Qty","OK"))</x:f>
        <x:v>OK</x:v>
      </x:c>
      <x:c r="T62" s="183" t="str">
        <x:f>IF(TRIM('Raw Inventory'!K62)="","Missing Evidence","OK")</x:f>
        <x:v>OK</x:v>
      </x:c>
      <x:c r="U62" s="183" t="str">
        <x:f t="shared" si="19"/>
        <x:v>OK</x:v>
      </x:c>
      <x:c r="V62" s="183" t="str">
        <x:f t="shared" si="20"/>
        <x:v>OK</x:v>
      </x:c>
      <x:c r="W62" s="183">
        <x:f t="shared" si="21"/>
        <x:v>0</x:v>
      </x:c>
      <x:c r="X62" s="190" t="str">
        <x:f t="shared" si="22"/>
        <x:v>Ready</x:v>
      </x:c>
      <x:c r="Y62" s="193" t="str">
        <x:f t="shared" si="23"/>
        <x:v>No action required</x:v>
      </x:c>
    </x:row>
    <x:row r="63" ht="14.25" hidden="0" customHeight="1">
      <x:c r="A63" s="186" t="n">
        <x:f>ROW('Raw Inventory'!A63)</x:f>
        <x:v>63</x:v>
      </x:c>
      <x:c r="B63" s="114" t="n">
        <x:f>'Raw Inventory'!A63</x:f>
        <x:v>46239</x:v>
      </x:c>
      <x:c r="C63" s="186" t="str">
        <x:f>'Raw Inventory'!B63</x:f>
        <x:v>SKU-0060</x:v>
      </x:c>
      <x:c r="D63" s="186" t="n">
        <x:f>COUNTIF('Raw Inventory'!$B$4:$B$63,C63)</x:f>
        <x:v>1</x:v>
      </x:c>
      <x:c r="E63" s="115" t="str">
        <x:f>TRIM('Raw Inventory'!C63)</x:f>
        <x:v>Jump Rope C</x:v>
      </x:c>
      <x:c r="F63" s="115" t="str">
        <x:f>IFERROR(VLOOKUP(UPPER(TRIM('Raw Inventory'!D63)),Reference!$A$5:$B$10,2,FALSE),"Needs Review")</x:f>
        <x:v>Equipment</x:v>
      </x:c>
      <x:c r="G63" s="115" t="str">
        <x:f>IFERROR(VLOOKUP(UPPER(TRIM('Raw Inventory'!E63)),Reference!$D$5:$E$9,2,FALSE),"Needs Review")</x:f>
        <x:v>BDG-A</x:v>
      </x:c>
      <x:c r="H63" s="116" t="n">
        <x:f>'Raw Inventory'!F63</x:f>
        <x:v>67</x:v>
      </x:c>
      <x:c r="I63" s="187" t="n">
        <x:f>'Raw Inventory'!G63</x:f>
        <x:v>51</x:v>
      </x:c>
      <x:c r="J63" s="187" t="n">
        <x:f>'Raw Inventory'!H63</x:f>
        <x:v>51</x:v>
      </x:c>
      <x:c r="K63" s="187" t="n">
        <x:f>'Raw Inventory'!I63</x:f>
        <x:v>24</x:v>
      </x:c>
      <x:c r="L63" s="187">
        <x:f t="shared" si="12"/>
        <x:v>0</x:v>
      </x:c>
      <x:c r="M63" s="187">
        <x:f t="shared" si="13"/>
        <x:v>0</x:v>
      </x:c>
      <x:c r="N63" s="188">
        <x:f t="shared" si="14"/>
        <x:v>0</x:v>
      </x:c>
      <x:c r="O63" s="186" t="str">
        <x:f t="shared" si="15"/>
        <x:v>OK</x:v>
      </x:c>
      <x:c r="P63" s="186" t="str">
        <x:f t="shared" si="16"/>
        <x:v>OK</x:v>
      </x:c>
      <x:c r="Q63" s="186" t="str">
        <x:f t="shared" si="17"/>
        <x:v>OK</x:v>
      </x:c>
      <x:c r="R63" s="186" t="str">
        <x:f t="shared" si="18"/>
        <x:v>OK</x:v>
      </x:c>
      <x:c r="S63" s="186" t="str">
        <x:f>IF(ISBLANK('Raw Inventory'!H63),"Missing Physical Qty",IF(OR(NOT(ISNUMBER(J63)),J63&lt;0),"Invalid Physical Qty","OK"))</x:f>
        <x:v>OK</x:v>
      </x:c>
      <x:c r="T63" s="186" t="str">
        <x:f>IF(TRIM('Raw Inventory'!K63)="","Missing Evidence","OK")</x:f>
        <x:v>OK</x:v>
      </x:c>
      <x:c r="U63" s="186" t="str">
        <x:f t="shared" si="19"/>
        <x:v>OK</x:v>
      </x:c>
      <x:c r="V63" s="186" t="str">
        <x:f t="shared" si="20"/>
        <x:v>OK</x:v>
      </x:c>
      <x:c r="W63" s="186">
        <x:f t="shared" si="21"/>
        <x:v>0</x:v>
      </x:c>
      <x:c r="X63" s="191" t="str">
        <x:f t="shared" si="22"/>
        <x:v>Ready</x:v>
      </x:c>
      <x:c r="Y63" s="194" t="str">
        <x:f t="shared" si="23"/>
        <x:v>No action required</x:v>
      </x:c>
    </x:row>
  </x:sheetData>
  <x:mergeCells>
    <x:mergeCell ref="A1:Y1"/>
    <x:mergeCell ref="A2:Y2"/>
  </x:mergeCells>
  <x:conditionalFormatting sqref="X4:X63">
    <x:cfRule type="containsText" dxfId="2" priority="1" operator="containsText" text="Ready"/>
    <x:cfRule type="containsText" dxfId="1" priority="2" operator="containsText" text="High"/>
    <x:cfRule type="containsText" dxfId="0" priority="3" operator="containsText" text="Review"/>
  </x:conditionalFormatting>
  <x:conditionalFormatting sqref="A4:Y63">
    <x:cfRule type="expression" dxfId="12" priority="4">
      <x:formula>$X4="Ready"</x:formula>
    </x:cfRule>
    <x:cfRule type="expression" dxfId="13" priority="5">
      <x:formula>$X4="Review"</x:formula>
    </x:cfRule>
    <x:cfRule type="expression" dxfId="14" priority="6">
      <x:formula>$X4="High Priority Review"</x:formula>
    </x:cfRule>
  </x:conditionalFormatting>
  <x:conditionalFormatting sqref="N4:N63">
    <x:cfRule type="cellIs" dxfId="15" priority="7" operator="lessThan">
      <x:formula>0</x:formula>
    </x:cfRule>
    <x:cfRule type="cellIs" dxfId="16" priority="8" operator="greaterThan">
      <x:formula>0</x:formula>
    </x:cfRule>
  </x:conditionalFormatting>
  <x:conditionalFormatting sqref="U4:U63">
    <x:cfRule type="containsText" dxfId="17" priority="9" operator="containsText" text="Duplicate"/>
  </x:conditionalFormatting>
  <x:conditionalFormatting sqref="V4:V63">
    <x:cfRule type="containsText" dxfId="18" priority="10" operator="containsText" text="Low Stock"/>
  </x:conditionalFormatting>
  <x:conditionalFormatting sqref="W4:W63">
    <x:cfRule type="dataBar" priority="11">
      <x:dataBar>
        <x:cfvo type="min"/>
        <x:cfvo type="max"/>
        <x:color rgb="FF17365D"/>
      </x:dataBar>
      <x:extLst>
        <x:ext xmlns:x14="http://schemas.microsoft.com/office/spreadsheetml/2009/9/main" uri="{B025F937-C7B1-47D3-B67F-A62EFF666E3E}">
          <x14:id>{711A2117-D261-CFBD-5D36-0C5E3E9D2171}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711A2117-D261-CFBD-5D36-0C5E3E9D2171}">
            <x14:dataBar gradient="1">
              <x14:cfvo type="min"/>
              <x14:cfvo type="max"/>
              <x14:fillColor rgb="FF17365D"/>
            </x14:dataBar>
          </x14:cfRule>
          <xm:sqref>W4:W63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4" customWidth="1"/>
    <x:col min="2" max="2" width="18" customWidth="1"/>
    <x:col min="4" max="4" width="67" customWidth="1"/>
  </x:cols>
  <x:sheetData>
    <x:row r="1" ht="36" customHeight="1">
      <x:c r="A1" s="90" t="s">
        <x:v>265</x:v>
      </x:c>
      <x:c r="B1" s="90"/>
      <x:c r="C1" s="90"/>
      <x:c r="D1" s="90"/>
    </x:row>
    <x:row r="2" ht="25" customHeight="1">
      <x:c r="A2" s="91" t="s">
        <x:v>266</x:v>
      </x:c>
      <x:c r="B2" s="91"/>
      <x:c r="C2" s="91"/>
      <x:c r="D2" s="91"/>
    </x:row>
    <x:row r="4" ht="28" customHeight="1">
      <x:c r="A4" s="93" t="s">
        <x:v>224</x:v>
      </x:c>
      <x:c r="B4" s="93" t="s">
        <x:v>267</x:v>
      </x:c>
      <x:c r="D4" s="126" t="s">
        <x:v>268</x:v>
      </x:c>
    </x:row>
    <x:row r="5" ht="28.5">
      <x:c r="A5" s="198" t="s">
        <x:v>269</x:v>
      </x:c>
      <x:c r="B5" s="203" t="n">
        <x:f>COUNTA(Reconciliation!$C$4:$C$63)</x:f>
        <x:v>60</x:v>
      </x:c>
      <x:c r="D5" s="228" t="s">
        <x:v>270</x:v>
      </x:c>
    </x:row>
    <x:row r="6">
      <x:c r="A6" s="199" t="s">
        <x:v>271</x:v>
      </x:c>
      <x:c r="B6" s="206" t="n">
        <x:f>COUNTIF(Reconciliation!$X$4:$X$63,"Ready")</x:f>
        <x:v>20</x:v>
      </x:c>
      <x:c r="D6" s="229" t="s">
        <x:v>272</x:v>
      </x:c>
    </x:row>
    <x:row r="7">
      <x:c r="A7" s="199" t="s">
        <x:v>273</x:v>
      </x:c>
      <x:c r="B7" s="209" t="n">
        <x:f>COUNTIF(Reconciliation!$W$4:$W$63,"&gt;0")</x:f>
        <x:v>40</x:v>
      </x:c>
      <x:c r="D7" s="229" t="s">
        <x:v>274</x:v>
      </x:c>
    </x:row>
    <x:row r="8" ht="28.5">
      <x:c r="A8" s="199" t="s">
        <x:v>275</x:v>
      </x:c>
      <x:c r="B8" s="212" t="n">
        <x:f>COUNTIF(Reconciliation!$X$4:$X$63,"High Priority Review")</x:f>
        <x:v>8</x:v>
      </x:c>
      <x:c r="D8" s="229" t="s">
        <x:v>276</x:v>
      </x:c>
    </x:row>
    <x:row r="9">
      <x:c r="A9" s="199" t="s">
        <x:v>277</x:v>
      </x:c>
      <x:c r="B9" s="215" t="n">
        <x:f>SUMPRODUCT((Reconciliation!$D$4:$D$63&gt;1)/Reconciliation!$D$4:$D$63)</x:f>
        <x:v>2</x:v>
      </x:c>
      <x:c r="D9" s="229" t="s">
        <x:v>278</x:v>
      </x:c>
    </x:row>
    <x:row r="10">
      <x:c r="A10" s="199" t="s">
        <x:v>279</x:v>
      </x:c>
      <x:c r="B10" s="215" t="n">
        <x:f>COUNTIF(Reconciliation!$U$4:$U$63,"Duplicate SKU")</x:f>
        <x:v>4</x:v>
      </x:c>
      <x:c r="D10" s="229" t="s">
        <x:v>280</x:v>
      </x:c>
    </x:row>
    <x:row r="11">
      <x:c r="A11" s="199" t="s">
        <x:v>281</x:v>
      </x:c>
      <x:c r="B11" s="215" t="n">
        <x:f>COUNTIF(Reconciliation!$S$4:$S$63,"Missing Physical Qty")</x:f>
        <x:v>2</x:v>
      </x:c>
      <x:c r="D11" s="230" t="s">
        <x:v>282</x:v>
      </x:c>
    </x:row>
    <x:row r="12">
      <x:c r="A12" s="199" t="s">
        <x:v>283</x:v>
      </x:c>
      <x:c r="B12" s="215" t="n">
        <x:f>COUNTIF(Reconciliation!$Q$4:$Q$63,"Invalid Unit Cost")</x:f>
        <x:v>1</x:v>
      </x:c>
    </x:row>
    <x:row r="13">
      <x:c r="A13" s="199" t="s">
        <x:v>284</x:v>
      </x:c>
      <x:c r="B13" s="215" t="n">
        <x:f>COUNTIF(Reconciliation!$R$4:$R$63,"Invalid System Qty")</x:f>
        <x:v>1</x:v>
      </x:c>
    </x:row>
    <x:row r="14">
      <x:c r="A14" s="199" t="s">
        <x:v>285</x:v>
      </x:c>
      <x:c r="B14" s="215" t="n">
        <x:f>COUNTIF(Reconciliation!$O$4:$O$63,"Invalid Category")</x:f>
        <x:v>2</x:v>
      </x:c>
    </x:row>
    <x:row r="15">
      <x:c r="A15" s="199" t="s">
        <x:v>286</x:v>
      </x:c>
      <x:c r="B15" s="215" t="n">
        <x:f>COUNTIF(Reconciliation!$P$4:$P$63,"Invalid Location")</x:f>
        <x:v>1</x:v>
      </x:c>
    </x:row>
    <x:row r="16">
      <x:c r="A16" s="199" t="s">
        <x:v>287</x:v>
      </x:c>
      <x:c r="B16" s="215" t="n">
        <x:f>COUNTIF(Reconciliation!$T$4:$T$63,"Missing Evidence")</x:f>
        <x:v>3</x:v>
      </x:c>
    </x:row>
    <x:row r="17">
      <x:c r="A17" s="199" t="s">
        <x:v>288</x:v>
      </x:c>
      <x:c r="B17" s="218" t="n">
        <x:f>COUNTIF(Reconciliation!$L$4:$L$63,"&lt;0")</x:f>
        <x:v>16</x:v>
      </x:c>
    </x:row>
    <x:row r="18">
      <x:c r="A18" s="199" t="s">
        <x:v>289</x:v>
      </x:c>
      <x:c r="B18" s="218" t="n">
        <x:f>COUNTIF(Reconciliation!$L$4:$L$63,"&gt;0")</x:f>
        <x:v>16</x:v>
      </x:c>
    </x:row>
    <x:row r="19">
      <x:c r="A19" s="199" t="s">
        <x:v>290</x:v>
      </x:c>
      <x:c r="B19" s="218" t="n">
        <x:f>COUNTIFS(Reconciliation!$L$4:$L$63,0,Reconciliation!$R$4:$R$63,"OK",Reconciliation!$S$4:$S$63,"OK")</x:f>
        <x:v>25</x:v>
      </x:c>
    </x:row>
    <x:row r="20">
      <x:c r="A20" s="199" t="s">
        <x:v>291</x:v>
      </x:c>
      <x:c r="B20" s="218" t="n">
        <x:f>COUNTIF(Reconciliation!$V$4:$V$63,"Low Stock")</x:f>
        <x:v>10</x:v>
      </x:c>
    </x:row>
    <x:row r="21">
      <x:c r="A21" s="199" t="s">
        <x:v>292</x:v>
      </x:c>
      <x:c r="B21" s="218" t="n">
        <x:f>-SUMIF(Reconciliation!$L$4:$L$63,"&lt;0",Reconciliation!$L$4:$L$63)</x:f>
        <x:v>46</x:v>
      </x:c>
    </x:row>
    <x:row r="22">
      <x:c r="A22" s="199" t="s">
        <x:v>293</x:v>
      </x:c>
      <x:c r="B22" s="218" t="n">
        <x:f>SUMIF(Reconciliation!$L$4:$L$63,"&gt;0",Reconciliation!$L$4:$L$63)</x:f>
        <x:v>32</x:v>
      </x:c>
    </x:row>
    <x:row r="23">
      <x:c r="A23" s="200" t="s">
        <x:v>294</x:v>
      </x:c>
      <x:c r="B23" s="221" t="n">
        <x:f>SUMIF(Reconciliation!$N$4:$N$63,"&gt;0",Reconciliation!$N$4:$N$63)-SUMIF(Reconciliation!$N$4:$N$63,"&lt;0",Reconciliation!$N$4:$N$63)</x:f>
        <x:v>3432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3" customWidth="1"/>
    <x:col min="2" max="4" width="16" customWidth="1"/>
    <x:col min="5" max="5" width="17" customWidth="1"/>
    <x:col min="6" max="11" width="18" customWidth="1"/>
  </x:cols>
  <x:sheetData>
    <x:row r="1" ht="36" customHeight="1">
      <x:c r="A1" s="90" t="s">
        <x:v>295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</x:row>
    <x:row r="2" ht="25" customHeight="1">
      <x:c r="A2" s="91" t="s">
        <x:v>296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4" ht="24" customHeight="1">
      <x:c r="A4" s="25" t="s">
        <x:v>297</x:v>
      </x:c>
      <x:c r="B4" s="26"/>
      <x:c r="C4" s="31" t="s">
        <x:v>298</x:v>
      </x:c>
      <x:c r="D4" s="32"/>
      <x:c r="E4" s="37" t="s">
        <x:v>299</x:v>
      </x:c>
      <x:c r="F4" s="38"/>
      <x:c r="G4" s="43" t="s">
        <x:v>300</x:v>
      </x:c>
      <x:c r="H4" s="44"/>
      <x:c r="I4" s="49" t="s">
        <x:v>301</x:v>
      </x:c>
      <x:c r="J4" s="50"/>
      <x:c r="K4" s="51"/>
    </x:row>
    <x:row r="5" ht="24" customHeight="1">
      <x:c r="A5" s="27"/>
      <x:c r="B5" s="28"/>
      <x:c r="C5" s="33"/>
      <x:c r="D5" s="34"/>
      <x:c r="E5" s="39"/>
      <x:c r="F5" s="40"/>
      <x:c r="G5" s="45"/>
      <x:c r="H5" s="46"/>
      <x:c r="I5" s="52"/>
      <x:c r="J5" s="53"/>
      <x:c r="K5" s="54"/>
    </x:row>
    <x:row r="6" ht="24" customHeight="1">
      <x:c r="A6" s="29"/>
      <x:c r="B6" s="30"/>
      <x:c r="C6" s="35"/>
      <x:c r="D6" s="36"/>
      <x:c r="E6" s="41"/>
      <x:c r="F6" s="42"/>
      <x:c r="G6" s="47"/>
      <x:c r="H6" s="48"/>
      <x:c r="I6" s="55"/>
      <x:c r="J6" s="56"/>
      <x:c r="K6" s="57"/>
    </x:row>
    <x:row r="8" ht="28" customHeight="1">
      <x:c r="A8" s="93" t="s">
        <x:v>302</x:v>
      </x:c>
      <x:c r="B8" s="93" t="s">
        <x:v>303</x:v>
      </x:c>
      <x:c r="C8" s="93"/>
      <x:c r="E8" s="126" t="s">
        <x:v>304</x:v>
      </x:c>
      <x:c r="F8" s="126"/>
      <x:c r="G8" s="126"/>
      <x:c r="H8" s="126"/>
      <x:c r="I8" s="126"/>
      <x:c r="J8" s="126"/>
      <x:c r="K8" s="126"/>
    </x:row>
    <x:row r="9" ht="15">
      <x:c r="A9" s="198" t="s">
        <x:v>288</x:v>
      </x:c>
      <x:c r="B9" s="237" t="n">
        <x:f>'QA Summary'!B17</x:f>
        <x:v>16</x:v>
      </x:c>
      <x:c r="C9" s="2"/>
      <x:c r="E9" s="246" t="s">
        <x:v>305</x:v>
      </x:c>
      <x:c r="F9" s="243" t="s">
        <x:v>306</x:v>
      </x:c>
      <x:c r="G9" s="243" t="s">
        <x:v>307</x:v>
      </x:c>
      <x:c r="H9" s="243"/>
      <x:c r="I9" s="243"/>
      <x:c r="J9" s="243"/>
      <x:c r="K9" s="243"/>
    </x:row>
    <x:row r="10" ht="15">
      <x:c r="A10" s="199" t="s">
        <x:v>289</x:v>
      </x:c>
      <x:c r="B10" s="238" t="n">
        <x:f>'QA Summary'!B18</x:f>
        <x:v>16</x:v>
      </x:c>
      <x:c r="C10" s="3"/>
      <x:c r="E10" s="247" t="s">
        <x:v>308</x:v>
      </x:c>
      <x:c r="F10" s="244" t="s">
        <x:v>309</x:v>
      </x:c>
      <x:c r="G10" s="244" t="s">
        <x:v>310</x:v>
      </x:c>
      <x:c r="H10" s="244"/>
      <x:c r="I10" s="244"/>
      <x:c r="J10" s="244"/>
      <x:c r="K10" s="244"/>
    </x:row>
    <x:row r="11" ht="15">
      <x:c r="A11" s="199" t="s">
        <x:v>290</x:v>
      </x:c>
      <x:c r="B11" s="238" t="n">
        <x:f>'QA Summary'!B19</x:f>
        <x:v>25</x:v>
      </x:c>
      <x:c r="C11" s="3"/>
      <x:c r="E11" s="247" t="s">
        <x:v>311</x:v>
      </x:c>
      <x:c r="F11" s="244" t="s">
        <x:v>312</x:v>
      </x:c>
      <x:c r="G11" s="244" t="s">
        <x:v>313</x:v>
      </x:c>
      <x:c r="H11" s="244"/>
      <x:c r="I11" s="244"/>
      <x:c r="J11" s="244"/>
      <x:c r="K11" s="244"/>
    </x:row>
    <x:row r="12" ht="15">
      <x:c r="A12" s="199" t="s">
        <x:v>291</x:v>
      </x:c>
      <x:c r="B12" s="238" t="n">
        <x:f>'QA Summary'!B20</x:f>
        <x:v>10</x:v>
      </x:c>
      <x:c r="C12" s="3"/>
      <x:c r="E12" s="247" t="s">
        <x:v>314</x:v>
      </x:c>
      <x:c r="F12" s="244" t="s">
        <x:v>315</x:v>
      </x:c>
      <x:c r="G12" s="244" t="s">
        <x:v>316</x:v>
      </x:c>
      <x:c r="H12" s="244"/>
      <x:c r="I12" s="244"/>
      <x:c r="J12" s="244"/>
      <x:c r="K12" s="244"/>
    </x:row>
    <x:row r="13" ht="15">
      <x:c r="A13" s="199" t="s">
        <x:v>277</x:v>
      </x:c>
      <x:c r="B13" s="238" t="n">
        <x:f>'QA Summary'!B9</x:f>
        <x:v>2</x:v>
      </x:c>
      <x:c r="C13" s="3"/>
      <x:c r="E13" s="247" t="s">
        <x:v>317</x:v>
      </x:c>
      <x:c r="F13" s="244" t="s">
        <x:v>318</x:v>
      </x:c>
      <x:c r="G13" s="244" t="s">
        <x:v>319</x:v>
      </x:c>
      <x:c r="H13" s="244"/>
      <x:c r="I13" s="244"/>
      <x:c r="J13" s="244"/>
      <x:c r="K13" s="244"/>
    </x:row>
    <x:row r="14" ht="15">
      <x:c r="A14" s="200" t="s">
        <x:v>236</x:v>
      </x:c>
      <x:c r="B14" s="239" t="n">
        <x:f>'QA Summary'!B16</x:f>
        <x:v>3</x:v>
      </x:c>
      <x:c r="C14" s="4"/>
      <x:c r="E14" s="248" t="s">
        <x:v>320</x:v>
      </x:c>
      <x:c r="F14" s="245" t="s">
        <x:v>321</x:v>
      </x:c>
      <x:c r="G14" s="245" t="s">
        <x:v>322</x:v>
      </x:c>
      <x:c r="H14" s="245"/>
      <x:c r="I14" s="245"/>
      <x:c r="J14" s="245"/>
      <x:c r="K14" s="245"/>
    </x:row>
    <x:row r="16">
      <x:c r="E16" s="59" t="s">
        <x:v>323</x:v>
      </x:c>
      <x:c r="F16" s="60"/>
      <x:c r="G16" s="60"/>
      <x:c r="H16" s="60"/>
      <x:c r="I16" s="60"/>
      <x:c r="J16" s="60"/>
      <x:c r="K16" s="61"/>
    </x:row>
    <x:row r="17">
      <x:c r="E17" s="62"/>
      <x:c r="F17" s="63"/>
      <x:c r="G17" s="63"/>
      <x:c r="H17" s="63"/>
      <x:c r="I17" s="63"/>
      <x:c r="J17" s="63"/>
      <x:c r="K17" s="64"/>
    </x:row>
    <x:row r="18">
      <x:c r="E18" s="65"/>
      <x:c r="F18" s="66"/>
      <x:c r="G18" s="66"/>
      <x:c r="H18" s="66"/>
      <x:c r="I18" s="66"/>
      <x:c r="J18" s="66"/>
      <x:c r="K18" s="67"/>
    </x:row>
    <x:row r="21">
      <x:c r="A21" s="251" t="s">
        <x:v>324</x:v>
      </x:c>
      <x:c r="B21" s="251" t="s">
        <x:v>325</x:v>
      </x:c>
    </x:row>
    <x:row r="22">
      <x:c r="A22" s="253" t="s">
        <x:v>326</x:v>
      </x:c>
      <x:c r="B22" s="256" t="n">
        <x:f>'QA Summary'!B17</x:f>
        <x:v>16</x:v>
      </x:c>
    </x:row>
    <x:row r="23">
      <x:c r="A23" s="253" t="s">
        <x:v>327</x:v>
      </x:c>
      <x:c r="B23" s="256" t="n">
        <x:f>'QA Summary'!B18</x:f>
        <x:v>16</x:v>
      </x:c>
    </x:row>
    <x:row r="24">
      <x:c r="A24" s="253" t="s">
        <x:v>328</x:v>
      </x:c>
      <x:c r="B24" s="256" t="n">
        <x:f>'QA Summary'!B19</x:f>
        <x:v>25</x:v>
      </x:c>
    </x:row>
  </x:sheetData>
  <x:mergeCells>
    <x:mergeCell ref="E8:K8"/>
    <x:mergeCell ref="E16:K18"/>
    <x:mergeCell ref="A1:K1"/>
    <x:mergeCell ref="A2:K2"/>
    <x:mergeCell ref="A4:B6"/>
    <x:mergeCell ref="C4:D6"/>
    <x:mergeCell ref="E4:F6"/>
    <x:mergeCell ref="G4:H6"/>
    <x:mergeCell ref="I4:K6"/>
  </x:mergeCells>
  <x:pageMargins left="0.7" right="0.7" top="0.75" bottom="0.75" header="0.3" footer="0.3"/>
  <x:drawing xmlns:r="http://schemas.openxmlformats.org/officeDocument/2006/relationships" r:id="R7120f0b6cc0e4df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5" width="17" customWidth="1"/>
    <x:col min="6" max="6" width="46" customWidth="1"/>
    <x:col min="7" max="7" width="38" customWidth="1"/>
    <x:col min="8" max="8" width="17" customWidth="1"/>
  </x:cols>
  <x:sheetData>
    <x:row r="1" ht="36" customHeight="1">
      <x:c r="A1" s="90" t="s">
        <x:v>329</x:v>
      </x:c>
      <x:c r="B1" s="90"/>
      <x:c r="C1" s="90"/>
      <x:c r="D1" s="90"/>
      <x:c r="E1" s="90"/>
      <x:c r="F1" s="90"/>
      <x:c r="G1" s="90"/>
      <x:c r="H1" s="90"/>
    </x:row>
    <x:row r="2" ht="25" customHeight="1">
      <x:c r="A2" s="91" t="s">
        <x:v>330</x:v>
      </x:c>
      <x:c r="B2" s="91"/>
      <x:c r="C2" s="91"/>
      <x:c r="D2" s="91"/>
      <x:c r="E2" s="91"/>
      <x:c r="F2" s="91"/>
      <x:c r="G2" s="91"/>
      <x:c r="H2" s="91"/>
    </x:row>
    <x:row r="4" ht="14.25" hidden="0" customHeight="1">
      <x:c r="A4" s="93" t="s">
        <x:v>331</x:v>
      </x:c>
      <x:c r="B4" s="93" t="s">
        <x:v>332</x:v>
      </x:c>
      <x:c r="C4" s="93" t="s">
        <x:v>333</x:v>
      </x:c>
      <x:c r="D4" s="93" t="s">
        <x:v>334</x:v>
      </x:c>
      <x:c r="E4" s="93" t="s">
        <x:v>335</x:v>
      </x:c>
      <x:c r="F4" s="93" t="s">
        <x:v>336</x:v>
      </x:c>
      <x:c r="G4" s="93" t="s">
        <x:v>337</x:v>
      </x:c>
      <x:c r="H4" s="93" t="s">
        <x:v>338</x:v>
      </x:c>
    </x:row>
    <x:row r="5" ht="14.25" hidden="0" customHeight="1">
      <x:c r="A5" s="257" t="s">
        <x:v>230</x:v>
      </x:c>
      <x:c r="B5" s="237" t="n">
        <x:f>'QA Summary'!B10</x:f>
        <x:v>4</x:v>
      </x:c>
      <x:c r="C5" s="107" t="s">
        <x:v>339</x:v>
      </x:c>
      <x:c r="D5" s="260" t="str">
        <x:v>Inventory Admin</x:v>
      </x:c>
      <x:c r="E5" s="107" t="s">
        <x:v>340</x:v>
      </x:c>
      <x:c r="F5" s="263" t="s">
        <x:v>341</x:v>
      </x:c>
      <x:c r="G5" s="269"/>
      <x:c r="H5" s="415" t="n">
        <x:f>DATE(2026,8,17)+IF(C5="High",1,IF(C5="Medium",3,5))</x:f>
        <x:v>46252</x:v>
      </x:c>
    </x:row>
    <x:row r="6" ht="14.25" hidden="0" customHeight="1">
      <x:c r="A6" s="258" t="s">
        <x:v>281</x:v>
      </x:c>
      <x:c r="B6" s="238" t="n">
        <x:f>'QA Summary'!B11</x:f>
        <x:v>2</x:v>
      </x:c>
      <x:c r="C6" s="111" t="s">
        <x:v>339</x:v>
      </x:c>
      <x:c r="D6" s="261" t="str">
        <x:v>Inventory Admin</x:v>
      </x:c>
      <x:c r="E6" s="111" t="s">
        <x:v>340</x:v>
      </x:c>
      <x:c r="F6" s="264" t="s">
        <x:v>342</x:v>
      </x:c>
      <x:c r="G6" s="270"/>
      <x:c r="H6" s="416" t="n">
        <x:f>DATE(2026,8,17)+IF(C6="High",1,IF(C6="Medium",3,5))</x:f>
        <x:v>46252</x:v>
      </x:c>
    </x:row>
    <x:row r="7" ht="14.25" hidden="0" customHeight="1">
      <x:c r="A7" s="258" t="s">
        <x:v>283</x:v>
      </x:c>
      <x:c r="B7" s="238" t="n">
        <x:f>'QA Summary'!B12</x:f>
        <x:v>1</x:v>
      </x:c>
      <x:c r="C7" s="111" t="s">
        <x:v>339</x:v>
      </x:c>
      <x:c r="D7" s="261" t="str">
        <x:v>Inventory Admin</x:v>
      </x:c>
      <x:c r="E7" s="111" t="s">
        <x:v>340</x:v>
      </x:c>
      <x:c r="F7" s="264" t="s">
        <x:v>342</x:v>
      </x:c>
      <x:c r="G7" s="270"/>
      <x:c r="H7" s="416" t="n">
        <x:f>DATE(2026,8,17)+IF(C7="High",1,IF(C7="Medium",3,5))</x:f>
        <x:v>46252</x:v>
      </x:c>
    </x:row>
    <x:row r="8" ht="14.25" hidden="0" customHeight="1">
      <x:c r="A8" s="258" t="s">
        <x:v>284</x:v>
      </x:c>
      <x:c r="B8" s="238" t="n">
        <x:f>'QA Summary'!B13</x:f>
        <x:v>1</x:v>
      </x:c>
      <x:c r="C8" s="111" t="s">
        <x:v>339</x:v>
      </x:c>
      <x:c r="D8" s="261" t="str">
        <x:v>Inventory Admin</x:v>
      </x:c>
      <x:c r="E8" s="111" t="s">
        <x:v>340</x:v>
      </x:c>
      <x:c r="F8" s="264" t="s">
        <x:v>342</x:v>
      </x:c>
      <x:c r="G8" s="270"/>
      <x:c r="H8" s="416" t="n">
        <x:f>DATE(2026,8,17)+IF(C8="High",1,IF(C8="Medium",3,5))</x:f>
        <x:v>46252</x:v>
      </x:c>
    </x:row>
    <x:row r="9" ht="14.25" hidden="0" customHeight="1">
      <x:c r="A9" s="258" t="s">
        <x:v>285</x:v>
      </x:c>
      <x:c r="B9" s="238" t="n">
        <x:f>'QA Summary'!B14</x:f>
        <x:v>2</x:v>
      </x:c>
      <x:c r="C9" s="111" t="s">
        <x:v>343</x:v>
      </x:c>
      <x:c r="D9" s="261" t="str">
        <x:v>Inventory Admin</x:v>
      </x:c>
      <x:c r="E9" s="111" t="s">
        <x:v>340</x:v>
      </x:c>
      <x:c r="F9" s="264" t="s">
        <x:v>342</x:v>
      </x:c>
      <x:c r="G9" s="270"/>
      <x:c r="H9" s="416" t="n">
        <x:f>DATE(2026,8,17)+IF(C9="High",1,IF(C9="Medium",3,5))</x:f>
        <x:v>46254</x:v>
      </x:c>
    </x:row>
    <x:row r="10" ht="14.25" hidden="0" customHeight="1">
      <x:c r="A10" s="258" t="s">
        <x:v>286</x:v>
      </x:c>
      <x:c r="B10" s="238" t="n">
        <x:f>'QA Summary'!B15</x:f>
        <x:v>1</x:v>
      </x:c>
      <x:c r="C10" s="111" t="s">
        <x:v>343</x:v>
      </x:c>
      <x:c r="D10" s="261" t="str">
        <x:v>Inventory Admin</x:v>
      </x:c>
      <x:c r="E10" s="111" t="s">
        <x:v>340</x:v>
      </x:c>
      <x:c r="F10" s="264" t="s">
        <x:v>342</x:v>
      </x:c>
      <x:c r="G10" s="270"/>
      <x:c r="H10" s="416" t="n">
        <x:f>DATE(2026,8,17)+IF(C10="High",1,IF(C10="Medium",3,5))</x:f>
        <x:v>46254</x:v>
      </x:c>
    </x:row>
    <x:row r="11" ht="14.25" hidden="0" customHeight="1">
      <x:c r="A11" s="258" t="s">
        <x:v>287</x:v>
      </x:c>
      <x:c r="B11" s="238" t="n">
        <x:f>'QA Summary'!B16</x:f>
        <x:v>3</x:v>
      </x:c>
      <x:c r="C11" s="111" t="s">
        <x:v>343</x:v>
      </x:c>
      <x:c r="D11" s="261" t="str">
        <x:v>Inventory Admin</x:v>
      </x:c>
      <x:c r="E11" s="111" t="s">
        <x:v>340</x:v>
      </x:c>
      <x:c r="F11" s="264" t="s">
        <x:v>342</x:v>
      </x:c>
      <x:c r="G11" s="270"/>
      <x:c r="H11" s="416" t="n">
        <x:f>DATE(2026,8,17)+IF(C11="High",1,IF(C11="Medium",3,5))</x:f>
        <x:v>46254</x:v>
      </x:c>
    </x:row>
    <x:row r="12" ht="14.25" hidden="0" customHeight="1">
      <x:c r="A12" s="258" t="s">
        <x:v>344</x:v>
      </x:c>
      <x:c r="B12" s="238" t="n">
        <x:f>'QA Summary'!B17</x:f>
        <x:v>16</x:v>
      </x:c>
      <x:c r="C12" s="111" t="s">
        <x:v>343</x:v>
      </x:c>
      <x:c r="D12" s="261" t="str">
        <x:v>Inventory Admin</x:v>
      </x:c>
      <x:c r="E12" s="111" t="s">
        <x:v>340</x:v>
      </x:c>
      <x:c r="F12" s="264" t="s">
        <x:v>345</x:v>
      </x:c>
      <x:c r="G12" s="270"/>
      <x:c r="H12" s="416" t="n">
        <x:f>DATE(2026,8,17)+IF(C12="High",1,IF(C12="Medium",3,5))</x:f>
        <x:v>46254</x:v>
      </x:c>
    </x:row>
    <x:row r="13" ht="14.25" hidden="0" customHeight="1">
      <x:c r="A13" s="258" t="s">
        <x:v>346</x:v>
      </x:c>
      <x:c r="B13" s="238" t="n">
        <x:f>'QA Summary'!B18</x:f>
        <x:v>16</x:v>
      </x:c>
      <x:c r="C13" s="111" t="s">
        <x:v>347</x:v>
      </x:c>
      <x:c r="D13" s="261" t="str">
        <x:v>Inventory Admin</x:v>
      </x:c>
      <x:c r="E13" s="111" t="s">
        <x:v>340</x:v>
      </x:c>
      <x:c r="F13" s="264" t="s">
        <x:v>345</x:v>
      </x:c>
      <x:c r="G13" s="270"/>
      <x:c r="H13" s="416" t="n">
        <x:f>DATE(2026,8,17)+IF(C13="High",1,IF(C13="Medium",3,5))</x:f>
        <x:v>46256</x:v>
      </x:c>
    </x:row>
    <x:row r="14" ht="14.25" hidden="0" customHeight="1">
      <x:c r="A14" s="259" t="s">
        <x:v>348</x:v>
      </x:c>
      <x:c r="B14" s="239" t="n">
        <x:f>'QA Summary'!B20</x:f>
        <x:v>10</x:v>
      </x:c>
      <x:c r="C14" s="115" t="s">
        <x:v>343</x:v>
      </x:c>
      <x:c r="D14" s="262" t="str">
        <x:v>Inventory Admin</x:v>
      </x:c>
      <x:c r="E14" s="115" t="s">
        <x:v>340</x:v>
      </x:c>
      <x:c r="F14" s="265" t="s">
        <x:v>345</x:v>
      </x:c>
      <x:c r="G14" s="271"/>
      <x:c r="H14" s="417" t="n">
        <x:f>DATE(2026,8,17)+IF(C14="High",1,IF(C14="Medium",3,5))</x:f>
        <x:v>46254</x:v>
      </x:c>
    </x:row>
  </x:sheetData>
  <x:mergeCells>
    <x:mergeCell ref="A1:H1"/>
    <x:mergeCell ref="A2:H2"/>
  </x:mergeCells>
  <x:conditionalFormatting sqref="A5:H14">
    <x:cfRule type="expression" dxfId="19" priority="1">
      <x:formula>MOD(ROW(),2)=0</x:formula>
    </x:cfRule>
  </x:conditionalFormatting>
  <x:conditionalFormatting sqref="C5:C14">
    <x:cfRule type="containsText" dxfId="20" priority="2" operator="containsText" text="High"/>
    <x:cfRule type="containsText" dxfId="21" priority="3" operator="containsText" text="Medium"/>
    <x:cfRule type="containsText" dxfId="22" priority="4" operator="containsText" text="Low"/>
  </x:conditionalFormatting>
  <x:conditionalFormatting sqref="E5:E14">
    <x:cfRule type="containsText" dxfId="23" priority="5" operator="containsText" text="Open"/>
    <x:cfRule type="containsText" dxfId="24" priority="6" operator="containsText" text="Progress"/>
    <x:cfRule type="containsText" dxfId="25" priority="7" operator="containsText" text="Waiting"/>
    <x:cfRule type="containsText" dxfId="26" priority="8" operator="containsText" text="Resolved"/>
  </x:conditionalFormatting>
  <x:dataValidations count="3">
    <x:dataValidation type="list" sqref="C5:C14">
      <x:formula1>"High,Medium,Low"</x:formula1>
    </x:dataValidation>
    <x:dataValidation type="list" sqref="D5:D14">
      <x:formula1>"Unassigned,Inventory Admin,Warehouse Lead,Purchasing Admin"</x:formula1>
    </x:dataValidation>
    <x:dataValidation type="list" sqref="E5:E14">
      <x:formula1>"Open,In Progress,Waiting Evidence,Resolved"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9" customWidth="1"/>
    <x:col min="2" max="2" width="24" customWidth="1"/>
    <x:col min="3" max="3" width="45" customWidth="1"/>
    <x:col min="4" max="4" width="28" customWidth="1"/>
    <x:col min="5" max="5" width="19" customWidth="1"/>
    <x:col min="6" max="6" width="32" customWidth="1"/>
  </x:cols>
  <x:sheetData>
    <x:row r="1" ht="36" customHeight="1">
      <x:c r="A1" s="90" t="s">
        <x:v>349</x:v>
      </x:c>
      <x:c r="B1" s="90"/>
      <x:c r="C1" s="90"/>
      <x:c r="D1" s="90"/>
      <x:c r="E1" s="90"/>
      <x:c r="F1" s="90"/>
    </x:row>
    <x:row r="2" ht="25" customHeight="1">
      <x:c r="A2" s="91" t="s">
        <x:v>350</x:v>
      </x:c>
      <x:c r="B2" s="91"/>
      <x:c r="C2" s="91"/>
      <x:c r="D2" s="91"/>
      <x:c r="E2" s="91"/>
      <x:c r="F2" s="91"/>
    </x:row>
    <x:row r="4" ht="14.25" hidden="0" customHeight="1">
      <x:c r="A4" s="93" t="s">
        <x:v>351</x:v>
      </x:c>
      <x:c r="B4" s="93" t="s">
        <x:v>352</x:v>
      </x:c>
      <x:c r="C4" s="93" t="s">
        <x:v>353</x:v>
      </x:c>
      <x:c r="D4" s="93" t="s">
        <x:v>354</x:v>
      </x:c>
      <x:c r="E4" s="93" t="s">
        <x:v>334</x:v>
      </x:c>
      <x:c r="F4" s="93" t="s">
        <x:v>355</x:v>
      </x:c>
    </x:row>
    <x:row r="5" ht="14.25" hidden="0" customHeight="1">
      <x:c r="A5" s="284">
        <x:v>1</x:v>
      </x:c>
      <x:c r="B5" s="234" t="s">
        <x:v>356</x:v>
      </x:c>
      <x:c r="C5" s="107" t="s">
        <x:v>357</x:v>
      </x:c>
      <x:c r="D5" s="287" t="s">
        <x:v>358</x:v>
      </x:c>
      <x:c r="E5" s="293" t="s">
        <x:v>359</x:v>
      </x:c>
      <x:c r="F5" s="299" t="s">
        <x:v>360</x:v>
      </x:c>
    </x:row>
    <x:row r="6" ht="14.25" hidden="0" customHeight="1">
      <x:c r="A6" s="285">
        <x:v>2</x:v>
      </x:c>
      <x:c r="B6" s="235" t="s">
        <x:v>361</x:v>
      </x:c>
      <x:c r="C6" s="111" t="s">
        <x:v>362</x:v>
      </x:c>
      <x:c r="D6" s="288" t="s">
        <x:v>363</x:v>
      </x:c>
      <x:c r="E6" s="294" t="s">
        <x:v>359</x:v>
      </x:c>
      <x:c r="F6" s="300" t="s">
        <x:v>364</x:v>
      </x:c>
    </x:row>
    <x:row r="7" ht="14.25" hidden="0" customHeight="1">
      <x:c r="A7" s="285">
        <x:v>3</x:v>
      </x:c>
      <x:c r="B7" s="235" t="s">
        <x:v>365</x:v>
      </x:c>
      <x:c r="C7" s="111" t="s">
        <x:v>366</x:v>
      </x:c>
      <x:c r="D7" s="288" t="s">
        <x:v>367</x:v>
      </x:c>
      <x:c r="E7" s="294" t="s">
        <x:v>359</x:v>
      </x:c>
      <x:c r="F7" s="300" t="s">
        <x:v>368</x:v>
      </x:c>
    </x:row>
    <x:row r="8" ht="14.25" hidden="0" customHeight="1">
      <x:c r="A8" s="285">
        <x:v>4</x:v>
      </x:c>
      <x:c r="B8" s="235" t="s">
        <x:v>369</x:v>
      </x:c>
      <x:c r="C8" s="111" t="s">
        <x:v>370</x:v>
      </x:c>
      <x:c r="D8" s="288" t="s">
        <x:v>371</x:v>
      </x:c>
      <x:c r="E8" s="294" t="s">
        <x:v>359</x:v>
      </x:c>
      <x:c r="F8" s="300" t="s">
        <x:v>372</x:v>
      </x:c>
    </x:row>
    <x:row r="9" ht="14.25" hidden="0" customHeight="1">
      <x:c r="A9" s="285">
        <x:v>5</x:v>
      </x:c>
      <x:c r="B9" s="235" t="s">
        <x:v>373</x:v>
      </x:c>
      <x:c r="C9" s="111" t="s">
        <x:v>374</x:v>
      </x:c>
      <x:c r="D9" s="288" t="s">
        <x:v>12</x:v>
      </x:c>
      <x:c r="E9" s="294" t="s">
        <x:v>375</x:v>
      </x:c>
      <x:c r="F9" s="300" t="s">
        <x:v>376</x:v>
      </x:c>
    </x:row>
    <x:row r="10" ht="14.25" hidden="0" customHeight="1">
      <x:c r="A10" s="285">
        <x:v>6</x:v>
      </x:c>
      <x:c r="B10" s="235" t="s">
        <x:v>377</x:v>
      </x:c>
      <x:c r="C10" s="111" t="s">
        <x:v>378</x:v>
      </x:c>
      <x:c r="D10" s="288" t="s">
        <x:v>379</x:v>
      </x:c>
      <x:c r="E10" s="294" t="s">
        <x:v>359</x:v>
      </x:c>
      <x:c r="F10" s="300" t="s">
        <x:v>380</x:v>
      </x:c>
    </x:row>
    <x:row r="11" ht="14.25" hidden="0" customHeight="1">
      <x:c r="A11" s="285">
        <x:v>7</x:v>
      </x:c>
      <x:c r="B11" s="235" t="s">
        <x:v>381</x:v>
      </x:c>
      <x:c r="C11" s="111" t="s">
        <x:v>382</x:v>
      </x:c>
      <x:c r="D11" s="288" t="s">
        <x:v>319</x:v>
      </x:c>
      <x:c r="E11" s="294" t="s">
        <x:v>359</x:v>
      </x:c>
      <x:c r="F11" s="300" t="s">
        <x:v>383</x:v>
      </x:c>
    </x:row>
    <x:row r="12" ht="14.25" hidden="0" customHeight="1">
      <x:c r="A12" s="285">
        <x:v>8</x:v>
      </x:c>
      <x:c r="B12" s="235" t="s">
        <x:v>384</x:v>
      </x:c>
      <x:c r="C12" s="111" t="s">
        <x:v>385</x:v>
      </x:c>
      <x:c r="D12" s="288" t="s">
        <x:v>386</x:v>
      </x:c>
      <x:c r="E12" s="294" t="s">
        <x:v>387</x:v>
      </x:c>
      <x:c r="F12" s="300" t="s">
        <x:v>388</x:v>
      </x:c>
    </x:row>
    <x:row r="13" ht="14.25" hidden="0" customHeight="1">
      <x:c r="A13" s="286">
        <x:v>9</x:v>
      </x:c>
      <x:c r="B13" s="236" t="s">
        <x:v>389</x:v>
      </x:c>
      <x:c r="C13" s="115" t="s">
        <x:v>390</x:v>
      </x:c>
      <x:c r="D13" s="289" t="s">
        <x:v>391</x:v>
      </x:c>
      <x:c r="E13" s="295" t="s">
        <x:v>359</x:v>
      </x:c>
      <x:c r="F13" s="301" t="s">
        <x:v>392</x:v>
      </x:c>
    </x:row>
  </x:sheetData>
  <x:mergeCells>
    <x:mergeCell ref="A1:F1"/>
    <x:mergeCell ref="A2:F2"/>
  </x:mergeCells>
  <x:conditionalFormatting sqref="A5:F13">
    <x:cfRule type="expression" dxfId="27" priority="1">
      <x:formula>MOD(ROW(),2)=0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5" customWidth="1"/>
    <x:col min="2" max="2" width="34" customWidth="1"/>
    <x:col min="3" max="3" width="72" customWidth="1"/>
    <x:col min="4" max="4" width="38" customWidth="1"/>
  </x:cols>
  <x:sheetData>
    <x:row r="1" ht="36" customHeight="1">
      <x:c r="A1" s="90" t="s">
        <x:v>393</x:v>
      </x:c>
      <x:c r="B1" s="90"/>
      <x:c r="C1" s="90"/>
      <x:c r="D1" s="90"/>
    </x:row>
    <x:row r="2" ht="25" customHeight="1">
      <x:c r="A2" s="91" t="s">
        <x:v>394</x:v>
      </x:c>
      <x:c r="B2" s="91"/>
      <x:c r="C2" s="91"/>
      <x:c r="D2" s="91"/>
    </x:row>
    <x:row r="4" ht="28" customHeight="1">
      <x:c r="A4" s="93" t="s">
        <x:v>395</x:v>
      </x:c>
      <x:c r="B4" s="93" t="s">
        <x:v>396</x:v>
      </x:c>
      <x:c r="C4" s="93" t="s">
        <x:v>397</x:v>
      </x:c>
      <x:c r="D4" s="93" t="s">
        <x:v>398</x:v>
      </x:c>
    </x:row>
    <x:row r="5" ht="58" customHeight="1">
      <x:c r="A5" s="311" t="s">
        <x:v>399</x:v>
      </x:c>
      <x:c r="B5" s="317" t="s">
        <x:v>400</x:v>
      </x:c>
      <x:c r="C5" s="263" t="s">
        <x:v>401</x:v>
      </x:c>
      <x:c r="D5" s="323" t="s">
        <x:v>402</x:v>
      </x:c>
    </x:row>
    <x:row r="6" ht="58" customHeight="1">
      <x:c r="A6" s="312" t="s">
        <x:v>230</x:v>
      </x:c>
      <x:c r="B6" s="318" t="s">
        <x:v>403</x:v>
      </x:c>
      <x:c r="C6" s="264" t="s">
        <x:v>404</x:v>
      </x:c>
      <x:c r="D6" s="324" t="s">
        <x:v>405</x:v>
      </x:c>
    </x:row>
    <x:row r="7" ht="58" customHeight="1">
      <x:c r="A7" s="312" t="s">
        <x:v>406</x:v>
      </x:c>
      <x:c r="B7" s="318" t="s">
        <x:v>407</x:v>
      </x:c>
      <x:c r="C7" s="264" t="s">
        <x:v>408</x:v>
      </x:c>
      <x:c r="D7" s="324" t="s">
        <x:v>409</x:v>
      </x:c>
    </x:row>
    <x:row r="8" ht="58" customHeight="1">
      <x:c r="A8" s="312" t="s">
        <x:v>410</x:v>
      </x:c>
      <x:c r="B8" s="318" t="s">
        <x:v>411</x:v>
      </x:c>
      <x:c r="C8" s="264" t="s">
        <x:v>412</x:v>
      </x:c>
      <x:c r="D8" s="324" t="s">
        <x:v>413</x:v>
      </x:c>
    </x:row>
    <x:row r="9" ht="58" customHeight="1">
      <x:c r="A9" s="313" t="s">
        <x:v>242</x:v>
      </x:c>
      <x:c r="B9" s="319" t="s">
        <x:v>414</x:v>
      </x:c>
      <x:c r="C9" s="265" t="s">
        <x:v>415</x:v>
      </x:c>
      <x:c r="D9" s="325" t="s">
        <x:v>416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8" customWidth="1"/>
    <x:col min="2" max="2" width="90" customWidth="1"/>
  </x:cols>
  <x:sheetData>
    <x:row r="1" ht="36" customHeight="1">
      <x:c r="A1" s="90" t="s">
        <x:v>417</x:v>
      </x:c>
      <x:c r="B1" s="90"/>
    </x:row>
    <x:row r="2" ht="25" customHeight="1">
      <x:c r="A2" s="91" t="s">
        <x:v>418</x:v>
      </x:c>
      <x:c r="B2" s="91"/>
    </x:row>
    <x:row r="4" ht="28" customHeight="1">
      <x:c r="A4" s="93" t="s">
        <x:v>419</x:v>
      </x:c>
      <x:c r="B4" s="93" t="s">
        <x:v>420</x:v>
      </x:c>
    </x:row>
    <x:row r="5" ht="24" customHeight="1">
      <x:c r="A5" s="281" t="s">
        <x:v>421</x:v>
      </x:c>
      <x:c r="B5" s="260" t="s">
        <x:v>422</x:v>
      </x:c>
    </x:row>
    <x:row r="6" ht="24" customHeight="1">
      <x:c r="A6" s="282" t="s">
        <x:v>423</x:v>
      </x:c>
      <x:c r="B6" s="261" t="s">
        <x:v>424</x:v>
      </x:c>
    </x:row>
    <x:row r="7" ht="24" customHeight="1">
      <x:c r="A7" s="282" t="s">
        <x:v>425</x:v>
      </x:c>
      <x:c r="B7" s="261" t="s">
        <x:v>426</x:v>
      </x:c>
    </x:row>
    <x:row r="8" ht="24" customHeight="1">
      <x:c r="A8" s="282" t="s">
        <x:v>427</x:v>
      </x:c>
      <x:c r="B8" s="261" t="str">
        <x:v>Mappings, reconciliation, QA totals, dashboard, summary queue, and detailed case queue</x:v>
      </x:c>
    </x:row>
    <x:row r="9" ht="24" customHeight="1">
      <x:c r="A9" s="282" t="s">
        <x:v>428</x:v>
      </x:c>
      <x:c r="B9" s="261" t="s">
        <x:v>429</x:v>
      </x:c>
    </x:row>
    <x:row r="10" ht="24" customHeight="1">
      <x:c r="A10" s="282" t="s">
        <x:v>430</x:v>
      </x:c>
      <x:c r="B10" s="261" t="s">
        <x:v>431</x:v>
      </x:c>
    </x:row>
    <x:row r="11" ht="24" customHeight="1">
      <x:c r="A11" s="282" t="s">
        <x:v>432</x:v>
      </x:c>
      <x:c r="B11" s="261" t="s">
        <x:v>433</x:v>
      </x:c>
    </x:row>
    <x:row r="12" ht="24" customHeight="1">
      <x:c r="A12" s="282" t="s">
        <x:v>434</x:v>
      </x:c>
      <x:c r="B12" s="261" t="s">
        <x:v>435</x:v>
      </x:c>
    </x:row>
    <x:row r="13" ht="24" customHeight="1">
      <x:c r="A13" s="283" t="s">
        <x:v>436</x:v>
      </x:c>
      <x:c r="B13" s="262" t="s">
        <x:v>437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24" hidden="0" customWidth="1"/>
    <x:col min="5" max="5" width="14" hidden="0" customWidth="1"/>
    <x:col min="6" max="6" width="13" hidden="0" customWidth="1"/>
    <x:col min="7" max="7" width="15" hidden="0" customWidth="1"/>
    <x:col min="8" max="8" width="20" hidden="0" customWidth="1"/>
    <x:col min="9" max="9" width="12" hidden="0" customWidth="1"/>
    <x:col min="10" max="10" width="22" hidden="0" customWidth="1"/>
    <x:col min="11" max="11" width="46" hidden="0" customWidth="1"/>
    <x:col min="12" max="12" width="12" hidden="0" customWidth="1"/>
    <x:col min="13" max="13" width="19" hidden="0" customWidth="1"/>
    <x:col min="14" max="14" width="18" hidden="0" customWidth="1"/>
    <x:col min="15" max="15" width="14" hidden="0" customWidth="1"/>
    <x:col min="16" max="16" width="40" hidden="0" customWidth="1"/>
    <x:col min="17" max="17" width="19" hidden="0" customWidth="1"/>
    <x:col min="18" max="18" width="18" hidden="0" customWidth="1"/>
    <x:col min="19" max="19" width="20" hidden="0" customWidth="1"/>
  </x:cols>
  <x:sheetData>
    <x:row r="1" ht="36" customHeight="1">
      <x:c r="A1" s="375" t="str">
        <x:v>PROJ-005 | DETAILED INVENTORY CASE QUEUE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  <x:c r="M1" s="375"/>
      <x:c r="N1" s="375"/>
      <x:c r="O1" s="375"/>
      <x:c r="P1" s="375"/>
      <x:c r="Q1" s="375"/>
    </x:row>
    <x:row r="2" ht="25" customHeight="1">
      <x:c r="A2" s="378" t="str">
        <x:v>One row per inventory exception • formula-linked source context • editable written resolution tracking</x:v>
      </x:c>
      <x:c r="B2" s="378"/>
      <x:c r="C2" s="378"/>
      <x:c r="D2" s="378"/>
      <x:c r="E2" s="378"/>
      <x:c r="F2" s="378"/>
      <x:c r="G2" s="378"/>
      <x:c r="H2" s="378"/>
      <x:c r="I2" s="378"/>
      <x:c r="J2" s="378"/>
      <x:c r="K2" s="378"/>
      <x:c r="L2" s="378"/>
      <x:c r="M2" s="378"/>
      <x:c r="N2" s="378"/>
      <x:c r="O2" s="378"/>
      <x:c r="P2" s="378"/>
      <x:c r="Q2" s="378"/>
    </x:row>
    <x:row r="3" ht="32" hidden="0" customHeight="1">
      <x:c r="A3" s="418" t="str">
        <x:v>Case ID</x:v>
      </x:c>
      <x:c r="B3" s="418" t="str">
        <x:v>Raw Row</x:v>
      </x:c>
      <x:c r="C3" s="418" t="str">
        <x:v>SKU</x:v>
      </x:c>
      <x:c r="D3" s="418" t="str">
        <x:v>Product Name</x:v>
      </x:c>
      <x:c r="E3" s="418" t="str">
        <x:v>Location</x:v>
      </x:c>
      <x:c r="F3" s="418" t="str">
        <x:v>Qty Variance</x:v>
      </x:c>
      <x:c r="G3" s="418" t="str">
        <x:v>Variance Value</x:v>
      </x:c>
      <x:c r="H3" s="418" t="str">
        <x:v>Review Status</x:v>
      </x:c>
      <x:c r="I3" s="418" t="str">
        <x:v>Issue Count</x:v>
      </x:c>
      <x:c r="J3" s="418" t="str">
        <x:v>Primary Issue</x:v>
      </x:c>
      <x:c r="K3" s="418" t="str">
        <x:v>Recommended Written Action</x:v>
      </x:c>
      <x:c r="L3" s="418" t="str">
        <x:v>Priority</x:v>
      </x:c>
      <x:c r="M3" s="418" t="str">
        <x:v>Owner</x:v>
      </x:c>
      <x:c r="N3" s="418" t="str">
        <x:v>Case Status</x:v>
      </x:c>
      <x:c r="O3" s="418" t="str">
        <x:v>Due Date</x:v>
      </x:c>
      <x:c r="P3" s="418" t="str">
        <x:v>Resolution Notes</x:v>
      </x:c>
      <x:c r="Q3" s="418" t="str">
        <x:v>Evidence Ref</x:v>
      </x:c>
      <x:c r="R3" s="418" t="str">
        <x:v>Resolution Date</x:v>
      </x:c>
      <x:c r="S3" s="418" t="str">
        <x:v>Verified By</x:v>
      </x:c>
    </x:row>
    <x:row r="4" ht="15" hidden="0" customHeight="1">
      <x:c r="A4" s="391" t="str">
        <x:f>"CASE-"&amp;TEXT(ROW()-3,"000")</x:f>
        <x:v>CASE-001</x:v>
      </x:c>
      <x:c r="B4" s="394" t="n">
        <x:f>'Reconciliation'!A4</x:f>
        <x:v>4</x:v>
      </x:c>
      <x:c r="C4" s="394" t="str">
        <x:f>'Reconciliation'!C4</x:f>
        <x:v>SKU-0001</x:v>
      </x:c>
      <x:c r="D4" s="394" t="str">
        <x:f>'Reconciliation'!E4</x:f>
        <x:v>Stride Runner A</x:v>
      </x:c>
      <x:c r="E4" s="394" t="str">
        <x:f>'Reconciliation'!G4</x:f>
        <x:v>JKT-A</x:v>
      </x:c>
      <x:c r="F4" s="397" t="n">
        <x:f>'Reconciliation'!L4</x:f>
        <x:v>-2</x:v>
      </x:c>
      <x:c r="G4" s="403" t="n">
        <x:f>'Reconciliation'!N4</x:f>
        <x:v>-38</x:v>
      </x:c>
      <x:c r="H4" s="397" t="str">
        <x:f>'Reconciliation'!X4</x:f>
        <x:v>Review</x:v>
      </x:c>
      <x:c r="I4" s="397" t="n">
        <x:f>'Reconciliation'!W4</x:f>
        <x:v>1</x:v>
      </x:c>
      <x:c r="J4" s="397" t="str">
        <x:f>IF('Reconciliation'!U4&lt;&gt;"OK",'Reconciliation'!U4,IF('Reconciliation'!Q4&lt;&gt;"OK",'Reconciliation'!Q4,IF('Reconciliation'!R4&lt;&gt;"OK",'Reconciliation'!R4,IF('Reconciliation'!S4&lt;&gt;"OK",'Reconciliation'!S4,IF('Reconciliation'!O4&lt;&gt;"OK",'Reconciliation'!O4,IF('Reconciliation'!P4&lt;&gt;"OK",'Reconciliation'!P4,IF('Reconciliation'!T4&lt;&gt;"OK",'Reconciliation'!T4,IF('Reconciliation'!L4&lt;0,"Stock Shortage",IF('Reconciliation'!L4&gt;0,"Stock Overage",'Reconciliation'!V4)))))))))</x:f>
        <x:v>Stock Shortage</x:v>
      </x:c>
      <x:c r="K4" s="409" t="str">
        <x:f>'Reconciliation'!Y4</x:f>
        <x:v>Investigate shortage and record a written resolution</x:v>
      </x:c>
      <x:c r="L4" s="400" t="str">
        <x:v>Medium</x:v>
      </x:c>
      <x:c r="M4" s="400" t="str">
        <x:v>Inventory Admin</x:v>
      </x:c>
      <x:c r="N4" s="400" t="str">
        <x:v>Open</x:v>
      </x:c>
      <x:c r="O4" s="424" t="n">
        <x:f>DATE(2026,8,17)+IF(L4="High",1,3)</x:f>
        <x:v>46254</x:v>
      </x:c>
      <x:c r="P4" s="412" t="str"/>
      <x:c r="Q4" s="394" t="str">
        <x:f>IF(TRIM('Raw Inventory'!K4)="","",'Raw Inventory'!K4)</x:f>
        <x:v>CNT-2026-001</x:v>
      </x:c>
      <x:c r="R4" s="427"/>
      <x:c r="S4"/>
    </x:row>
    <x:row r="5" ht="15" hidden="0" customHeight="1">
      <x:c r="A5" s="392" t="str">
        <x:f>"CASE-"&amp;TEXT(ROW()-3,"000")</x:f>
        <x:v>CASE-002</x:v>
      </x:c>
      <x:c r="B5" s="395" t="n">
        <x:f>'Reconciliation'!A8</x:f>
        <x:v>8</x:v>
      </x:c>
      <x:c r="C5" s="395" t="str">
        <x:f>'Reconciliation'!C8</x:f>
        <x:v>SKU-0005</x:v>
      </x:c>
      <x:c r="D5" s="395" t="str">
        <x:f>'Reconciliation'!E8</x:f>
        <x:v>Court Classic B</x:v>
      </x:c>
      <x:c r="E5" s="395" t="str">
        <x:f>'Reconciliation'!G8</x:f>
        <x:v>JKT-A</x:v>
      </x:c>
      <x:c r="F5" s="398" t="n">
        <x:f>'Reconciliation'!L8</x:f>
        <x:v>1</x:v>
      </x:c>
      <x:c r="G5" s="404" t="n">
        <x:f>'Reconciliation'!N8</x:f>
        <x:v>47</x:v>
      </x:c>
      <x:c r="H5" s="398" t="str">
        <x:f>'Reconciliation'!X8</x:f>
        <x:v>Review</x:v>
      </x:c>
      <x:c r="I5" s="398" t="n">
        <x:f>'Reconciliation'!W8</x:f>
        <x:v>1</x:v>
      </x:c>
      <x:c r="J5" s="398" t="str">
        <x:f>IF('Reconciliation'!U8&lt;&gt;"OK",'Reconciliation'!U8,IF('Reconciliation'!Q8&lt;&gt;"OK",'Reconciliation'!Q8,IF('Reconciliation'!R8&lt;&gt;"OK",'Reconciliation'!R8,IF('Reconciliation'!S8&lt;&gt;"OK",'Reconciliation'!S8,IF('Reconciliation'!O8&lt;&gt;"OK",'Reconciliation'!O8,IF('Reconciliation'!P8&lt;&gt;"OK",'Reconciliation'!P8,IF('Reconciliation'!T8&lt;&gt;"OK",'Reconciliation'!T8,IF('Reconciliation'!L8&lt;0,"Stock Shortage",IF('Reconciliation'!L8&gt;0,"Stock Overage",'Reconciliation'!V8)))))))))</x:f>
        <x:v>Stock Overage</x:v>
      </x:c>
      <x:c r="K5" s="410" t="str">
        <x:f>'Reconciliation'!Y8</x:f>
        <x:v>Investigate overage and record a written resolution</x:v>
      </x:c>
      <x:c r="L5" s="401" t="str">
        <x:v>Medium</x:v>
      </x:c>
      <x:c r="M5" s="401" t="str">
        <x:v>Inventory Admin</x:v>
      </x:c>
      <x:c r="N5" s="401" t="str">
        <x:v>Open</x:v>
      </x:c>
      <x:c r="O5" s="425" t="n">
        <x:f>DATE(2026,8,17)+IF(L5="High",1,3)</x:f>
        <x:v>46254</x:v>
      </x:c>
      <x:c r="P5" s="413" t="str"/>
      <x:c r="Q5" s="395" t="str">
        <x:f>IF(TRIM('Raw Inventory'!K8)="","",'Raw Inventory'!K8)</x:f>
        <x:v>CNT-2026-005</x:v>
      </x:c>
      <x:c r="R5" s="427"/>
      <x:c r="S5"/>
    </x:row>
    <x:row r="6" ht="15" hidden="0" customHeight="1">
      <x:c r="A6" s="392" t="str">
        <x:f>"CASE-"&amp;TEXT(ROW()-3,"000")</x:f>
        <x:v>CASE-003</x:v>
      </x:c>
      <x:c r="B6" s="395" t="n">
        <x:f>'Reconciliation'!A9</x:f>
        <x:v>9</x:v>
      </x:c>
      <x:c r="C6" s="395" t="str">
        <x:f>'Reconciliation'!C9</x:f>
        <x:v>SKU-0006</x:v>
      </x:c>
      <x:c r="D6" s="395" t="str">
        <x:f>'Reconciliation'!E9</x:f>
        <x:v>Performance Polo C</x:v>
      </x:c>
      <x:c r="E6" s="395" t="str">
        <x:f>'Reconciliation'!G9</x:f>
        <x:v>JKT-B</x:v>
      </x:c>
      <x:c r="F6" s="398" t="n">
        <x:f>'Reconciliation'!L9</x:f>
        <x:v>3</x:v>
      </x:c>
      <x:c r="G6" s="404" t="n">
        <x:f>'Reconciliation'!N9</x:f>
        <x:v>162</x:v>
      </x:c>
      <x:c r="H6" s="398" t="str">
        <x:f>'Reconciliation'!X9</x:f>
        <x:v>Review</x:v>
      </x:c>
      <x:c r="I6" s="398" t="n">
        <x:f>'Reconciliation'!W9</x:f>
        <x:v>1</x:v>
      </x:c>
      <x:c r="J6" s="398" t="str">
        <x:f>IF('Reconciliation'!U9&lt;&gt;"OK",'Reconciliation'!U9,IF('Reconciliation'!Q9&lt;&gt;"OK",'Reconciliation'!Q9,IF('Reconciliation'!R9&lt;&gt;"OK",'Reconciliation'!R9,IF('Reconciliation'!S9&lt;&gt;"OK",'Reconciliation'!S9,IF('Reconciliation'!O9&lt;&gt;"OK",'Reconciliation'!O9,IF('Reconciliation'!P9&lt;&gt;"OK",'Reconciliation'!P9,IF('Reconciliation'!T9&lt;&gt;"OK",'Reconciliation'!T9,IF('Reconciliation'!L9&lt;0,"Stock Shortage",IF('Reconciliation'!L9&gt;0,"Stock Overage",'Reconciliation'!V9)))))))))</x:f>
        <x:v>Stock Overage</x:v>
      </x:c>
      <x:c r="K6" s="410" t="str">
        <x:f>'Reconciliation'!Y9</x:f>
        <x:v>Investigate overage and record a written resolution</x:v>
      </x:c>
      <x:c r="L6" s="401" t="str">
        <x:v>Medium</x:v>
      </x:c>
      <x:c r="M6" s="401" t="str">
        <x:v>Inventory Admin</x:v>
      </x:c>
      <x:c r="N6" s="401" t="str">
        <x:v>Open</x:v>
      </x:c>
      <x:c r="O6" s="425" t="n">
        <x:f>DATE(2026,8,17)+IF(L6="High",1,3)</x:f>
        <x:v>46254</x:v>
      </x:c>
      <x:c r="P6" s="413" t="str"/>
      <x:c r="Q6" s="395" t="str">
        <x:f>IF(TRIM('Raw Inventory'!K9)="","",'Raw Inventory'!K9)</x:f>
        <x:v>CNT-2026-006</x:v>
      </x:c>
      <x:c r="R6" s="427"/>
      <x:c r="S6"/>
    </x:row>
    <x:row r="7" ht="15" hidden="0" customHeight="1">
      <x:c r="A7" s="392" t="str">
        <x:f>"CASE-"&amp;TEXT(ROW()-3,"000")</x:f>
        <x:v>CASE-004</x:v>
      </x:c>
      <x:c r="B7" s="395" t="n">
        <x:f>'Reconciliation'!A10</x:f>
        <x:v>10</x:v>
      </x:c>
      <x:c r="C7" s="395" t="str">
        <x:f>'Reconciliation'!C10</x:f>
        <x:v>SKU-0007</x:v>
      </x:c>
      <x:c r="D7" s="395" t="str">
        <x:f>'Reconciliation'!E10</x:f>
        <x:v>Gym Bag A</x:v>
      </x:c>
      <x:c r="E7" s="395" t="str">
        <x:f>'Reconciliation'!G10</x:f>
        <x:v>SBY-A</x:v>
      </x:c>
      <x:c r="F7" s="398" t="n">
        <x:f>'Reconciliation'!L10</x:f>
        <x:v>-4</x:v>
      </x:c>
      <x:c r="G7" s="404" t="n">
        <x:f>'Reconciliation'!N10</x:f>
        <x:v>-244</x:v>
      </x:c>
      <x:c r="H7" s="398" t="str">
        <x:f>'Reconciliation'!X10</x:f>
        <x:v>Review</x:v>
      </x:c>
      <x:c r="I7" s="398" t="n">
        <x:f>'Reconciliation'!W10</x:f>
        <x:v>3</x:v>
      </x:c>
      <x:c r="J7" s="398" t="str">
        <x:f>IF('Reconciliation'!U10&lt;&gt;"OK",'Reconciliation'!U10,IF('Reconciliation'!Q10&lt;&gt;"OK",'Reconciliation'!Q10,IF('Reconciliation'!R10&lt;&gt;"OK",'Reconciliation'!R10,IF('Reconciliation'!S10&lt;&gt;"OK",'Reconciliation'!S10,IF('Reconciliation'!O10&lt;&gt;"OK",'Reconciliation'!O10,IF('Reconciliation'!P10&lt;&gt;"OK",'Reconciliation'!P10,IF('Reconciliation'!T10&lt;&gt;"OK",'Reconciliation'!T10,IF('Reconciliation'!L10&lt;0,"Stock Shortage",IF('Reconciliation'!L10&gt;0,"Stock Overage",'Reconciliation'!V10)))))))))</x:f>
        <x:v>Missing Evidence</x:v>
      </x:c>
      <x:c r="K7" s="410" t="str">
        <x:f>'Reconciliation'!Y10</x:f>
        <x:v>Attach the count-sheet reference</x:v>
      </x:c>
      <x:c r="L7" s="401" t="str">
        <x:v>Medium</x:v>
      </x:c>
      <x:c r="M7" s="401" t="str">
        <x:v>Inventory Admin</x:v>
      </x:c>
      <x:c r="N7" s="401" t="str">
        <x:v>Open</x:v>
      </x:c>
      <x:c r="O7" s="425" t="n">
        <x:f>DATE(2026,8,17)+IF(L7="High",1,3)</x:f>
        <x:v>46254</x:v>
      </x:c>
      <x:c r="P7" s="413" t="str"/>
      <x:c r="Q7" s="395" t="str">
        <x:f>IF(TRIM('Raw Inventory'!K10)="","",'Raw Inventory'!K10)</x:f>
      </x:c>
      <x:c r="R7" s="427"/>
      <x:c r="S7"/>
    </x:row>
    <x:row r="8" ht="15" hidden="0" customHeight="1">
      <x:c r="A8" s="392" t="str">
        <x:f>"CASE-"&amp;TEXT(ROW()-3,"000")</x:f>
        <x:v>CASE-005</x:v>
      </x:c>
      <x:c r="B8" s="395" t="n">
        <x:f>'Reconciliation'!A11</x:f>
        <x:v>11</x:v>
      </x:c>
      <x:c r="C8" s="395" t="str">
        <x:f>'Reconciliation'!C11</x:f>
        <x:v>SKU-0008</x:v>
      </x:c>
      <x:c r="D8" s="395" t="str">
        <x:f>'Reconciliation'!E11</x:f>
        <x:v>Resistance Band B</x:v>
      </x:c>
      <x:c r="E8" s="395" t="str">
        <x:f>'Reconciliation'!G11</x:f>
        <x:v>BDG-A</x:v>
      </x:c>
      <x:c r="F8" s="398" t="n">
        <x:f>'Reconciliation'!L11</x:f>
        <x:v>-2</x:v>
      </x:c>
      <x:c r="G8" s="404" t="n">
        <x:f>'Reconciliation'!N11</x:f>
        <x:v>-136</x:v>
      </x:c>
      <x:c r="H8" s="398" t="str">
        <x:f>'Reconciliation'!X11</x:f>
        <x:v>Review</x:v>
      </x:c>
      <x:c r="I8" s="398" t="n">
        <x:f>'Reconciliation'!W11</x:f>
        <x:v>1</x:v>
      </x:c>
      <x:c r="J8" s="398" t="str">
        <x:f>IF('Reconciliation'!U11&lt;&gt;"OK",'Reconciliation'!U11,IF('Reconciliation'!Q11&lt;&gt;"OK",'Reconciliation'!Q11,IF('Reconciliation'!R11&lt;&gt;"OK",'Reconciliation'!R11,IF('Reconciliation'!S11&lt;&gt;"OK",'Reconciliation'!S11,IF('Reconciliation'!O11&lt;&gt;"OK",'Reconciliation'!O11,IF('Reconciliation'!P11&lt;&gt;"OK",'Reconciliation'!P11,IF('Reconciliation'!T11&lt;&gt;"OK",'Reconciliation'!T11,IF('Reconciliation'!L11&lt;0,"Stock Shortage",IF('Reconciliation'!L11&gt;0,"Stock Overage",'Reconciliation'!V11)))))))))</x:f>
        <x:v>Stock Shortage</x:v>
      </x:c>
      <x:c r="K8" s="410" t="str">
        <x:f>'Reconciliation'!Y11</x:f>
        <x:v>Investigate shortage and record a written resolution</x:v>
      </x:c>
      <x:c r="L8" s="401" t="str">
        <x:v>Medium</x:v>
      </x:c>
      <x:c r="M8" s="401" t="str">
        <x:v>Inventory Admin</x:v>
      </x:c>
      <x:c r="N8" s="401" t="str">
        <x:v>Open</x:v>
      </x:c>
      <x:c r="O8" s="425" t="n">
        <x:f>DATE(2026,8,17)+IF(L8="High",1,3)</x:f>
        <x:v>46254</x:v>
      </x:c>
      <x:c r="P8" s="413" t="str"/>
      <x:c r="Q8" s="395" t="str">
        <x:f>IF(TRIM('Raw Inventory'!K11)="","",'Raw Inventory'!K11)</x:f>
        <x:v>CNT-2026-008</x:v>
      </x:c>
      <x:c r="R8" s="427"/>
      <x:c r="S8"/>
    </x:row>
    <x:row r="9" ht="15" hidden="0" customHeight="1">
      <x:c r="A9" s="392" t="str">
        <x:f>"CASE-"&amp;TEXT(ROW()-3,"000")</x:f>
        <x:v>CASE-006</x:v>
      </x:c>
      <x:c r="B9" s="395" t="n">
        <x:f>'Reconciliation'!A12</x:f>
        <x:v>12</x:v>
      </x:c>
      <x:c r="C9" s="395" t="str">
        <x:f>'Reconciliation'!C12</x:f>
        <x:v>SKU-0009</x:v>
      </x:c>
      <x:c r="D9" s="395" t="str">
        <x:f>'Reconciliation'!E12</x:f>
        <x:v>Trail Motion C</x:v>
      </x:c>
      <x:c r="E9" s="395" t="str">
        <x:f>'Reconciliation'!G12</x:f>
        <x:v>JKT-A</x:v>
      </x:c>
      <x:c r="F9" s="398" t="n">
        <x:f>'Reconciliation'!L12</x:f>
        <x:v>0</x:v>
      </x:c>
      <x:c r="G9" s="404" t="n">
        <x:f>'Reconciliation'!N12</x:f>
        <x:v>0</x:v>
      </x:c>
      <x:c r="H9" s="398" t="str">
        <x:f>'Reconciliation'!X12</x:f>
        <x:v>Review</x:v>
      </x:c>
      <x:c r="I9" s="398" t="n">
        <x:f>'Reconciliation'!W12</x:f>
        <x:v>1</x:v>
      </x:c>
      <x:c r="J9" s="398" t="str">
        <x:f>IF('Reconciliation'!U12&lt;&gt;"OK",'Reconciliation'!U12,IF('Reconciliation'!Q12&lt;&gt;"OK",'Reconciliation'!Q12,IF('Reconciliation'!R12&lt;&gt;"OK",'Reconciliation'!R12,IF('Reconciliation'!S12&lt;&gt;"OK",'Reconciliation'!S12,IF('Reconciliation'!O12&lt;&gt;"OK",'Reconciliation'!O12,IF('Reconciliation'!P12&lt;&gt;"OK",'Reconciliation'!P12,IF('Reconciliation'!T12&lt;&gt;"OK",'Reconciliation'!T12,IF('Reconciliation'!L12&lt;0,"Stock Shortage",IF('Reconciliation'!L12&gt;0,"Stock Overage",'Reconciliation'!V12)))))))))</x:f>
        <x:v>Invalid Category</x:v>
      </x:c>
      <x:c r="K9" s="410" t="str">
        <x:f>'Reconciliation'!Y12</x:f>
        <x:v>Confirm the approved product category</x:v>
      </x:c>
      <x:c r="L9" s="401" t="str">
        <x:v>Medium</x:v>
      </x:c>
      <x:c r="M9" s="401" t="str">
        <x:v>Inventory Admin</x:v>
      </x:c>
      <x:c r="N9" s="401" t="str">
        <x:v>Open</x:v>
      </x:c>
      <x:c r="O9" s="425" t="n">
        <x:f>DATE(2026,8,17)+IF(L9="High",1,3)</x:f>
        <x:v>46254</x:v>
      </x:c>
      <x:c r="P9" s="413" t="str"/>
      <x:c r="Q9" s="395" t="str">
        <x:f>IF(TRIM('Raw Inventory'!K12)="","",'Raw Inventory'!K12)</x:f>
        <x:v>CNT-2026-009</x:v>
      </x:c>
      <x:c r="R9" s="427"/>
      <x:c r="S9"/>
    </x:row>
    <x:row r="10" ht="15" hidden="0" customHeight="1">
      <x:c r="A10" s="392" t="str">
        <x:f>"CASE-"&amp;TEXT(ROW()-3,"000")</x:f>
        <x:v>CASE-007</x:v>
      </x:c>
      <x:c r="B10" s="395" t="n">
        <x:f>'Reconciliation'!A15</x:f>
        <x:v>15</x:v>
      </x:c>
      <x:c r="C10" s="395" t="str">
        <x:f>'Reconciliation'!C15</x:f>
        <x:v>SKU-0012</x:v>
      </x:c>
      <x:c r="D10" s="395" t="str">
        <x:f>'Reconciliation'!E15</x:f>
        <x:v>Training Cone C</x:v>
      </x:c>
      <x:c r="E10" s="395" t="str">
        <x:f>'Reconciliation'!G15</x:f>
        <x:v>BDG-A</x:v>
      </x:c>
      <x:c r="F10" s="398" t="n">
        <x:f>'Reconciliation'!L15</x:f>
        <x:v>1</x:v>
      </x:c>
      <x:c r="G10" s="404" t="n">
        <x:f>'Reconciliation'!N15</x:f>
        <x:v>23</x:v>
      </x:c>
      <x:c r="H10" s="398" t="str">
        <x:f>'Reconciliation'!X15</x:f>
        <x:v>Review</x:v>
      </x:c>
      <x:c r="I10" s="398" t="n">
        <x:f>'Reconciliation'!W15</x:f>
        <x:v>1</x:v>
      </x:c>
      <x:c r="J10" s="398" t="str">
        <x:f>IF('Reconciliation'!U15&lt;&gt;"OK",'Reconciliation'!U15,IF('Reconciliation'!Q15&lt;&gt;"OK",'Reconciliation'!Q15,IF('Reconciliation'!R15&lt;&gt;"OK",'Reconciliation'!R15,IF('Reconciliation'!S15&lt;&gt;"OK",'Reconciliation'!S15,IF('Reconciliation'!O15&lt;&gt;"OK",'Reconciliation'!O15,IF('Reconciliation'!P15&lt;&gt;"OK",'Reconciliation'!P15,IF('Reconciliation'!T15&lt;&gt;"OK",'Reconciliation'!T15,IF('Reconciliation'!L15&lt;0,"Stock Shortage",IF('Reconciliation'!L15&gt;0,"Stock Overage",'Reconciliation'!V15)))))))))</x:f>
        <x:v>Stock Overage</x:v>
      </x:c>
      <x:c r="K10" s="410" t="str">
        <x:f>'Reconciliation'!Y15</x:f>
        <x:v>Investigate overage and record a written resolution</x:v>
      </x:c>
      <x:c r="L10" s="401" t="str">
        <x:v>Medium</x:v>
      </x:c>
      <x:c r="M10" s="401" t="str">
        <x:v>Inventory Admin</x:v>
      </x:c>
      <x:c r="N10" s="401" t="str">
        <x:v>Open</x:v>
      </x:c>
      <x:c r="O10" s="425" t="n">
        <x:f>DATE(2026,8,17)+IF(L10="High",1,3)</x:f>
        <x:v>46254</x:v>
      </x:c>
      <x:c r="P10" s="413" t="str"/>
      <x:c r="Q10" s="395" t="str">
        <x:f>IF(TRIM('Raw Inventory'!K15)="","",'Raw Inventory'!K15)</x:f>
        <x:v>CNT-2026-012</x:v>
      </x:c>
      <x:c r="R10" s="427"/>
      <x:c r="S10"/>
    </x:row>
    <x:row r="11" ht="15" hidden="0" customHeight="1">
      <x:c r="A11" s="392" t="str">
        <x:f>"CASE-"&amp;TEXT(ROW()-3,"000")</x:f>
        <x:v>CASE-008</x:v>
      </x:c>
      <x:c r="B11" s="395" t="n">
        <x:f>'Reconciliation'!A16</x:f>
        <x:v>16</x:v>
      </x:c>
      <x:c r="C11" s="395" t="str">
        <x:f>'Reconciliation'!C16</x:f>
        <x:v>SKU-0013</x:v>
      </x:c>
      <x:c r="D11" s="395" t="str">
        <x:f>'Reconciliation'!E16</x:f>
        <x:v>Urban Flex A</x:v>
      </x:c>
      <x:c r="E11" s="395" t="str">
        <x:f>'Reconciliation'!G16</x:f>
        <x:v>JKT-A</x:v>
      </x:c>
      <x:c r="F11" s="398" t="n">
        <x:f>'Reconciliation'!L16</x:f>
        <x:v>3</x:v>
      </x:c>
      <x:c r="G11" s="404" t="n">
        <x:f>'Reconciliation'!N16</x:f>
        <x:v>90</x:v>
      </x:c>
      <x:c r="H11" s="398" t="str">
        <x:f>'Reconciliation'!X16</x:f>
        <x:v>High Priority Review</x:v>
      </x:c>
      <x:c r="I11" s="398" t="n">
        <x:f>'Reconciliation'!W16</x:f>
        <x:v>3</x:v>
      </x:c>
      <x:c r="J11" s="398" t="str">
        <x:f>IF('Reconciliation'!U16&lt;&gt;"OK",'Reconciliation'!U16,IF('Reconciliation'!Q16&lt;&gt;"OK",'Reconciliation'!Q16,IF('Reconciliation'!R16&lt;&gt;"OK",'Reconciliation'!R16,IF('Reconciliation'!S16&lt;&gt;"OK",'Reconciliation'!S16,IF('Reconciliation'!O16&lt;&gt;"OK",'Reconciliation'!O16,IF('Reconciliation'!P16&lt;&gt;"OK",'Reconciliation'!P16,IF('Reconciliation'!T16&lt;&gt;"OK",'Reconciliation'!T16,IF('Reconciliation'!L16&lt;0,"Stock Shortage",IF('Reconciliation'!L16&gt;0,"Stock Overage",'Reconciliation'!V16)))))))))</x:f>
        <x:v>Duplicate SKU</x:v>
      </x:c>
      <x:c r="K11" s="410" t="str">
        <x:f>'Reconciliation'!Y16</x:f>
        <x:v>Compare duplicate rows with the approved stock source</x:v>
      </x:c>
      <x:c r="L11" s="401" t="str">
        <x:v>High</x:v>
      </x:c>
      <x:c r="M11" s="401" t="str">
        <x:v>Inventory Admin</x:v>
      </x:c>
      <x:c r="N11" s="401" t="str">
        <x:v>Open</x:v>
      </x:c>
      <x:c r="O11" s="425" t="n">
        <x:f>DATE(2026,8,17)+IF(L11="High",1,3)</x:f>
        <x:v>46252</x:v>
      </x:c>
      <x:c r="P11" s="413" t="str"/>
      <x:c r="Q11" s="395" t="str">
        <x:f>IF(TRIM('Raw Inventory'!K16)="","",'Raw Inventory'!K16)</x:f>
        <x:v>CNT-2026-013</x:v>
      </x:c>
      <x:c r="R11" s="427"/>
      <x:c r="S11"/>
    </x:row>
    <x:row r="12" ht="15" hidden="0" customHeight="1">
      <x:c r="A12" s="392" t="str">
        <x:f>"CASE-"&amp;TEXT(ROW()-3,"000")</x:f>
        <x:v>CASE-009</x:v>
      </x:c>
      <x:c r="B12" s="395" t="n">
        <x:f>'Reconciliation'!A17</x:f>
        <x:v>17</x:v>
      </x:c>
      <x:c r="C12" s="395" t="str">
        <x:f>'Reconciliation'!C17</x:f>
        <x:v>SKU-0013</x:v>
      </x:c>
      <x:c r="D12" s="395" t="str">
        <x:f>'Reconciliation'!E17</x:f>
        <x:v>Everyday Hoodie B</x:v>
      </x:c>
      <x:c r="E12" s="395" t="str">
        <x:f>'Reconciliation'!G17</x:f>
        <x:v>JKT-B</x:v>
      </x:c>
      <x:c r="F12" s="398" t="n">
        <x:f>'Reconciliation'!L17</x:f>
        <x:v>-4</x:v>
      </x:c>
      <x:c r="G12" s="404" t="n">
        <x:f>'Reconciliation'!N17</x:f>
        <x:v>-148</x:v>
      </x:c>
      <x:c r="H12" s="398" t="str">
        <x:f>'Reconciliation'!X17</x:f>
        <x:v>High Priority Review</x:v>
      </x:c>
      <x:c r="I12" s="398" t="n">
        <x:f>'Reconciliation'!W17</x:f>
        <x:v>3</x:v>
      </x:c>
      <x:c r="J12" s="398" t="str">
        <x:f>IF('Reconciliation'!U17&lt;&gt;"OK",'Reconciliation'!U17,IF('Reconciliation'!Q17&lt;&gt;"OK",'Reconciliation'!Q17,IF('Reconciliation'!R17&lt;&gt;"OK",'Reconciliation'!R17,IF('Reconciliation'!S17&lt;&gt;"OK",'Reconciliation'!S17,IF('Reconciliation'!O17&lt;&gt;"OK",'Reconciliation'!O17,IF('Reconciliation'!P17&lt;&gt;"OK",'Reconciliation'!P17,IF('Reconciliation'!T17&lt;&gt;"OK",'Reconciliation'!T17,IF('Reconciliation'!L17&lt;0,"Stock Shortage",IF('Reconciliation'!L17&gt;0,"Stock Overage",'Reconciliation'!V17)))))))))</x:f>
        <x:v>Duplicate SKU</x:v>
      </x:c>
      <x:c r="K12" s="410" t="str">
        <x:f>'Reconciliation'!Y17</x:f>
        <x:v>Compare duplicate rows with the approved stock source</x:v>
      </x:c>
      <x:c r="L12" s="401" t="str">
        <x:v>High</x:v>
      </x:c>
      <x:c r="M12" s="401" t="str">
        <x:v>Inventory Admin</x:v>
      </x:c>
      <x:c r="N12" s="401" t="str">
        <x:v>Open</x:v>
      </x:c>
      <x:c r="O12" s="425" t="n">
        <x:f>DATE(2026,8,17)+IF(L12="High",1,3)</x:f>
        <x:v>46252</x:v>
      </x:c>
      <x:c r="P12" s="413" t="str"/>
      <x:c r="Q12" s="395" t="str">
        <x:f>IF(TRIM('Raw Inventory'!K17)="","",'Raw Inventory'!K17)</x:f>
        <x:v>CNT-2026-014</x:v>
      </x:c>
      <x:c r="R12" s="427"/>
      <x:c r="S12"/>
    </x:row>
    <x:row r="13" ht="15" hidden="0" customHeight="1">
      <x:c r="A13" s="392" t="str">
        <x:f>"CASE-"&amp;TEXT(ROW()-3,"000")</x:f>
        <x:v>CASE-010</x:v>
      </x:c>
      <x:c r="B13" s="395" t="n">
        <x:f>'Reconciliation'!A18</x:f>
        <x:v>18</x:v>
      </x:c>
      <x:c r="C13" s="395" t="str">
        <x:f>'Reconciliation'!C18</x:f>
        <x:v>SKU-0015</x:v>
      </x:c>
      <x:c r="D13" s="395" t="str">
        <x:f>'Reconciliation'!E18</x:f>
        <x:v>Water Bottle C</x:v>
      </x:c>
      <x:c r="E13" s="395" t="str">
        <x:f>'Reconciliation'!G18</x:f>
        <x:v>SBY-A</x:v>
      </x:c>
      <x:c r="F13" s="398" t="n">
        <x:f>'Reconciliation'!L18</x:f>
        <x:v>-2</x:v>
      </x:c>
      <x:c r="G13" s="404" t="n">
        <x:f>'Reconciliation'!N18</x:f>
        <x:v>-88</x:v>
      </x:c>
      <x:c r="H13" s="398" t="str">
        <x:f>'Reconciliation'!X18</x:f>
        <x:v>Review</x:v>
      </x:c>
      <x:c r="I13" s="398" t="n">
        <x:f>'Reconciliation'!W18</x:f>
        <x:v>1</x:v>
      </x:c>
      <x:c r="J13" s="398" t="str">
        <x:f>IF('Reconciliation'!U18&lt;&gt;"OK",'Reconciliation'!U18,IF('Reconciliation'!Q18&lt;&gt;"OK",'Reconciliation'!Q18,IF('Reconciliation'!R18&lt;&gt;"OK",'Reconciliation'!R18,IF('Reconciliation'!S18&lt;&gt;"OK",'Reconciliation'!S18,IF('Reconciliation'!O18&lt;&gt;"OK",'Reconciliation'!O18,IF('Reconciliation'!P18&lt;&gt;"OK",'Reconciliation'!P18,IF('Reconciliation'!T18&lt;&gt;"OK",'Reconciliation'!T18,IF('Reconciliation'!L18&lt;0,"Stock Shortage",IF('Reconciliation'!L18&gt;0,"Stock Overage",'Reconciliation'!V18)))))))))</x:f>
        <x:v>Stock Shortage</x:v>
      </x:c>
      <x:c r="K13" s="410" t="str">
        <x:f>'Reconciliation'!Y18</x:f>
        <x:v>Investigate shortage and record a written resolution</x:v>
      </x:c>
      <x:c r="L13" s="401" t="str">
        <x:v>Medium</x:v>
      </x:c>
      <x:c r="M13" s="401" t="str">
        <x:v>Inventory Admin</x:v>
      </x:c>
      <x:c r="N13" s="401" t="str">
        <x:v>Open</x:v>
      </x:c>
      <x:c r="O13" s="425" t="n">
        <x:f>DATE(2026,8,17)+IF(L13="High",1,3)</x:f>
        <x:v>46254</x:v>
      </x:c>
      <x:c r="P13" s="413" t="str"/>
      <x:c r="Q13" s="395" t="str">
        <x:f>IF(TRIM('Raw Inventory'!K18)="","",'Raw Inventory'!K18)</x:f>
        <x:v>CNT-2026-015</x:v>
      </x:c>
      <x:c r="R13" s="427"/>
      <x:c r="S13"/>
    </x:row>
    <x:row r="14" ht="15" hidden="0" customHeight="1">
      <x:c r="A14" s="392" t="str">
        <x:f>"CASE-"&amp;TEXT(ROW()-3,"000")</x:f>
        <x:v>CASE-011</x:v>
      </x:c>
      <x:c r="B14" s="395" t="n">
        <x:f>'Reconciliation'!A21</x:f>
        <x:v>21</x:v>
      </x:c>
      <x:c r="C14" s="395" t="str">
        <x:f>'Reconciliation'!C21</x:f>
        <x:v>SKU-0018</x:v>
      </x:c>
      <x:c r="D14" s="395" t="str">
        <x:f>'Reconciliation'!E21</x:f>
        <x:v>Active Shorts C</x:v>
      </x:c>
      <x:c r="E14" s="395" t="str">
        <x:f>'Reconciliation'!G21</x:f>
        <x:v>JKT-B</x:v>
      </x:c>
      <x:c r="F14" s="398" t="n">
        <x:f>'Reconciliation'!L21</x:f>
        <x:v>0</x:v>
      </x:c>
      <x:c r="G14" s="404" t="n">
        <x:f>'Reconciliation'!N21</x:f>
        <x:v>0</x:v>
      </x:c>
      <x:c r="H14" s="398" t="str">
        <x:f>'Reconciliation'!X21</x:f>
        <x:v>High Priority Review</x:v>
      </x:c>
      <x:c r="I14" s="398" t="n">
        <x:f>'Reconciliation'!W21</x:f>
        <x:v>1</x:v>
      </x:c>
      <x:c r="J14" s="398" t="str">
        <x:f>IF('Reconciliation'!U21&lt;&gt;"OK",'Reconciliation'!U21,IF('Reconciliation'!Q21&lt;&gt;"OK",'Reconciliation'!Q21,IF('Reconciliation'!R21&lt;&gt;"OK",'Reconciliation'!R21,IF('Reconciliation'!S21&lt;&gt;"OK",'Reconciliation'!S21,IF('Reconciliation'!O21&lt;&gt;"OK",'Reconciliation'!O21,IF('Reconciliation'!P21&lt;&gt;"OK",'Reconciliation'!P21,IF('Reconciliation'!T21&lt;&gt;"OK",'Reconciliation'!T21,IF('Reconciliation'!L21&lt;0,"Stock Shortage",IF('Reconciliation'!L21&gt;0,"Stock Overage",'Reconciliation'!V21)))))))))</x:f>
        <x:v>Missing Physical Qty</x:v>
      </x:c>
      <x:c r="K14" s="410" t="str">
        <x:f>'Reconciliation'!Y21</x:f>
        <x:v>Correct the source field and document the evidence</x:v>
      </x:c>
      <x:c r="L14" s="401" t="str">
        <x:v>High</x:v>
      </x:c>
      <x:c r="M14" s="401" t="str">
        <x:v>Inventory Admin</x:v>
      </x:c>
      <x:c r="N14" s="401" t="str">
        <x:v>Open</x:v>
      </x:c>
      <x:c r="O14" s="425" t="n">
        <x:f>DATE(2026,8,17)+IF(L14="High",1,3)</x:f>
        <x:v>46252</x:v>
      </x:c>
      <x:c r="P14" s="413" t="str"/>
      <x:c r="Q14" s="395" t="str">
        <x:f>IF(TRIM('Raw Inventory'!K21)="","",'Raw Inventory'!K21)</x:f>
        <x:v>CNT-2026-018</x:v>
      </x:c>
      <x:c r="R14" s="427"/>
      <x:c r="S14"/>
    </x:row>
    <x:row r="15" ht="15" hidden="0" customHeight="1">
      <x:c r="A15" s="392" t="str">
        <x:f>"CASE-"&amp;TEXT(ROW()-3,"000")</x:f>
        <x:v>CASE-012</x:v>
      </x:c>
      <x:c r="B15" s="395" t="n">
        <x:f>'Reconciliation'!A22</x:f>
        <x:v>22</x:v>
      </x:c>
      <x:c r="C15" s="395" t="str">
        <x:f>'Reconciliation'!C22</x:f>
        <x:v>SKU-0019</x:v>
      </x:c>
      <x:c r="D15" s="395" t="str">
        <x:f>'Reconciliation'!E22</x:f>
        <x:v>Wristband Set A</x:v>
      </x:c>
      <x:c r="E15" s="395" t="str">
        <x:f>'Reconciliation'!G22</x:f>
        <x:v>SBY-A</x:v>
      </x:c>
      <x:c r="F15" s="398" t="n">
        <x:f>'Reconciliation'!L22</x:f>
        <x:v>1</x:v>
      </x:c>
      <x:c r="G15" s="404" t="n">
        <x:f>'Reconciliation'!N22</x:f>
        <x:v>72</x:v>
      </x:c>
      <x:c r="H15" s="398" t="str">
        <x:f>'Reconciliation'!X22</x:f>
        <x:v>Review</x:v>
      </x:c>
      <x:c r="I15" s="398" t="n">
        <x:f>'Reconciliation'!W22</x:f>
        <x:v>1</x:v>
      </x:c>
      <x:c r="J15" s="398" t="str">
        <x:f>IF('Reconciliation'!U22&lt;&gt;"OK",'Reconciliation'!U22,IF('Reconciliation'!Q22&lt;&gt;"OK",'Reconciliation'!Q22,IF('Reconciliation'!R22&lt;&gt;"OK",'Reconciliation'!R22,IF('Reconciliation'!S22&lt;&gt;"OK",'Reconciliation'!S22,IF('Reconciliation'!O22&lt;&gt;"OK",'Reconciliation'!O22,IF('Reconciliation'!P22&lt;&gt;"OK",'Reconciliation'!P22,IF('Reconciliation'!T22&lt;&gt;"OK",'Reconciliation'!T22,IF('Reconciliation'!L22&lt;0,"Stock Shortage",IF('Reconciliation'!L22&gt;0,"Stock Overage",'Reconciliation'!V22)))))))))</x:f>
        <x:v>Stock Overage</x:v>
      </x:c>
      <x:c r="K15" s="410" t="str">
        <x:f>'Reconciliation'!Y22</x:f>
        <x:v>Investigate overage and record a written resolution</x:v>
      </x:c>
      <x:c r="L15" s="401" t="str">
        <x:v>Medium</x:v>
      </x:c>
      <x:c r="M15" s="401" t="str">
        <x:v>Inventory Admin</x:v>
      </x:c>
      <x:c r="N15" s="401" t="str">
        <x:v>Open</x:v>
      </x:c>
      <x:c r="O15" s="425" t="n">
        <x:f>DATE(2026,8,17)+IF(L15="High",1,3)</x:f>
        <x:v>46254</x:v>
      </x:c>
      <x:c r="P15" s="413" t="str"/>
      <x:c r="Q15" s="395" t="str">
        <x:f>IF(TRIM('Raw Inventory'!K22)="","",'Raw Inventory'!K22)</x:f>
        <x:v>CNT-2026-019</x:v>
      </x:c>
      <x:c r="R15" s="427"/>
      <x:c r="S15"/>
    </x:row>
    <x:row r="16" ht="15" hidden="0" customHeight="1">
      <x:c r="A16" s="392" t="str">
        <x:f>"CASE-"&amp;TEXT(ROW()-3,"000")</x:f>
        <x:v>CASE-013</x:v>
      </x:c>
      <x:c r="B16" s="395" t="n">
        <x:f>'Reconciliation'!A23</x:f>
        <x:v>23</x:v>
      </x:c>
      <x:c r="C16" s="395" t="str">
        <x:f>'Reconciliation'!C23</x:f>
        <x:v>SKU-0020</x:v>
      </x:c>
      <x:c r="D16" s="395" t="str">
        <x:f>'Reconciliation'!E23</x:f>
        <x:v>Jump Rope B</x:v>
      </x:c>
      <x:c r="E16" s="395" t="str">
        <x:f>'Reconciliation'!G23</x:f>
        <x:v>BDG-A</x:v>
      </x:c>
      <x:c r="F16" s="398" t="n">
        <x:f>'Reconciliation'!L23</x:f>
        <x:v>3</x:v>
      </x:c>
      <x:c r="G16" s="404" t="n">
        <x:f>'Reconciliation'!N23</x:f>
        <x:v>237</x:v>
      </x:c>
      <x:c r="H16" s="398" t="str">
        <x:f>'Reconciliation'!X23</x:f>
        <x:v>Review</x:v>
      </x:c>
      <x:c r="I16" s="398" t="n">
        <x:f>'Reconciliation'!W23</x:f>
        <x:v>2</x:v>
      </x:c>
      <x:c r="J16" s="398" t="str">
        <x:f>IF('Reconciliation'!U23&lt;&gt;"OK",'Reconciliation'!U23,IF('Reconciliation'!Q23&lt;&gt;"OK",'Reconciliation'!Q23,IF('Reconciliation'!R23&lt;&gt;"OK",'Reconciliation'!R23,IF('Reconciliation'!S23&lt;&gt;"OK",'Reconciliation'!S23,IF('Reconciliation'!O23&lt;&gt;"OK",'Reconciliation'!O23,IF('Reconciliation'!P23&lt;&gt;"OK",'Reconciliation'!P23,IF('Reconciliation'!T23&lt;&gt;"OK",'Reconciliation'!T23,IF('Reconciliation'!L23&lt;0,"Stock Shortage",IF('Reconciliation'!L23&gt;0,"Stock Overage",'Reconciliation'!V23)))))))))</x:f>
        <x:v>Stock Overage</x:v>
      </x:c>
      <x:c r="K16" s="410" t="str">
        <x:f>'Reconciliation'!Y23</x:f>
        <x:v>Investigate overage and record a written resolution</x:v>
      </x:c>
      <x:c r="L16" s="401" t="str">
        <x:v>Medium</x:v>
      </x:c>
      <x:c r="M16" s="401" t="str">
        <x:v>Inventory Admin</x:v>
      </x:c>
      <x:c r="N16" s="401" t="str">
        <x:v>Open</x:v>
      </x:c>
      <x:c r="O16" s="425" t="n">
        <x:f>DATE(2026,8,17)+IF(L16="High",1,3)</x:f>
        <x:v>46254</x:v>
      </x:c>
      <x:c r="P16" s="413" t="str"/>
      <x:c r="Q16" s="395" t="str">
        <x:f>IF(TRIM('Raw Inventory'!K23)="","",'Raw Inventory'!K23)</x:f>
        <x:v>CNT-2026-020</x:v>
      </x:c>
      <x:c r="R16" s="427"/>
      <x:c r="S16"/>
    </x:row>
    <x:row r="17" ht="15" hidden="0" customHeight="1">
      <x:c r="A17" s="392" t="str">
        <x:f>"CASE-"&amp;TEXT(ROW()-3,"000")</x:f>
        <x:v>CASE-014</x:v>
      </x:c>
      <x:c r="B17" s="395" t="n">
        <x:f>'Reconciliation'!A24</x:f>
        <x:v>24</x:v>
      </x:c>
      <x:c r="C17" s="395" t="str">
        <x:f>'Reconciliation'!C24</x:f>
        <x:v>SKU-0021</x:v>
      </x:c>
      <x:c r="D17" s="395" t="str">
        <x:f>'Reconciliation'!E24</x:f>
        <x:v>Stride Runner C</x:v>
      </x:c>
      <x:c r="E17" s="395" t="str">
        <x:f>'Reconciliation'!G24</x:f>
        <x:v>JKT-A</x:v>
      </x:c>
      <x:c r="F17" s="398" t="n">
        <x:f>'Reconciliation'!L24</x:f>
        <x:v>-4</x:v>
      </x:c>
      <x:c r="G17" s="404" t="n">
        <x:f>'Reconciliation'!N24</x:f>
        <x:v>-52</x:v>
      </x:c>
      <x:c r="H17" s="398" t="str">
        <x:f>'Reconciliation'!X24</x:f>
        <x:v>Review</x:v>
      </x:c>
      <x:c r="I17" s="398" t="n">
        <x:f>'Reconciliation'!W24</x:f>
        <x:v>1</x:v>
      </x:c>
      <x:c r="J17" s="398" t="str">
        <x:f>IF('Reconciliation'!U24&lt;&gt;"OK",'Reconciliation'!U24,IF('Reconciliation'!Q24&lt;&gt;"OK",'Reconciliation'!Q24,IF('Reconciliation'!R24&lt;&gt;"OK",'Reconciliation'!R24,IF('Reconciliation'!S24&lt;&gt;"OK",'Reconciliation'!S24,IF('Reconciliation'!O24&lt;&gt;"OK",'Reconciliation'!O24,IF('Reconciliation'!P24&lt;&gt;"OK",'Reconciliation'!P24,IF('Reconciliation'!T24&lt;&gt;"OK",'Reconciliation'!T24,IF('Reconciliation'!L24&lt;0,"Stock Shortage",IF('Reconciliation'!L24&gt;0,"Stock Overage",'Reconciliation'!V24)))))))))</x:f>
        <x:v>Stock Shortage</x:v>
      </x:c>
      <x:c r="K17" s="410" t="str">
        <x:f>'Reconciliation'!Y24</x:f>
        <x:v>Investigate shortage and record a written resolution</x:v>
      </x:c>
      <x:c r="L17" s="401" t="str">
        <x:v>Medium</x:v>
      </x:c>
      <x:c r="M17" s="401" t="str">
        <x:v>Inventory Admin</x:v>
      </x:c>
      <x:c r="N17" s="401" t="str">
        <x:v>Open</x:v>
      </x:c>
      <x:c r="O17" s="425" t="n">
        <x:f>DATE(2026,8,17)+IF(L17="High",1,3)</x:f>
        <x:v>46254</x:v>
      </x:c>
      <x:c r="P17" s="413" t="str"/>
      <x:c r="Q17" s="395" t="str">
        <x:f>IF(TRIM('Raw Inventory'!K24)="","",'Raw Inventory'!K24)</x:f>
        <x:v>CNT-2026-021</x:v>
      </x:c>
      <x:c r="R17" s="427"/>
      <x:c r="S17"/>
    </x:row>
    <x:row r="18" ht="15" hidden="0" customHeight="1">
      <x:c r="A18" s="392" t="str">
        <x:f>"CASE-"&amp;TEXT(ROW()-3,"000")</x:f>
        <x:v>CASE-015</x:v>
      </x:c>
      <x:c r="B18" s="395" t="n">
        <x:f>'Reconciliation'!A25</x:f>
        <x:v>25</x:v>
      </x:c>
      <x:c r="C18" s="395" t="str">
        <x:f>'Reconciliation'!C25</x:f>
        <x:v>SKU-0022</x:v>
      </x:c>
      <x:c r="D18" s="395" t="str">
        <x:f>'Reconciliation'!E25</x:f>
        <x:v>Core Tee A</x:v>
      </x:c>
      <x:c r="E18" s="395" t="str">
        <x:f>'Reconciliation'!G25</x:f>
        <x:v>JKT-B</x:v>
      </x:c>
      <x:c r="F18" s="398" t="n">
        <x:f>'Reconciliation'!L25</x:f>
        <x:v>-2</x:v>
      </x:c>
      <x:c r="G18" s="404" t="n">
        <x:f>'Reconciliation'!N25</x:f>
        <x:v>0</x:v>
      </x:c>
      <x:c r="H18" s="398" t="str">
        <x:f>'Reconciliation'!X25</x:f>
        <x:v>High Priority Review</x:v>
      </x:c>
      <x:c r="I18" s="398" t="n">
        <x:f>'Reconciliation'!W25</x:f>
        <x:v>2</x:v>
      </x:c>
      <x:c r="J18" s="398" t="str">
        <x:f>IF('Reconciliation'!U25&lt;&gt;"OK",'Reconciliation'!U25,IF('Reconciliation'!Q25&lt;&gt;"OK",'Reconciliation'!Q25,IF('Reconciliation'!R25&lt;&gt;"OK",'Reconciliation'!R25,IF('Reconciliation'!S25&lt;&gt;"OK",'Reconciliation'!S25,IF('Reconciliation'!O25&lt;&gt;"OK",'Reconciliation'!O25,IF('Reconciliation'!P25&lt;&gt;"OK",'Reconciliation'!P25,IF('Reconciliation'!T25&lt;&gt;"OK",'Reconciliation'!T25,IF('Reconciliation'!L25&lt;0,"Stock Shortage",IF('Reconciliation'!L25&gt;0,"Stock Overage",'Reconciliation'!V25)))))))))</x:f>
        <x:v>Invalid Unit Cost</x:v>
      </x:c>
      <x:c r="K18" s="410" t="str">
        <x:f>'Reconciliation'!Y25</x:f>
        <x:v>Correct the source field and document the evidence</x:v>
      </x:c>
      <x:c r="L18" s="401" t="str">
        <x:v>High</x:v>
      </x:c>
      <x:c r="M18" s="401" t="str">
        <x:v>Inventory Admin</x:v>
      </x:c>
      <x:c r="N18" s="401" t="str">
        <x:v>Open</x:v>
      </x:c>
      <x:c r="O18" s="425" t="n">
        <x:f>DATE(2026,8,17)+IF(L18="High",1,3)</x:f>
        <x:v>46252</x:v>
      </x:c>
      <x:c r="P18" s="413" t="str"/>
      <x:c r="Q18" s="395" t="str">
        <x:f>IF(TRIM('Raw Inventory'!K25)="","",'Raw Inventory'!K25)</x:f>
        <x:v>CNT-2026-022</x:v>
      </x:c>
      <x:c r="R18" s="427"/>
      <x:c r="S18"/>
    </x:row>
    <x:row r="19" ht="15" hidden="0" customHeight="1">
      <x:c r="A19" s="392" t="str">
        <x:f>"CASE-"&amp;TEXT(ROW()-3,"000")</x:f>
        <x:v>CASE-016</x:v>
      </x:c>
      <x:c r="B19" s="395" t="n">
        <x:f>'Reconciliation'!A29</x:f>
        <x:v>29</x:v>
      </x:c>
      <x:c r="C19" s="395" t="str">
        <x:f>'Reconciliation'!C29</x:f>
        <x:v>SKU-0026</x:v>
      </x:c>
      <x:c r="D19" s="395" t="str">
        <x:f>'Reconciliation'!E29</x:f>
        <x:v>Performance Polo B</x:v>
      </x:c>
      <x:c r="E19" s="395" t="str">
        <x:f>'Reconciliation'!G29</x:f>
        <x:v>JKT-B</x:v>
      </x:c>
      <x:c r="F19" s="398" t="n">
        <x:f>'Reconciliation'!L29</x:f>
        <x:v>1</x:v>
      </x:c>
      <x:c r="G19" s="404" t="n">
        <x:f>'Reconciliation'!N29</x:f>
        <x:v>48</x:v>
      </x:c>
      <x:c r="H19" s="398" t="str">
        <x:f>'Reconciliation'!X29</x:f>
        <x:v>Review</x:v>
      </x:c>
      <x:c r="I19" s="398" t="n">
        <x:f>'Reconciliation'!W29</x:f>
        <x:v>2</x:v>
      </x:c>
      <x:c r="J19" s="398" t="str">
        <x:f>IF('Reconciliation'!U29&lt;&gt;"OK",'Reconciliation'!U29,IF('Reconciliation'!Q29&lt;&gt;"OK",'Reconciliation'!Q29,IF('Reconciliation'!R29&lt;&gt;"OK",'Reconciliation'!R29,IF('Reconciliation'!S29&lt;&gt;"OK",'Reconciliation'!S29,IF('Reconciliation'!O29&lt;&gt;"OK",'Reconciliation'!O29,IF('Reconciliation'!P29&lt;&gt;"OK",'Reconciliation'!P29,IF('Reconciliation'!T29&lt;&gt;"OK",'Reconciliation'!T29,IF('Reconciliation'!L29&lt;0,"Stock Shortage",IF('Reconciliation'!L29&gt;0,"Stock Overage",'Reconciliation'!V29)))))))))</x:f>
        <x:v>Stock Overage</x:v>
      </x:c>
      <x:c r="K19" s="410" t="str">
        <x:f>'Reconciliation'!Y29</x:f>
        <x:v>Investigate overage and record a written resolution</x:v>
      </x:c>
      <x:c r="L19" s="401" t="str">
        <x:v>Medium</x:v>
      </x:c>
      <x:c r="M19" s="401" t="str">
        <x:v>Inventory Admin</x:v>
      </x:c>
      <x:c r="N19" s="401" t="str">
        <x:v>Open</x:v>
      </x:c>
      <x:c r="O19" s="425" t="n">
        <x:f>DATE(2026,8,17)+IF(L19="High",1,3)</x:f>
        <x:v>46254</x:v>
      </x:c>
      <x:c r="P19" s="413" t="str"/>
      <x:c r="Q19" s="395" t="str">
        <x:f>IF(TRIM('Raw Inventory'!K29)="","",'Raw Inventory'!K29)</x:f>
        <x:v>CNT-2026-026</x:v>
      </x:c>
      <x:c r="R19" s="427"/>
      <x:c r="S19"/>
    </x:row>
    <x:row r="20" ht="15" hidden="0" customHeight="1">
      <x:c r="A20" s="392" t="str">
        <x:f>"CASE-"&amp;TEXT(ROW()-3,"000")</x:f>
        <x:v>CASE-017</x:v>
      </x:c>
      <x:c r="B20" s="395" t="n">
        <x:f>'Reconciliation'!A30</x:f>
        <x:v>30</x:v>
      </x:c>
      <x:c r="C20" s="395" t="str">
        <x:f>'Reconciliation'!C30</x:f>
        <x:v>SKU-0027</x:v>
      </x:c>
      <x:c r="D20" s="395" t="str">
        <x:f>'Reconciliation'!E30</x:f>
        <x:v>Gym Bag C</x:v>
      </x:c>
      <x:c r="E20" s="395" t="str">
        <x:f>'Reconciliation'!G30</x:f>
        <x:v>Needs Review</x:v>
      </x:c>
      <x:c r="F20" s="398" t="n">
        <x:f>'Reconciliation'!L30</x:f>
        <x:v>3</x:v>
      </x:c>
      <x:c r="G20" s="404" t="n">
        <x:f>'Reconciliation'!N30</x:f>
        <x:v>165</x:v>
      </x:c>
      <x:c r="H20" s="398" t="str">
        <x:f>'Reconciliation'!X30</x:f>
        <x:v>Review</x:v>
      </x:c>
      <x:c r="I20" s="398" t="n">
        <x:f>'Reconciliation'!W30</x:f>
        <x:v>2</x:v>
      </x:c>
      <x:c r="J20" s="398" t="str">
        <x:f>IF('Reconciliation'!U30&lt;&gt;"OK",'Reconciliation'!U30,IF('Reconciliation'!Q30&lt;&gt;"OK",'Reconciliation'!Q30,IF('Reconciliation'!R30&lt;&gt;"OK",'Reconciliation'!R30,IF('Reconciliation'!S30&lt;&gt;"OK",'Reconciliation'!S30,IF('Reconciliation'!O30&lt;&gt;"OK",'Reconciliation'!O30,IF('Reconciliation'!P30&lt;&gt;"OK",'Reconciliation'!P30,IF('Reconciliation'!T30&lt;&gt;"OK",'Reconciliation'!T30,IF('Reconciliation'!L30&lt;0,"Stock Shortage",IF('Reconciliation'!L30&gt;0,"Stock Overage",'Reconciliation'!V30)))))))))</x:f>
        <x:v>Invalid Location</x:v>
      </x:c>
      <x:c r="K20" s="410" t="str">
        <x:f>'Reconciliation'!Y30</x:f>
        <x:v>Confirm the approved warehouse location</x:v>
      </x:c>
      <x:c r="L20" s="401" t="str">
        <x:v>Medium</x:v>
      </x:c>
      <x:c r="M20" s="401" t="str">
        <x:v>Inventory Admin</x:v>
      </x:c>
      <x:c r="N20" s="401" t="str">
        <x:v>Open</x:v>
      </x:c>
      <x:c r="O20" s="425" t="n">
        <x:f>DATE(2026,8,17)+IF(L20="High",1,3)</x:f>
        <x:v>46254</x:v>
      </x:c>
      <x:c r="P20" s="413" t="str"/>
      <x:c r="Q20" s="395" t="str">
        <x:f>IF(TRIM('Raw Inventory'!K30)="","",'Raw Inventory'!K30)</x:f>
        <x:v>CNT-2026-027</x:v>
      </x:c>
      <x:c r="R20" s="427"/>
      <x:c r="S20"/>
    </x:row>
    <x:row r="21" ht="15" hidden="0" customHeight="1">
      <x:c r="A21" s="392" t="str">
        <x:f>"CASE-"&amp;TEXT(ROW()-3,"000")</x:f>
        <x:v>CASE-018</x:v>
      </x:c>
      <x:c r="B21" s="395" t="n">
        <x:f>'Reconciliation'!A31</x:f>
        <x:v>31</x:v>
      </x:c>
      <x:c r="C21" s="395" t="str">
        <x:f>'Reconciliation'!C31</x:f>
        <x:v>SKU-0028</x:v>
      </x:c>
      <x:c r="D21" s="395" t="str">
        <x:f>'Reconciliation'!E31</x:f>
        <x:v>Resistance Band A</x:v>
      </x:c>
      <x:c r="E21" s="395" t="str">
        <x:f>'Reconciliation'!G31</x:f>
        <x:v>BDG-A</x:v>
      </x:c>
      <x:c r="F21" s="398" t="n">
        <x:f>'Reconciliation'!L31</x:f>
        <x:v>-4</x:v>
      </x:c>
      <x:c r="G21" s="404" t="n">
        <x:f>'Reconciliation'!N31</x:f>
        <x:v>-248</x:v>
      </x:c>
      <x:c r="H21" s="398" t="str">
        <x:f>'Reconciliation'!X31</x:f>
        <x:v>Review</x:v>
      </x:c>
      <x:c r="I21" s="398" t="n">
        <x:f>'Reconciliation'!W31</x:f>
        <x:v>1</x:v>
      </x:c>
      <x:c r="J21" s="398" t="str">
        <x:f>IF('Reconciliation'!U31&lt;&gt;"OK",'Reconciliation'!U31,IF('Reconciliation'!Q31&lt;&gt;"OK",'Reconciliation'!Q31,IF('Reconciliation'!R31&lt;&gt;"OK",'Reconciliation'!R31,IF('Reconciliation'!S31&lt;&gt;"OK",'Reconciliation'!S31,IF('Reconciliation'!O31&lt;&gt;"OK",'Reconciliation'!O31,IF('Reconciliation'!P31&lt;&gt;"OK",'Reconciliation'!P31,IF('Reconciliation'!T31&lt;&gt;"OK",'Reconciliation'!T31,IF('Reconciliation'!L31&lt;0,"Stock Shortage",IF('Reconciliation'!L31&gt;0,"Stock Overage",'Reconciliation'!V31)))))))))</x:f>
        <x:v>Stock Shortage</x:v>
      </x:c>
      <x:c r="K21" s="410" t="str">
        <x:f>'Reconciliation'!Y31</x:f>
        <x:v>Investigate shortage and record a written resolution</x:v>
      </x:c>
      <x:c r="L21" s="401" t="str">
        <x:v>Medium</x:v>
      </x:c>
      <x:c r="M21" s="401" t="str">
        <x:v>Inventory Admin</x:v>
      </x:c>
      <x:c r="N21" s="401" t="str">
        <x:v>Open</x:v>
      </x:c>
      <x:c r="O21" s="425" t="n">
        <x:f>DATE(2026,8,17)+IF(L21="High",1,3)</x:f>
        <x:v>46254</x:v>
      </x:c>
      <x:c r="P21" s="413" t="str"/>
      <x:c r="Q21" s="395" t="str">
        <x:f>IF(TRIM('Raw Inventory'!K31)="","",'Raw Inventory'!K31)</x:f>
        <x:v>CNT-2026-028</x:v>
      </x:c>
      <x:c r="R21" s="427"/>
      <x:c r="S21"/>
    </x:row>
    <x:row r="22" ht="15" hidden="0" customHeight="1">
      <x:c r="A22" s="392" t="str">
        <x:f>"CASE-"&amp;TEXT(ROW()-3,"000")</x:f>
        <x:v>CASE-019</x:v>
      </x:c>
      <x:c r="B22" s="395" t="n">
        <x:f>'Reconciliation'!A32</x:f>
        <x:v>32</x:v>
      </x:c>
      <x:c r="C22" s="395" t="str">
        <x:f>'Reconciliation'!C32</x:f>
        <x:v>SKU-0029</x:v>
      </x:c>
      <x:c r="D22" s="395" t="str">
        <x:f>'Reconciliation'!E32</x:f>
        <x:v>Trail Motion B</x:v>
      </x:c>
      <x:c r="E22" s="395" t="str">
        <x:f>'Reconciliation'!G32</x:f>
        <x:v>JKT-A</x:v>
      </x:c>
      <x:c r="F22" s="398" t="n">
        <x:f>'Reconciliation'!L32</x:f>
        <x:v>-2</x:v>
      </x:c>
      <x:c r="G22" s="404" t="n">
        <x:f>'Reconciliation'!N32</x:f>
        <x:v>-138</x:v>
      </x:c>
      <x:c r="H22" s="398" t="str">
        <x:f>'Reconciliation'!X32</x:f>
        <x:v>Review</x:v>
      </x:c>
      <x:c r="I22" s="398" t="n">
        <x:f>'Reconciliation'!W32</x:f>
        <x:v>1</x:v>
      </x:c>
      <x:c r="J22" s="398" t="str">
        <x:f>IF('Reconciliation'!U32&lt;&gt;"OK",'Reconciliation'!U32,IF('Reconciliation'!Q32&lt;&gt;"OK",'Reconciliation'!Q32,IF('Reconciliation'!R32&lt;&gt;"OK",'Reconciliation'!R32,IF('Reconciliation'!S32&lt;&gt;"OK",'Reconciliation'!S32,IF('Reconciliation'!O32&lt;&gt;"OK",'Reconciliation'!O32,IF('Reconciliation'!P32&lt;&gt;"OK",'Reconciliation'!P32,IF('Reconciliation'!T32&lt;&gt;"OK",'Reconciliation'!T32,IF('Reconciliation'!L32&lt;0,"Stock Shortage",IF('Reconciliation'!L32&gt;0,"Stock Overage",'Reconciliation'!V32)))))))))</x:f>
        <x:v>Stock Shortage</x:v>
      </x:c>
      <x:c r="K22" s="410" t="str">
        <x:f>'Reconciliation'!Y32</x:f>
        <x:v>Investigate shortage and record a written resolution</x:v>
      </x:c>
      <x:c r="L22" s="401" t="str">
        <x:v>Medium</x:v>
      </x:c>
      <x:c r="M22" s="401" t="str">
        <x:v>Inventory Admin</x:v>
      </x:c>
      <x:c r="N22" s="401" t="str">
        <x:v>Open</x:v>
      </x:c>
      <x:c r="O22" s="425" t="n">
        <x:f>DATE(2026,8,17)+IF(L22="High",1,3)</x:f>
        <x:v>46254</x:v>
      </x:c>
      <x:c r="P22" s="413" t="str"/>
      <x:c r="Q22" s="395" t="str">
        <x:f>IF(TRIM('Raw Inventory'!K32)="","",'Raw Inventory'!K32)</x:f>
        <x:v>CNT-2026-029</x:v>
      </x:c>
      <x:c r="R22" s="427"/>
      <x:c r="S22"/>
    </x:row>
    <x:row r="23" ht="15" hidden="0" customHeight="1">
      <x:c r="A23" s="392" t="str">
        <x:f>"CASE-"&amp;TEXT(ROW()-3,"000")</x:f>
        <x:v>CASE-020</x:v>
      </x:c>
      <x:c r="B23" s="395" t="n">
        <x:f>'Reconciliation'!A34</x:f>
        <x:v>34</x:v>
      </x:c>
      <x:c r="C23" s="395" t="str">
        <x:f>'Reconciliation'!C34</x:f>
        <x:v>SKU-0031</x:v>
      </x:c>
      <x:c r="D23" s="395" t="str">
        <x:f>'Reconciliation'!E34</x:f>
        <x:v>Crew Socks A</x:v>
      </x:c>
      <x:c r="E23" s="395" t="str">
        <x:f>'Reconciliation'!G34</x:f>
        <x:v>SBY-A</x:v>
      </x:c>
      <x:c r="F23" s="398" t="n">
        <x:f>'Reconciliation'!L34</x:f>
        <x:v>0</x:v>
      </x:c>
      <x:c r="G23" s="404" t="n">
        <x:f>'Reconciliation'!N34</x:f>
        <x:v>0</x:v>
      </x:c>
      <x:c r="H23" s="398" t="str">
        <x:f>'Reconciliation'!X34</x:f>
        <x:v>High Priority Review</x:v>
      </x:c>
      <x:c r="I23" s="398" t="n">
        <x:f>'Reconciliation'!W34</x:f>
        <x:v>2</x:v>
      </x:c>
      <x:c r="J23" s="398" t="str">
        <x:f>IF('Reconciliation'!U34&lt;&gt;"OK",'Reconciliation'!U34,IF('Reconciliation'!Q34&lt;&gt;"OK",'Reconciliation'!Q34,IF('Reconciliation'!R34&lt;&gt;"OK",'Reconciliation'!R34,IF('Reconciliation'!S34&lt;&gt;"OK",'Reconciliation'!S34,IF('Reconciliation'!O34&lt;&gt;"OK",'Reconciliation'!O34,IF('Reconciliation'!P34&lt;&gt;"OK",'Reconciliation'!P34,IF('Reconciliation'!T34&lt;&gt;"OK",'Reconciliation'!T34,IF('Reconciliation'!L34&lt;0,"Stock Shortage",IF('Reconciliation'!L34&gt;0,"Stock Overage",'Reconciliation'!V34)))))))))</x:f>
        <x:v>Invalid System Qty</x:v>
      </x:c>
      <x:c r="K23" s="410" t="str">
        <x:f>'Reconciliation'!Y34</x:f>
        <x:v>Correct the source field and document the evidence</x:v>
      </x:c>
      <x:c r="L23" s="401" t="str">
        <x:v>High</x:v>
      </x:c>
      <x:c r="M23" s="401" t="str">
        <x:v>Inventory Admin</x:v>
      </x:c>
      <x:c r="N23" s="401" t="str">
        <x:v>Open</x:v>
      </x:c>
      <x:c r="O23" s="425" t="n">
        <x:f>DATE(2026,8,17)+IF(L23="High",1,3)</x:f>
        <x:v>46252</x:v>
      </x:c>
      <x:c r="P23" s="413" t="str"/>
      <x:c r="Q23" s="395" t="str">
        <x:f>IF(TRIM('Raw Inventory'!K34)="","",'Raw Inventory'!K34)</x:f>
        <x:v>CNT-2026-031</x:v>
      </x:c>
      <x:c r="R23" s="427"/>
      <x:c r="S23"/>
    </x:row>
    <x:row r="24" ht="15" hidden="0" customHeight="1">
      <x:c r="A24" s="392" t="str">
        <x:f>"CASE-"&amp;TEXT(ROW()-3,"000")</x:f>
        <x:v>CASE-021</x:v>
      </x:c>
      <x:c r="B24" s="395" t="n">
        <x:f>'Reconciliation'!A35</x:f>
        <x:v>35</x:v>
      </x:c>
      <x:c r="C24" s="395" t="str">
        <x:f>'Reconciliation'!C35</x:f>
        <x:v>SKU-0032</x:v>
      </x:c>
      <x:c r="D24" s="395" t="str">
        <x:f>'Reconciliation'!E35</x:f>
        <x:v>Training Cone B</x:v>
      </x:c>
      <x:c r="E24" s="395" t="str">
        <x:f>'Reconciliation'!G35</x:f>
        <x:v>BDG-A</x:v>
      </x:c>
      <x:c r="F24" s="398" t="n">
        <x:f>'Reconciliation'!L35</x:f>
        <x:v>0</x:v>
      </x:c>
      <x:c r="G24" s="404" t="n">
        <x:f>'Reconciliation'!N35</x:f>
        <x:v>0</x:v>
      </x:c>
      <x:c r="H24" s="398" t="str">
        <x:f>'Reconciliation'!X35</x:f>
        <x:v>Review</x:v>
      </x:c>
      <x:c r="I24" s="398" t="n">
        <x:f>'Reconciliation'!W35</x:f>
        <x:v>1</x:v>
      </x:c>
      <x:c r="J24" s="398" t="str">
        <x:f>IF('Reconciliation'!U35&lt;&gt;"OK",'Reconciliation'!U35,IF('Reconciliation'!Q35&lt;&gt;"OK",'Reconciliation'!Q35,IF('Reconciliation'!R35&lt;&gt;"OK",'Reconciliation'!R35,IF('Reconciliation'!S35&lt;&gt;"OK",'Reconciliation'!S35,IF('Reconciliation'!O35&lt;&gt;"OK",'Reconciliation'!O35,IF('Reconciliation'!P35&lt;&gt;"OK",'Reconciliation'!P35,IF('Reconciliation'!T35&lt;&gt;"OK",'Reconciliation'!T35,IF('Reconciliation'!L35&lt;0,"Stock Shortage",IF('Reconciliation'!L35&gt;0,"Stock Overage",'Reconciliation'!V35)))))))))</x:f>
        <x:v>Low Stock</x:v>
      </x:c>
      <x:c r="K24" s="410" t="str">
        <x:f>'Reconciliation'!Y35</x:f>
        <x:v>Create a written replenishment request</x:v>
      </x:c>
      <x:c r="L24" s="401" t="str">
        <x:v>Medium</x:v>
      </x:c>
      <x:c r="M24" s="401" t="str">
        <x:v>Inventory Admin</x:v>
      </x:c>
      <x:c r="N24" s="401" t="str">
        <x:v>Open</x:v>
      </x:c>
      <x:c r="O24" s="425" t="n">
        <x:f>DATE(2026,8,17)+IF(L24="High",1,3)</x:f>
        <x:v>46254</x:v>
      </x:c>
      <x:c r="P24" s="413" t="str"/>
      <x:c r="Q24" s="395" t="str">
        <x:f>IF(TRIM('Raw Inventory'!K35)="","",'Raw Inventory'!K35)</x:f>
        <x:v>CNT-2026-032</x:v>
      </x:c>
      <x:c r="R24" s="427"/>
      <x:c r="S24"/>
    </x:row>
    <x:row r="25" ht="15" hidden="0" customHeight="1">
      <x:c r="A25" s="392" t="str">
        <x:f>"CASE-"&amp;TEXT(ROW()-3,"000")</x:f>
        <x:v>CASE-022</x:v>
      </x:c>
      <x:c r="B25" s="395" t="n">
        <x:f>'Reconciliation'!A36</x:f>
        <x:v>36</x:v>
      </x:c>
      <x:c r="C25" s="395" t="str">
        <x:f>'Reconciliation'!C36</x:f>
        <x:v>SKU-0033</x:v>
      </x:c>
      <x:c r="D25" s="395" t="str">
        <x:f>'Reconciliation'!E36</x:f>
        <x:v>Urban Flex C</x:v>
      </x:c>
      <x:c r="E25" s="395" t="str">
        <x:f>'Reconciliation'!G36</x:f>
        <x:v>JKT-A</x:v>
      </x:c>
      <x:c r="F25" s="398" t="n">
        <x:f>'Reconciliation'!L36</x:f>
        <x:v>1</x:v>
      </x:c>
      <x:c r="G25" s="404" t="n">
        <x:f>'Reconciliation'!N36</x:f>
        <x:v>24</x:v>
      </x:c>
      <x:c r="H25" s="398" t="str">
        <x:f>'Reconciliation'!X36</x:f>
        <x:v>Review</x:v>
      </x:c>
      <x:c r="I25" s="398" t="n">
        <x:f>'Reconciliation'!W36</x:f>
        <x:v>2</x:v>
      </x:c>
      <x:c r="J25" s="398" t="str">
        <x:f>IF('Reconciliation'!U36&lt;&gt;"OK",'Reconciliation'!U36,IF('Reconciliation'!Q36&lt;&gt;"OK",'Reconciliation'!Q36,IF('Reconciliation'!R36&lt;&gt;"OK",'Reconciliation'!R36,IF('Reconciliation'!S36&lt;&gt;"OK",'Reconciliation'!S36,IF('Reconciliation'!O36&lt;&gt;"OK",'Reconciliation'!O36,IF('Reconciliation'!P36&lt;&gt;"OK",'Reconciliation'!P36,IF('Reconciliation'!T36&lt;&gt;"OK",'Reconciliation'!T36,IF('Reconciliation'!L36&lt;0,"Stock Shortage",IF('Reconciliation'!L36&gt;0,"Stock Overage",'Reconciliation'!V36)))))))))</x:f>
        <x:v>Invalid Category</x:v>
      </x:c>
      <x:c r="K25" s="410" t="str">
        <x:f>'Reconciliation'!Y36</x:f>
        <x:v>Confirm the approved product category</x:v>
      </x:c>
      <x:c r="L25" s="401" t="str">
        <x:v>Medium</x:v>
      </x:c>
      <x:c r="M25" s="401" t="str">
        <x:v>Inventory Admin</x:v>
      </x:c>
      <x:c r="N25" s="401" t="str">
        <x:v>Open</x:v>
      </x:c>
      <x:c r="O25" s="425" t="n">
        <x:f>DATE(2026,8,17)+IF(L25="High",1,3)</x:f>
        <x:v>46254</x:v>
      </x:c>
      <x:c r="P25" s="413" t="str"/>
      <x:c r="Q25" s="395" t="str">
        <x:f>IF(TRIM('Raw Inventory'!K36)="","",'Raw Inventory'!K36)</x:f>
        <x:v>CNT-2026-033</x:v>
      </x:c>
      <x:c r="R25" s="427"/>
      <x:c r="S25"/>
    </x:row>
    <x:row r="26" ht="15" hidden="0" customHeight="1">
      <x:c r="A26" s="392" t="str">
        <x:f>"CASE-"&amp;TEXT(ROW()-3,"000")</x:f>
        <x:v>CASE-023</x:v>
      </x:c>
      <x:c r="B26" s="395" t="n">
        <x:f>'Reconciliation'!A37</x:f>
        <x:v>37</x:v>
      </x:c>
      <x:c r="C26" s="395" t="str">
        <x:f>'Reconciliation'!C37</x:f>
        <x:v>SKU-0034</x:v>
      </x:c>
      <x:c r="D26" s="395" t="str">
        <x:f>'Reconciliation'!E37</x:f>
        <x:v>Everyday Hoodie A</x:v>
      </x:c>
      <x:c r="E26" s="395" t="str">
        <x:f>'Reconciliation'!G37</x:f>
        <x:v>JKT-B</x:v>
      </x:c>
      <x:c r="F26" s="398" t="n">
        <x:f>'Reconciliation'!L37</x:f>
        <x:v>3</x:v>
      </x:c>
      <x:c r="G26" s="404" t="n">
        <x:f>'Reconciliation'!N37</x:f>
        <x:v>93</x:v>
      </x:c>
      <x:c r="H26" s="398" t="str">
        <x:f>'Reconciliation'!X37</x:f>
        <x:v>Review</x:v>
      </x:c>
      <x:c r="I26" s="398" t="n">
        <x:f>'Reconciliation'!W37</x:f>
        <x:v>1</x:v>
      </x:c>
      <x:c r="J26" s="398" t="str">
        <x:f>IF('Reconciliation'!U37&lt;&gt;"OK",'Reconciliation'!U37,IF('Reconciliation'!Q37&lt;&gt;"OK",'Reconciliation'!Q37,IF('Reconciliation'!R37&lt;&gt;"OK",'Reconciliation'!R37,IF('Reconciliation'!S37&lt;&gt;"OK",'Reconciliation'!S37,IF('Reconciliation'!O37&lt;&gt;"OK",'Reconciliation'!O37,IF('Reconciliation'!P37&lt;&gt;"OK",'Reconciliation'!P37,IF('Reconciliation'!T37&lt;&gt;"OK",'Reconciliation'!T37,IF('Reconciliation'!L37&lt;0,"Stock Shortage",IF('Reconciliation'!L37&gt;0,"Stock Overage",'Reconciliation'!V37)))))))))</x:f>
        <x:v>Stock Overage</x:v>
      </x:c>
      <x:c r="K26" s="410" t="str">
        <x:f>'Reconciliation'!Y37</x:f>
        <x:v>Investigate overage and record a written resolution</x:v>
      </x:c>
      <x:c r="L26" s="401" t="str">
        <x:v>Medium</x:v>
      </x:c>
      <x:c r="M26" s="401" t="str">
        <x:v>Inventory Admin</x:v>
      </x:c>
      <x:c r="N26" s="401" t="str">
        <x:v>Open</x:v>
      </x:c>
      <x:c r="O26" s="425" t="n">
        <x:f>DATE(2026,8,17)+IF(L26="High",1,3)</x:f>
        <x:v>46254</x:v>
      </x:c>
      <x:c r="P26" s="413" t="str"/>
      <x:c r="Q26" s="395" t="str">
        <x:f>IF(TRIM('Raw Inventory'!K37)="","",'Raw Inventory'!K37)</x:f>
        <x:v>CNT-2026-034</x:v>
      </x:c>
      <x:c r="R26" s="427"/>
      <x:c r="S26"/>
    </x:row>
    <x:row r="27" ht="15" hidden="0" customHeight="1">
      <x:c r="A27" s="392" t="str">
        <x:f>"CASE-"&amp;TEXT(ROW()-3,"000")</x:f>
        <x:v>CASE-024</x:v>
      </x:c>
      <x:c r="B27" s="395" t="n">
        <x:f>'Reconciliation'!A38</x:f>
        <x:v>38</x:v>
      </x:c>
      <x:c r="C27" s="395" t="str">
        <x:f>'Reconciliation'!C38</x:f>
        <x:v>SKU-0035</x:v>
      </x:c>
      <x:c r="D27" s="395" t="str">
        <x:f>'Reconciliation'!E38</x:f>
        <x:v>Water Bottle B</x:v>
      </x:c>
      <x:c r="E27" s="395" t="str">
        <x:f>'Reconciliation'!G38</x:f>
        <x:v>SBY-A</x:v>
      </x:c>
      <x:c r="F27" s="398" t="n">
        <x:f>'Reconciliation'!L38</x:f>
        <x:v>-4</x:v>
      </x:c>
      <x:c r="G27" s="404" t="n">
        <x:f>'Reconciliation'!N38</x:f>
        <x:v>-152</x:v>
      </x:c>
      <x:c r="H27" s="398" t="str">
        <x:f>'Reconciliation'!X38</x:f>
        <x:v>Review</x:v>
      </x:c>
      <x:c r="I27" s="398" t="n">
        <x:f>'Reconciliation'!W38</x:f>
        <x:v>1</x:v>
      </x:c>
      <x:c r="J27" s="398" t="str">
        <x:f>IF('Reconciliation'!U38&lt;&gt;"OK",'Reconciliation'!U38,IF('Reconciliation'!Q38&lt;&gt;"OK",'Reconciliation'!Q38,IF('Reconciliation'!R38&lt;&gt;"OK",'Reconciliation'!R38,IF('Reconciliation'!S38&lt;&gt;"OK",'Reconciliation'!S38,IF('Reconciliation'!O38&lt;&gt;"OK",'Reconciliation'!O38,IF('Reconciliation'!P38&lt;&gt;"OK",'Reconciliation'!P38,IF('Reconciliation'!T38&lt;&gt;"OK",'Reconciliation'!T38,IF('Reconciliation'!L38&lt;0,"Stock Shortage",IF('Reconciliation'!L38&gt;0,"Stock Overage",'Reconciliation'!V38)))))))))</x:f>
        <x:v>Stock Shortage</x:v>
      </x:c>
      <x:c r="K27" s="410" t="str">
        <x:f>'Reconciliation'!Y38</x:f>
        <x:v>Investigate shortage and record a written resolution</x:v>
      </x:c>
      <x:c r="L27" s="401" t="str">
        <x:v>Medium</x:v>
      </x:c>
      <x:c r="M27" s="401" t="str">
        <x:v>Inventory Admin</x:v>
      </x:c>
      <x:c r="N27" s="401" t="str">
        <x:v>Open</x:v>
      </x:c>
      <x:c r="O27" s="425" t="n">
        <x:f>DATE(2026,8,17)+IF(L27="High",1,3)</x:f>
        <x:v>46254</x:v>
      </x:c>
      <x:c r="P27" s="413" t="str"/>
      <x:c r="Q27" s="395" t="str">
        <x:f>IF(TRIM('Raw Inventory'!K38)="","",'Raw Inventory'!K38)</x:f>
        <x:v>CNT-2026-035</x:v>
      </x:c>
      <x:c r="R27" s="427"/>
      <x:c r="S27"/>
    </x:row>
    <x:row r="28" ht="15" hidden="0" customHeight="1">
      <x:c r="A28" s="392" t="str">
        <x:f>"CASE-"&amp;TEXT(ROW()-3,"000")</x:f>
        <x:v>CASE-025</x:v>
      </x:c>
      <x:c r="B28" s="395" t="n">
        <x:f>'Reconciliation'!A39</x:f>
        <x:v>39</x:v>
      </x:c>
      <x:c r="C28" s="395" t="str">
        <x:f>'Reconciliation'!C39</x:f>
        <x:v>SKU-0036</x:v>
      </x:c>
      <x:c r="D28" s="395" t="str">
        <x:f>'Reconciliation'!E39</x:f>
        <x:v>Foam Roller C</x:v>
      </x:c>
      <x:c r="E28" s="395" t="str">
        <x:f>'Reconciliation'!G39</x:f>
        <x:v>BDG-A</x:v>
      </x:c>
      <x:c r="F28" s="398" t="n">
        <x:f>'Reconciliation'!L39</x:f>
        <x:v>-2</x:v>
      </x:c>
      <x:c r="G28" s="404" t="n">
        <x:f>'Reconciliation'!N39</x:f>
        <x:v>-90</x:v>
      </x:c>
      <x:c r="H28" s="398" t="str">
        <x:f>'Reconciliation'!X39</x:f>
        <x:v>Review</x:v>
      </x:c>
      <x:c r="I28" s="398" t="n">
        <x:f>'Reconciliation'!W39</x:f>
        <x:v>2</x:v>
      </x:c>
      <x:c r="J28" s="398" t="str">
        <x:f>IF('Reconciliation'!U39&lt;&gt;"OK",'Reconciliation'!U39,IF('Reconciliation'!Q39&lt;&gt;"OK",'Reconciliation'!Q39,IF('Reconciliation'!R39&lt;&gt;"OK",'Reconciliation'!R39,IF('Reconciliation'!S39&lt;&gt;"OK",'Reconciliation'!S39,IF('Reconciliation'!O39&lt;&gt;"OK",'Reconciliation'!O39,IF('Reconciliation'!P39&lt;&gt;"OK",'Reconciliation'!P39,IF('Reconciliation'!T39&lt;&gt;"OK",'Reconciliation'!T39,IF('Reconciliation'!L39&lt;0,"Stock Shortage",IF('Reconciliation'!L39&gt;0,"Stock Overage",'Reconciliation'!V39)))))))))</x:f>
        <x:v>Missing Evidence</x:v>
      </x:c>
      <x:c r="K28" s="410" t="str">
        <x:f>'Reconciliation'!Y39</x:f>
        <x:v>Attach the count-sheet reference</x:v>
      </x:c>
      <x:c r="L28" s="401" t="str">
        <x:v>Medium</x:v>
      </x:c>
      <x:c r="M28" s="401" t="str">
        <x:v>Inventory Admin</x:v>
      </x:c>
      <x:c r="N28" s="401" t="str">
        <x:v>Open</x:v>
      </x:c>
      <x:c r="O28" s="425" t="n">
        <x:f>DATE(2026,8,17)+IF(L28="High",1,3)</x:f>
        <x:v>46254</x:v>
      </x:c>
      <x:c r="P28" s="413" t="str"/>
      <x:c r="Q28" s="395" t="str">
        <x:f>IF(TRIM('Raw Inventory'!K39)="","",'Raw Inventory'!K39)</x:f>
      </x:c>
      <x:c r="R28" s="427"/>
      <x:c r="S28"/>
    </x:row>
    <x:row r="29" ht="15" hidden="0" customHeight="1">
      <x:c r="A29" s="392" t="str">
        <x:f>"CASE-"&amp;TEXT(ROW()-3,"000")</x:f>
        <x:v>CASE-026</x:v>
      </x:c>
      <x:c r="B29" s="395" t="n">
        <x:f>'Reconciliation'!A43</x:f>
        <x:v>43</x:v>
      </x:c>
      <x:c r="C29" s="395" t="str">
        <x:f>'Reconciliation'!C43</x:f>
        <x:v>SKU-0040</x:v>
      </x:c>
      <x:c r="D29" s="395" t="str">
        <x:f>'Reconciliation'!E43</x:f>
        <x:v>Jump Rope A</x:v>
      </x:c>
      <x:c r="E29" s="395" t="str">
        <x:f>'Reconciliation'!G43</x:f>
        <x:v>BDG-A</x:v>
      </x:c>
      <x:c r="F29" s="398" t="n">
        <x:f>'Reconciliation'!L43</x:f>
        <x:v>1</x:v>
      </x:c>
      <x:c r="G29" s="404" t="n">
        <x:f>'Reconciliation'!N43</x:f>
        <x:v>73</x:v>
      </x:c>
      <x:c r="H29" s="398" t="str">
        <x:f>'Reconciliation'!X43</x:f>
        <x:v>Review</x:v>
      </x:c>
      <x:c r="I29" s="398" t="n">
        <x:f>'Reconciliation'!W43</x:f>
        <x:v>1</x:v>
      </x:c>
      <x:c r="J29" s="398" t="str">
        <x:f>IF('Reconciliation'!U43&lt;&gt;"OK",'Reconciliation'!U43,IF('Reconciliation'!Q43&lt;&gt;"OK",'Reconciliation'!Q43,IF('Reconciliation'!R43&lt;&gt;"OK",'Reconciliation'!R43,IF('Reconciliation'!S43&lt;&gt;"OK",'Reconciliation'!S43,IF('Reconciliation'!O43&lt;&gt;"OK",'Reconciliation'!O43,IF('Reconciliation'!P43&lt;&gt;"OK",'Reconciliation'!P43,IF('Reconciliation'!T43&lt;&gt;"OK",'Reconciliation'!T43,IF('Reconciliation'!L43&lt;0,"Stock Shortage",IF('Reconciliation'!L43&gt;0,"Stock Overage",'Reconciliation'!V43)))))))))</x:f>
        <x:v>Stock Overage</x:v>
      </x:c>
      <x:c r="K29" s="410" t="str">
        <x:f>'Reconciliation'!Y43</x:f>
        <x:v>Investigate overage and record a written resolution</x:v>
      </x:c>
      <x:c r="L29" s="401" t="str">
        <x:v>Medium</x:v>
      </x:c>
      <x:c r="M29" s="401" t="str">
        <x:v>Inventory Admin</x:v>
      </x:c>
      <x:c r="N29" s="401" t="str">
        <x:v>Open</x:v>
      </x:c>
      <x:c r="O29" s="425" t="n">
        <x:f>DATE(2026,8,17)+IF(L29="High",1,3)</x:f>
        <x:v>46254</x:v>
      </x:c>
      <x:c r="P29" s="413" t="str"/>
      <x:c r="Q29" s="395" t="str">
        <x:f>IF(TRIM('Raw Inventory'!K43)="","",'Raw Inventory'!K43)</x:f>
        <x:v>CNT-2026-040</x:v>
      </x:c>
      <x:c r="R29" s="427"/>
      <x:c r="S29"/>
    </x:row>
    <x:row r="30" ht="15" hidden="0" customHeight="1">
      <x:c r="A30" s="392" t="str">
        <x:f>"CASE-"&amp;TEXT(ROW()-3,"000")</x:f>
        <x:v>CASE-027</x:v>
      </x:c>
      <x:c r="B30" s="395" t="n">
        <x:f>'Reconciliation'!A44</x:f>
        <x:v>44</x:v>
      </x:c>
      <x:c r="C30" s="395" t="str">
        <x:f>'Reconciliation'!C44</x:f>
        <x:v>SKU-0041</x:v>
      </x:c>
      <x:c r="D30" s="395" t="str">
        <x:f>'Reconciliation'!E44</x:f>
        <x:v>Stride Runner B</x:v>
      </x:c>
      <x:c r="E30" s="395" t="str">
        <x:f>'Reconciliation'!G44</x:f>
        <x:v>JKT-A</x:v>
      </x:c>
      <x:c r="F30" s="398" t="n">
        <x:f>'Reconciliation'!L44</x:f>
        <x:v>3</x:v>
      </x:c>
      <x:c r="G30" s="404" t="n">
        <x:f>'Reconciliation'!N44</x:f>
        <x:v>240</x:v>
      </x:c>
      <x:c r="H30" s="398" t="str">
        <x:f>'Reconciliation'!X44</x:f>
        <x:v>High Priority Review</x:v>
      </x:c>
      <x:c r="I30" s="398" t="n">
        <x:f>'Reconciliation'!W44</x:f>
        <x:v>2</x:v>
      </x:c>
      <x:c r="J30" s="398" t="str">
        <x:f>IF('Reconciliation'!U44&lt;&gt;"OK",'Reconciliation'!U44,IF('Reconciliation'!Q44&lt;&gt;"OK",'Reconciliation'!Q44,IF('Reconciliation'!R44&lt;&gt;"OK",'Reconciliation'!R44,IF('Reconciliation'!S44&lt;&gt;"OK",'Reconciliation'!S44,IF('Reconciliation'!O44&lt;&gt;"OK",'Reconciliation'!O44,IF('Reconciliation'!P44&lt;&gt;"OK",'Reconciliation'!P44,IF('Reconciliation'!T44&lt;&gt;"OK",'Reconciliation'!T44,IF('Reconciliation'!L44&lt;0,"Stock Shortage",IF('Reconciliation'!L44&gt;0,"Stock Overage",'Reconciliation'!V44)))))))))</x:f>
        <x:v>Duplicate SKU</x:v>
      </x:c>
      <x:c r="K30" s="410" t="str">
        <x:f>'Reconciliation'!Y44</x:f>
        <x:v>Compare duplicate rows with the approved stock source</x:v>
      </x:c>
      <x:c r="L30" s="401" t="str">
        <x:v>High</x:v>
      </x:c>
      <x:c r="M30" s="401" t="str">
        <x:v>Inventory Admin</x:v>
      </x:c>
      <x:c r="N30" s="401" t="str">
        <x:v>Open</x:v>
      </x:c>
      <x:c r="O30" s="425" t="n">
        <x:f>DATE(2026,8,17)+IF(L30="High",1,3)</x:f>
        <x:v>46252</x:v>
      </x:c>
      <x:c r="P30" s="413" t="str"/>
      <x:c r="Q30" s="395" t="str">
        <x:f>IF(TRIM('Raw Inventory'!K44)="","",'Raw Inventory'!K44)</x:f>
        <x:v>CNT-2026-041</x:v>
      </x:c>
      <x:c r="R30" s="427"/>
      <x:c r="S30"/>
    </x:row>
    <x:row r="31" ht="15" hidden="0" customHeight="1">
      <x:c r="A31" s="392" t="str">
        <x:f>"CASE-"&amp;TEXT(ROW()-3,"000")</x:f>
        <x:v>CASE-028</x:v>
      </x:c>
      <x:c r="B31" s="395" t="n">
        <x:f>'Reconciliation'!A45</x:f>
        <x:v>45</x:v>
      </x:c>
      <x:c r="C31" s="395" t="str">
        <x:f>'Reconciliation'!C45</x:f>
        <x:v>SKU-0041</x:v>
      </x:c>
      <x:c r="D31" s="395" t="str">
        <x:f>'Reconciliation'!E45</x:f>
        <x:v>Core Tee C</x:v>
      </x:c>
      <x:c r="E31" s="395" t="str">
        <x:f>'Reconciliation'!G45</x:f>
        <x:v>JKT-B</x:v>
      </x:c>
      <x:c r="F31" s="398" t="n">
        <x:f>'Reconciliation'!L45</x:f>
        <x:v>-4</x:v>
      </x:c>
      <x:c r="G31" s="404" t="n">
        <x:f>'Reconciliation'!N45</x:f>
        <x:v>-56</x:v>
      </x:c>
      <x:c r="H31" s="398" t="str">
        <x:f>'Reconciliation'!X45</x:f>
        <x:v>High Priority Review</x:v>
      </x:c>
      <x:c r="I31" s="398" t="n">
        <x:f>'Reconciliation'!W45</x:f>
        <x:v>2</x:v>
      </x:c>
      <x:c r="J31" s="398" t="str">
        <x:f>IF('Reconciliation'!U45&lt;&gt;"OK",'Reconciliation'!U45,IF('Reconciliation'!Q45&lt;&gt;"OK",'Reconciliation'!Q45,IF('Reconciliation'!R45&lt;&gt;"OK",'Reconciliation'!R45,IF('Reconciliation'!S45&lt;&gt;"OK",'Reconciliation'!S45,IF('Reconciliation'!O45&lt;&gt;"OK",'Reconciliation'!O45,IF('Reconciliation'!P45&lt;&gt;"OK",'Reconciliation'!P45,IF('Reconciliation'!T45&lt;&gt;"OK",'Reconciliation'!T45,IF('Reconciliation'!L45&lt;0,"Stock Shortage",IF('Reconciliation'!L45&gt;0,"Stock Overage",'Reconciliation'!V45)))))))))</x:f>
        <x:v>Duplicate SKU</x:v>
      </x:c>
      <x:c r="K31" s="410" t="str">
        <x:f>'Reconciliation'!Y45</x:f>
        <x:v>Compare duplicate rows with the approved stock source</x:v>
      </x:c>
      <x:c r="L31" s="401" t="str">
        <x:v>High</x:v>
      </x:c>
      <x:c r="M31" s="401" t="str">
        <x:v>Inventory Admin</x:v>
      </x:c>
      <x:c r="N31" s="401" t="str">
        <x:v>Open</x:v>
      </x:c>
      <x:c r="O31" s="425" t="n">
        <x:f>DATE(2026,8,17)+IF(L31="High",1,3)</x:f>
        <x:v>46252</x:v>
      </x:c>
      <x:c r="P31" s="413" t="str"/>
      <x:c r="Q31" s="395" t="str">
        <x:f>IF(TRIM('Raw Inventory'!K45)="","",'Raw Inventory'!K45)</x:f>
        <x:v>CNT-2026-042</x:v>
      </x:c>
      <x:c r="R31" s="427"/>
      <x:c r="S31"/>
    </x:row>
    <x:row r="32" ht="15" hidden="0" customHeight="1">
      <x:c r="A32" s="392" t="str">
        <x:f>"CASE-"&amp;TEXT(ROW()-3,"000")</x:f>
        <x:v>CASE-029</x:v>
      </x:c>
      <x:c r="B32" s="395" t="n">
        <x:f>'Reconciliation'!A46</x:f>
        <x:v>46</x:v>
      </x:c>
      <x:c r="C32" s="395" t="str">
        <x:f>'Reconciliation'!C46</x:f>
        <x:v>SKU-0043</x:v>
      </x:c>
      <x:c r="D32" s="395" t="str">
        <x:f>'Reconciliation'!E46</x:f>
        <x:v>Sport Cap A</x:v>
      </x:c>
      <x:c r="E32" s="395" t="str">
        <x:f>'Reconciliation'!G46</x:f>
        <x:v>SBY-A</x:v>
      </x:c>
      <x:c r="F32" s="398" t="n">
        <x:f>'Reconciliation'!L46</x:f>
        <x:v>-2</x:v>
      </x:c>
      <x:c r="G32" s="404" t="n">
        <x:f>'Reconciliation'!N46</x:f>
        <x:v>-42</x:v>
      </x:c>
      <x:c r="H32" s="398" t="str">
        <x:f>'Reconciliation'!X46</x:f>
        <x:v>Review</x:v>
      </x:c>
      <x:c r="I32" s="398" t="n">
        <x:f>'Reconciliation'!W46</x:f>
        <x:v>1</x:v>
      </x:c>
      <x:c r="J32" s="398" t="str">
        <x:f>IF('Reconciliation'!U46&lt;&gt;"OK",'Reconciliation'!U46,IF('Reconciliation'!Q46&lt;&gt;"OK",'Reconciliation'!Q46,IF('Reconciliation'!R46&lt;&gt;"OK",'Reconciliation'!R46,IF('Reconciliation'!S46&lt;&gt;"OK",'Reconciliation'!S46,IF('Reconciliation'!O46&lt;&gt;"OK",'Reconciliation'!O46,IF('Reconciliation'!P46&lt;&gt;"OK",'Reconciliation'!P46,IF('Reconciliation'!T46&lt;&gt;"OK",'Reconciliation'!T46,IF('Reconciliation'!L46&lt;0,"Stock Shortage",IF('Reconciliation'!L46&gt;0,"Stock Overage",'Reconciliation'!V46)))))))))</x:f>
        <x:v>Stock Shortage</x:v>
      </x:c>
      <x:c r="K32" s="410" t="str">
        <x:f>'Reconciliation'!Y46</x:f>
        <x:v>Investigate shortage and record a written resolution</x:v>
      </x:c>
      <x:c r="L32" s="401" t="str">
        <x:v>Medium</x:v>
      </x:c>
      <x:c r="M32" s="401" t="str">
        <x:v>Inventory Admin</x:v>
      </x:c>
      <x:c r="N32" s="401" t="str">
        <x:v>Open</x:v>
      </x:c>
      <x:c r="O32" s="425" t="n">
        <x:f>DATE(2026,8,17)+IF(L32="High",1,3)</x:f>
        <x:v>46254</x:v>
      </x:c>
      <x:c r="P32" s="413" t="str"/>
      <x:c r="Q32" s="395" t="str">
        <x:f>IF(TRIM('Raw Inventory'!K46)="","",'Raw Inventory'!K46)</x:f>
        <x:v>CNT-2026-043</x:v>
      </x:c>
      <x:c r="R32" s="427"/>
      <x:c r="S32"/>
    </x:row>
    <x:row r="33" ht="15" hidden="0" customHeight="1">
      <x:c r="A33" s="392" t="str">
        <x:f>"CASE-"&amp;TEXT(ROW()-3,"000")</x:f>
        <x:v>CASE-030</x:v>
      </x:c>
      <x:c r="B33" s="395" t="n">
        <x:f>'Reconciliation'!A48</x:f>
        <x:v>48</x:v>
      </x:c>
      <x:c r="C33" s="395" t="str">
        <x:f>'Reconciliation'!C48</x:f>
        <x:v>SKU-0045</x:v>
      </x:c>
      <x:c r="D33" s="395" t="str">
        <x:f>'Reconciliation'!E48</x:f>
        <x:v>Court Classic C</x:v>
      </x:c>
      <x:c r="E33" s="395" t="str">
        <x:f>'Reconciliation'!G48</x:f>
        <x:v>JKT-A</x:v>
      </x:c>
      <x:c r="F33" s="398" t="n">
        <x:f>'Reconciliation'!L48</x:f>
        <x:v>0</x:v>
      </x:c>
      <x:c r="G33" s="404" t="n">
        <x:f>'Reconciliation'!N48</x:f>
        <x:v>0</x:v>
      </x:c>
      <x:c r="H33" s="398" t="str">
        <x:f>'Reconciliation'!X48</x:f>
        <x:v>Review</x:v>
      </x:c>
      <x:c r="I33" s="398" t="n">
        <x:f>'Reconciliation'!W48</x:f>
        <x:v>1</x:v>
      </x:c>
      <x:c r="J33" s="398" t="str">
        <x:f>IF('Reconciliation'!U48&lt;&gt;"OK",'Reconciliation'!U48,IF('Reconciliation'!Q48&lt;&gt;"OK",'Reconciliation'!Q48,IF('Reconciliation'!R48&lt;&gt;"OK",'Reconciliation'!R48,IF('Reconciliation'!S48&lt;&gt;"OK",'Reconciliation'!S48,IF('Reconciliation'!O48&lt;&gt;"OK",'Reconciliation'!O48,IF('Reconciliation'!P48&lt;&gt;"OK",'Reconciliation'!P48,IF('Reconciliation'!T48&lt;&gt;"OK",'Reconciliation'!T48,IF('Reconciliation'!L48&lt;0,"Stock Shortage",IF('Reconciliation'!L48&gt;0,"Stock Overage",'Reconciliation'!V48)))))))))</x:f>
        <x:v>Low Stock</x:v>
      </x:c>
      <x:c r="K33" s="410" t="str">
        <x:f>'Reconciliation'!Y48</x:f>
        <x:v>Create a written replenishment request</x:v>
      </x:c>
      <x:c r="L33" s="401" t="str">
        <x:v>Medium</x:v>
      </x:c>
      <x:c r="M33" s="401" t="str">
        <x:v>Inventory Admin</x:v>
      </x:c>
      <x:c r="N33" s="401" t="str">
        <x:v>Open</x:v>
      </x:c>
      <x:c r="O33" s="425" t="n">
        <x:f>DATE(2026,8,17)+IF(L33="High",1,3)</x:f>
        <x:v>46254</x:v>
      </x:c>
      <x:c r="P33" s="413" t="str"/>
      <x:c r="Q33" s="395" t="str">
        <x:f>IF(TRIM('Raw Inventory'!K48)="","",'Raw Inventory'!K48)</x:f>
        <x:v>CNT-2026-045</x:v>
      </x:c>
      <x:c r="R33" s="427"/>
      <x:c r="S33"/>
    </x:row>
    <x:row r="34" ht="15" hidden="0" customHeight="1">
      <x:c r="A34" s="392" t="str">
        <x:f>"CASE-"&amp;TEXT(ROW()-3,"000")</x:f>
        <x:v>CASE-031</x:v>
      </x:c>
      <x:c r="B34" s="395" t="n">
        <x:f>'Reconciliation'!A50</x:f>
        <x:v>50</x:v>
      </x:c>
      <x:c r="C34" s="395" t="str">
        <x:f>'Reconciliation'!C50</x:f>
        <x:v>SKU-0047</x:v>
      </x:c>
      <x:c r="D34" s="395" t="str">
        <x:f>'Reconciliation'!E50</x:f>
        <x:v>Gym Bag B</x:v>
      </x:c>
      <x:c r="E34" s="395" t="str">
        <x:f>'Reconciliation'!G50</x:f>
        <x:v>SBY-A</x:v>
      </x:c>
      <x:c r="F34" s="398" t="n">
        <x:f>'Reconciliation'!L50</x:f>
        <x:v>1</x:v>
      </x:c>
      <x:c r="G34" s="404" t="n">
        <x:f>'Reconciliation'!N50</x:f>
        <x:v>49</x:v>
      </x:c>
      <x:c r="H34" s="398" t="str">
        <x:f>'Reconciliation'!X50</x:f>
        <x:v>Review</x:v>
      </x:c>
      <x:c r="I34" s="398" t="n">
        <x:f>'Reconciliation'!W50</x:f>
        <x:v>1</x:v>
      </x:c>
      <x:c r="J34" s="398" t="str">
        <x:f>IF('Reconciliation'!U50&lt;&gt;"OK",'Reconciliation'!U50,IF('Reconciliation'!Q50&lt;&gt;"OK",'Reconciliation'!Q50,IF('Reconciliation'!R50&lt;&gt;"OK",'Reconciliation'!R50,IF('Reconciliation'!S50&lt;&gt;"OK",'Reconciliation'!S50,IF('Reconciliation'!O50&lt;&gt;"OK",'Reconciliation'!O50,IF('Reconciliation'!P50&lt;&gt;"OK",'Reconciliation'!P50,IF('Reconciliation'!T50&lt;&gt;"OK",'Reconciliation'!T50,IF('Reconciliation'!L50&lt;0,"Stock Shortage",IF('Reconciliation'!L50&gt;0,"Stock Overage",'Reconciliation'!V50)))))))))</x:f>
        <x:v>Stock Overage</x:v>
      </x:c>
      <x:c r="K34" s="410" t="str">
        <x:f>'Reconciliation'!Y50</x:f>
        <x:v>Investigate overage and record a written resolution</x:v>
      </x:c>
      <x:c r="L34" s="401" t="str">
        <x:v>Medium</x:v>
      </x:c>
      <x:c r="M34" s="401" t="str">
        <x:v>Inventory Admin</x:v>
      </x:c>
      <x:c r="N34" s="401" t="str">
        <x:v>Open</x:v>
      </x:c>
      <x:c r="O34" s="425" t="n">
        <x:f>DATE(2026,8,17)+IF(L34="High",1,3)</x:f>
        <x:v>46254</x:v>
      </x:c>
      <x:c r="P34" s="413" t="str"/>
      <x:c r="Q34" s="395" t="str">
        <x:f>IF(TRIM('Raw Inventory'!K50)="","",'Raw Inventory'!K50)</x:f>
        <x:v>CNT-2026-047</x:v>
      </x:c>
      <x:c r="R34" s="427"/>
      <x:c r="S34"/>
    </x:row>
    <x:row r="35" ht="15" hidden="0" customHeight="1">
      <x:c r="A35" s="392" t="str">
        <x:f>"CASE-"&amp;TEXT(ROW()-3,"000")</x:f>
        <x:v>CASE-032</x:v>
      </x:c>
      <x:c r="B35" s="395" t="n">
        <x:f>'Reconciliation'!A51</x:f>
        <x:v>51</x:v>
      </x:c>
      <x:c r="C35" s="395" t="str">
        <x:f>'Reconciliation'!C51</x:f>
        <x:v>SKU-0048</x:v>
      </x:c>
      <x:c r="D35" s="395" t="str">
        <x:f>'Reconciliation'!E51</x:f>
        <x:v>Resistance Band C</x:v>
      </x:c>
      <x:c r="E35" s="395" t="str">
        <x:f>'Reconciliation'!G51</x:f>
        <x:v>BDG-A</x:v>
      </x:c>
      <x:c r="F35" s="398" t="n">
        <x:f>'Reconciliation'!L51</x:f>
        <x:v>3</x:v>
      </x:c>
      <x:c r="G35" s="404" t="n">
        <x:f>'Reconciliation'!N51</x:f>
        <x:v>168</x:v>
      </x:c>
      <x:c r="H35" s="398" t="str">
        <x:f>'Reconciliation'!X51</x:f>
        <x:v>Review</x:v>
      </x:c>
      <x:c r="I35" s="398" t="n">
        <x:f>'Reconciliation'!W51</x:f>
        <x:v>1</x:v>
      </x:c>
      <x:c r="J35" s="398" t="str">
        <x:f>IF('Reconciliation'!U51&lt;&gt;"OK",'Reconciliation'!U51,IF('Reconciliation'!Q51&lt;&gt;"OK",'Reconciliation'!Q51,IF('Reconciliation'!R51&lt;&gt;"OK",'Reconciliation'!R51,IF('Reconciliation'!S51&lt;&gt;"OK",'Reconciliation'!S51,IF('Reconciliation'!O51&lt;&gt;"OK",'Reconciliation'!O51,IF('Reconciliation'!P51&lt;&gt;"OK",'Reconciliation'!P51,IF('Reconciliation'!T51&lt;&gt;"OK",'Reconciliation'!T51,IF('Reconciliation'!L51&lt;0,"Stock Shortage",IF('Reconciliation'!L51&gt;0,"Stock Overage",'Reconciliation'!V51)))))))))</x:f>
        <x:v>Stock Overage</x:v>
      </x:c>
      <x:c r="K35" s="410" t="str">
        <x:f>'Reconciliation'!Y51</x:f>
        <x:v>Investigate overage and record a written resolution</x:v>
      </x:c>
      <x:c r="L35" s="401" t="str">
        <x:v>Medium</x:v>
      </x:c>
      <x:c r="M35" s="401" t="str">
        <x:v>Inventory Admin</x:v>
      </x:c>
      <x:c r="N35" s="401" t="str">
        <x:v>Open</x:v>
      </x:c>
      <x:c r="O35" s="425" t="n">
        <x:f>DATE(2026,8,17)+IF(L35="High",1,3)</x:f>
        <x:v>46254</x:v>
      </x:c>
      <x:c r="P35" s="413" t="str"/>
      <x:c r="Q35" s="395" t="str">
        <x:f>IF(TRIM('Raw Inventory'!K51)="","",'Raw Inventory'!K51)</x:f>
        <x:v>CNT-2026-048</x:v>
      </x:c>
      <x:c r="R35" s="427"/>
      <x:c r="S35"/>
    </x:row>
    <x:row r="36" ht="15" hidden="0" customHeight="1">
      <x:c r="A36" s="392" t="str">
        <x:f>"CASE-"&amp;TEXT(ROW()-3,"000")</x:f>
        <x:v>CASE-033</x:v>
      </x:c>
      <x:c r="B36" s="395" t="n">
        <x:f>'Reconciliation'!A52</x:f>
        <x:v>52</x:v>
      </x:c>
      <x:c r="C36" s="395" t="str">
        <x:f>'Reconciliation'!C52</x:f>
        <x:v>SKU-0049</x:v>
      </x:c>
      <x:c r="D36" s="395" t="str">
        <x:f>'Reconciliation'!E52</x:f>
        <x:v>Trail Motion A</x:v>
      </x:c>
      <x:c r="E36" s="395" t="str">
        <x:f>'Reconciliation'!G52</x:f>
        <x:v>JKT-A</x:v>
      </x:c>
      <x:c r="F36" s="398" t="n">
        <x:f>'Reconciliation'!L52</x:f>
        <x:v>0</x:v>
      </x:c>
      <x:c r="G36" s="404" t="n">
        <x:f>'Reconciliation'!N52</x:f>
        <x:v>0</x:v>
      </x:c>
      <x:c r="H36" s="398" t="str">
        <x:f>'Reconciliation'!X52</x:f>
        <x:v>High Priority Review</x:v>
      </x:c>
      <x:c r="I36" s="398" t="n">
        <x:f>'Reconciliation'!W52</x:f>
        <x:v>1</x:v>
      </x:c>
      <x:c r="J36" s="398" t="str">
        <x:f>IF('Reconciliation'!U52&lt;&gt;"OK",'Reconciliation'!U52,IF('Reconciliation'!Q52&lt;&gt;"OK",'Reconciliation'!Q52,IF('Reconciliation'!R52&lt;&gt;"OK",'Reconciliation'!R52,IF('Reconciliation'!S52&lt;&gt;"OK",'Reconciliation'!S52,IF('Reconciliation'!O52&lt;&gt;"OK",'Reconciliation'!O52,IF('Reconciliation'!P52&lt;&gt;"OK",'Reconciliation'!P52,IF('Reconciliation'!T52&lt;&gt;"OK",'Reconciliation'!T52,IF('Reconciliation'!L52&lt;0,"Stock Shortage",IF('Reconciliation'!L52&gt;0,"Stock Overage",'Reconciliation'!V52)))))))))</x:f>
        <x:v>Missing Physical Qty</x:v>
      </x:c>
      <x:c r="K36" s="410" t="str">
        <x:f>'Reconciliation'!Y52</x:f>
        <x:v>Correct the source field and document the evidence</x:v>
      </x:c>
      <x:c r="L36" s="401" t="str">
        <x:v>High</x:v>
      </x:c>
      <x:c r="M36" s="401" t="str">
        <x:v>Inventory Admin</x:v>
      </x:c>
      <x:c r="N36" s="401" t="str">
        <x:v>Open</x:v>
      </x:c>
      <x:c r="O36" s="425" t="n">
        <x:f>DATE(2026,8,17)+IF(L36="High",1,3)</x:f>
        <x:v>46252</x:v>
      </x:c>
      <x:c r="P36" s="413" t="str"/>
      <x:c r="Q36" s="395" t="str">
        <x:f>IF(TRIM('Raw Inventory'!K52)="","",'Raw Inventory'!K52)</x:f>
        <x:v>CNT-2026-049</x:v>
      </x:c>
      <x:c r="R36" s="427"/>
      <x:c r="S36"/>
    </x:row>
    <x:row r="37" ht="15" hidden="0" customHeight="1">
      <x:c r="A37" s="392" t="str">
        <x:f>"CASE-"&amp;TEXT(ROW()-3,"000")</x:f>
        <x:v>CASE-034</x:v>
      </x:c>
      <x:c r="B37" s="395" t="n">
        <x:f>'Reconciliation'!A53</x:f>
        <x:v>53</x:v>
      </x:c>
      <x:c r="C37" s="395" t="str">
        <x:f>'Reconciliation'!C53</x:f>
        <x:v>SKU-0050</x:v>
      </x:c>
      <x:c r="D37" s="395" t="str">
        <x:f>'Reconciliation'!E53</x:f>
        <x:v>Training Jacket B</x:v>
      </x:c>
      <x:c r="E37" s="395" t="str">
        <x:f>'Reconciliation'!G53</x:f>
        <x:v>JKT-B</x:v>
      </x:c>
      <x:c r="F37" s="398" t="n">
        <x:f>'Reconciliation'!L53</x:f>
        <x:v>-2</x:v>
      </x:c>
      <x:c r="G37" s="404" t="n">
        <x:f>'Reconciliation'!N53</x:f>
        <x:v>-140</x:v>
      </x:c>
      <x:c r="H37" s="398" t="str">
        <x:f>'Reconciliation'!X53</x:f>
        <x:v>Review</x:v>
      </x:c>
      <x:c r="I37" s="398" t="n">
        <x:f>'Reconciliation'!W53</x:f>
        <x:v>1</x:v>
      </x:c>
      <x:c r="J37" s="398" t="str">
        <x:f>IF('Reconciliation'!U53&lt;&gt;"OK",'Reconciliation'!U53,IF('Reconciliation'!Q53&lt;&gt;"OK",'Reconciliation'!Q53,IF('Reconciliation'!R53&lt;&gt;"OK",'Reconciliation'!R53,IF('Reconciliation'!S53&lt;&gt;"OK",'Reconciliation'!S53,IF('Reconciliation'!O53&lt;&gt;"OK",'Reconciliation'!O53,IF('Reconciliation'!P53&lt;&gt;"OK",'Reconciliation'!P53,IF('Reconciliation'!T53&lt;&gt;"OK",'Reconciliation'!T53,IF('Reconciliation'!L53&lt;0,"Stock Shortage",IF('Reconciliation'!L53&gt;0,"Stock Overage",'Reconciliation'!V53)))))))))</x:f>
        <x:v>Stock Shortage</x:v>
      </x:c>
      <x:c r="K37" s="410" t="str">
        <x:f>'Reconciliation'!Y53</x:f>
        <x:v>Investigate shortage and record a written resolution</x:v>
      </x:c>
      <x:c r="L37" s="401" t="str">
        <x:v>Medium</x:v>
      </x:c>
      <x:c r="M37" s="401" t="str">
        <x:v>Inventory Admin</x:v>
      </x:c>
      <x:c r="N37" s="401" t="str">
        <x:v>Open</x:v>
      </x:c>
      <x:c r="O37" s="425" t="n">
        <x:f>DATE(2026,8,17)+IF(L37="High",1,3)</x:f>
        <x:v>46254</x:v>
      </x:c>
      <x:c r="P37" s="413" t="str"/>
      <x:c r="Q37" s="395" t="str">
        <x:f>IF(TRIM('Raw Inventory'!K53)="","",'Raw Inventory'!K53)</x:f>
        <x:v>CNT-2026-050</x:v>
      </x:c>
      <x:c r="R37" s="427"/>
      <x:c r="S37"/>
    </x:row>
    <x:row r="38" ht="15" hidden="0" customHeight="1">
      <x:c r="A38" s="392" t="str">
        <x:f>"CASE-"&amp;TEXT(ROW()-3,"000")</x:f>
        <x:v>CASE-035</x:v>
      </x:c>
      <x:c r="B38" s="395" t="n">
        <x:f>'Reconciliation'!A55</x:f>
        <x:v>55</x:v>
      </x:c>
      <x:c r="C38" s="395" t="str">
        <x:f>'Reconciliation'!C55</x:f>
        <x:v>SKU-0052</x:v>
      </x:c>
      <x:c r="D38" s="395" t="str">
        <x:f>'Reconciliation'!E55</x:f>
        <x:v>Training Cone A</x:v>
      </x:c>
      <x:c r="E38" s="395" t="str">
        <x:f>'Reconciliation'!G55</x:f>
        <x:v>BDG-A</x:v>
      </x:c>
      <x:c r="F38" s="398" t="n">
        <x:f>'Reconciliation'!L55</x:f>
        <x:v>0</x:v>
      </x:c>
      <x:c r="G38" s="404" t="n">
        <x:f>'Reconciliation'!N55</x:f>
        <x:v>0</x:v>
      </x:c>
      <x:c r="H38" s="398" t="str">
        <x:f>'Reconciliation'!X55</x:f>
        <x:v>Review</x:v>
      </x:c>
      <x:c r="I38" s="398" t="n">
        <x:f>'Reconciliation'!W55</x:f>
        <x:v>1</x:v>
      </x:c>
      <x:c r="J38" s="398" t="str">
        <x:f>IF('Reconciliation'!U55&lt;&gt;"OK",'Reconciliation'!U55,IF('Reconciliation'!Q55&lt;&gt;"OK",'Reconciliation'!Q55,IF('Reconciliation'!R55&lt;&gt;"OK",'Reconciliation'!R55,IF('Reconciliation'!S55&lt;&gt;"OK",'Reconciliation'!S55,IF('Reconciliation'!O55&lt;&gt;"OK",'Reconciliation'!O55,IF('Reconciliation'!P55&lt;&gt;"OK",'Reconciliation'!P55,IF('Reconciliation'!T55&lt;&gt;"OK",'Reconciliation'!T55,IF('Reconciliation'!L55&lt;0,"Stock Shortage",IF('Reconciliation'!L55&gt;0,"Stock Overage",'Reconciliation'!V55)))))))))</x:f>
        <x:v>Low Stock</x:v>
      </x:c>
      <x:c r="K38" s="410" t="str">
        <x:f>'Reconciliation'!Y55</x:f>
        <x:v>Create a written replenishment request</x:v>
      </x:c>
      <x:c r="L38" s="401" t="str">
        <x:v>Medium</x:v>
      </x:c>
      <x:c r="M38" s="401" t="str">
        <x:v>Inventory Admin</x:v>
      </x:c>
      <x:c r="N38" s="401" t="str">
        <x:v>Open</x:v>
      </x:c>
      <x:c r="O38" s="425" t="n">
        <x:f>DATE(2026,8,17)+IF(L38="High",1,3)</x:f>
        <x:v>46254</x:v>
      </x:c>
      <x:c r="P38" s="413" t="str"/>
      <x:c r="Q38" s="395" t="str">
        <x:f>IF(TRIM('Raw Inventory'!K55)="","",'Raw Inventory'!K55)</x:f>
        <x:v>CNT-2026-052</x:v>
      </x:c>
      <x:c r="R38" s="427"/>
      <x:c r="S38"/>
    </x:row>
    <x:row r="39" ht="15" hidden="0" customHeight="1">
      <x:c r="A39" s="392" t="str">
        <x:f>"CASE-"&amp;TEXT(ROW()-3,"000")</x:f>
        <x:v>CASE-036</x:v>
      </x:c>
      <x:c r="B39" s="395" t="n">
        <x:f>'Reconciliation'!A57</x:f>
        <x:v>57</x:v>
      </x:c>
      <x:c r="C39" s="395" t="str">
        <x:f>'Reconciliation'!C57</x:f>
        <x:v>SKU-0054</x:v>
      </x:c>
      <x:c r="D39" s="395" t="str">
        <x:f>'Reconciliation'!E57</x:f>
        <x:v>Everyday Hoodie C</x:v>
      </x:c>
      <x:c r="E39" s="395" t="str">
        <x:f>'Reconciliation'!G57</x:f>
        <x:v>JKT-B</x:v>
      </x:c>
      <x:c r="F39" s="398" t="n">
        <x:f>'Reconciliation'!L57</x:f>
        <x:v>1</x:v>
      </x:c>
      <x:c r="G39" s="404" t="n">
        <x:f>'Reconciliation'!N57</x:f>
        <x:v>25</x:v>
      </x:c>
      <x:c r="H39" s="398" t="str">
        <x:f>'Reconciliation'!X57</x:f>
        <x:v>Review</x:v>
      </x:c>
      <x:c r="I39" s="398" t="n">
        <x:f>'Reconciliation'!W57</x:f>
        <x:v>2</x:v>
      </x:c>
      <x:c r="J39" s="398" t="str">
        <x:f>IF('Reconciliation'!U57&lt;&gt;"OK",'Reconciliation'!U57,IF('Reconciliation'!Q57&lt;&gt;"OK",'Reconciliation'!Q57,IF('Reconciliation'!R57&lt;&gt;"OK",'Reconciliation'!R57,IF('Reconciliation'!S57&lt;&gt;"OK",'Reconciliation'!S57,IF('Reconciliation'!O57&lt;&gt;"OK",'Reconciliation'!O57,IF('Reconciliation'!P57&lt;&gt;"OK",'Reconciliation'!P57,IF('Reconciliation'!T57&lt;&gt;"OK",'Reconciliation'!T57,IF('Reconciliation'!L57&lt;0,"Stock Shortage",IF('Reconciliation'!L57&gt;0,"Stock Overage",'Reconciliation'!V57)))))))))</x:f>
        <x:v>Missing Evidence</x:v>
      </x:c>
      <x:c r="K39" s="410" t="str">
        <x:f>'Reconciliation'!Y57</x:f>
        <x:v>Attach the count-sheet reference</x:v>
      </x:c>
      <x:c r="L39" s="401" t="str">
        <x:v>Medium</x:v>
      </x:c>
      <x:c r="M39" s="401" t="str">
        <x:v>Inventory Admin</x:v>
      </x:c>
      <x:c r="N39" s="401" t="str">
        <x:v>Open</x:v>
      </x:c>
      <x:c r="O39" s="425" t="n">
        <x:f>DATE(2026,8,17)+IF(L39="High",1,3)</x:f>
        <x:v>46254</x:v>
      </x:c>
      <x:c r="P39" s="413" t="str"/>
      <x:c r="Q39" s="395" t="str">
        <x:f>IF(TRIM('Raw Inventory'!K57)="","",'Raw Inventory'!K57)</x:f>
      </x:c>
      <x:c r="R39" s="427"/>
      <x:c r="S39"/>
    </x:row>
    <x:row r="40" ht="15" hidden="0" customHeight="1">
      <x:c r="A40" s="392" t="str">
        <x:f>"CASE-"&amp;TEXT(ROW()-3,"000")</x:f>
        <x:v>CASE-037</x:v>
      </x:c>
      <x:c r="B40" s="395" t="n">
        <x:f>'Reconciliation'!A58</x:f>
        <x:v>58</x:v>
      </x:c>
      <x:c r="C40" s="395" t="str">
        <x:f>'Reconciliation'!C58</x:f>
        <x:v>SKU-0055</x:v>
      </x:c>
      <x:c r="D40" s="395" t="str">
        <x:f>'Reconciliation'!E58</x:f>
        <x:v>Water Bottle A</x:v>
      </x:c>
      <x:c r="E40" s="395" t="str">
        <x:f>'Reconciliation'!G58</x:f>
        <x:v>SBY-A</x:v>
      </x:c>
      <x:c r="F40" s="398" t="n">
        <x:f>'Reconciliation'!L58</x:f>
        <x:v>3</x:v>
      </x:c>
      <x:c r="G40" s="404" t="n">
        <x:f>'Reconciliation'!N58</x:f>
        <x:v>96</x:v>
      </x:c>
      <x:c r="H40" s="398" t="str">
        <x:f>'Reconciliation'!X58</x:f>
        <x:v>Review</x:v>
      </x:c>
      <x:c r="I40" s="398" t="n">
        <x:f>'Reconciliation'!W58</x:f>
        <x:v>1</x:v>
      </x:c>
      <x:c r="J40" s="398" t="str">
        <x:f>IF('Reconciliation'!U58&lt;&gt;"OK",'Reconciliation'!U58,IF('Reconciliation'!Q58&lt;&gt;"OK",'Reconciliation'!Q58,IF('Reconciliation'!R58&lt;&gt;"OK",'Reconciliation'!R58,IF('Reconciliation'!S58&lt;&gt;"OK",'Reconciliation'!S58,IF('Reconciliation'!O58&lt;&gt;"OK",'Reconciliation'!O58,IF('Reconciliation'!P58&lt;&gt;"OK",'Reconciliation'!P58,IF('Reconciliation'!T58&lt;&gt;"OK",'Reconciliation'!T58,IF('Reconciliation'!L58&lt;0,"Stock Shortage",IF('Reconciliation'!L58&gt;0,"Stock Overage",'Reconciliation'!V58)))))))))</x:f>
        <x:v>Stock Overage</x:v>
      </x:c>
      <x:c r="K40" s="410" t="str">
        <x:f>'Reconciliation'!Y58</x:f>
        <x:v>Investigate overage and record a written resolution</x:v>
      </x:c>
      <x:c r="L40" s="401" t="str">
        <x:v>Medium</x:v>
      </x:c>
      <x:c r="M40" s="401" t="str">
        <x:v>Inventory Admin</x:v>
      </x:c>
      <x:c r="N40" s="401" t="str">
        <x:v>Open</x:v>
      </x:c>
      <x:c r="O40" s="425" t="n">
        <x:f>DATE(2026,8,17)+IF(L40="High",1,3)</x:f>
        <x:v>46254</x:v>
      </x:c>
      <x:c r="P40" s="413" t="str"/>
      <x:c r="Q40" s="395" t="str">
        <x:f>IF(TRIM('Raw Inventory'!K58)="","",'Raw Inventory'!K58)</x:f>
        <x:v>CNT-2026-055</x:v>
      </x:c>
      <x:c r="R40" s="427"/>
      <x:c r="S40"/>
    </x:row>
    <x:row r="41" ht="15" hidden="0" customHeight="1">
      <x:c r="A41" s="392" t="str">
        <x:f>"CASE-"&amp;TEXT(ROW()-3,"000")</x:f>
        <x:v>CASE-038</x:v>
      </x:c>
      <x:c r="B41" s="395" t="n">
        <x:f>'Reconciliation'!A59</x:f>
        <x:v>59</x:v>
      </x:c>
      <x:c r="C41" s="395" t="str">
        <x:f>'Reconciliation'!C59</x:f>
        <x:v>SKU-0056</x:v>
      </x:c>
      <x:c r="D41" s="395" t="str">
        <x:f>'Reconciliation'!E59</x:f>
        <x:v>Foam Roller B</x:v>
      </x:c>
      <x:c r="E41" s="395" t="str">
        <x:f>'Reconciliation'!G59</x:f>
        <x:v>BDG-A</x:v>
      </x:c>
      <x:c r="F41" s="398" t="n">
        <x:f>'Reconciliation'!L59</x:f>
        <x:v>-4</x:v>
      </x:c>
      <x:c r="G41" s="404" t="n">
        <x:f>'Reconciliation'!N59</x:f>
        <x:v>-156</x:v>
      </x:c>
      <x:c r="H41" s="398" t="str">
        <x:f>'Reconciliation'!X59</x:f>
        <x:v>Review</x:v>
      </x:c>
      <x:c r="I41" s="398" t="n">
        <x:f>'Reconciliation'!W59</x:f>
        <x:v>1</x:v>
      </x:c>
      <x:c r="J41" s="398" t="str">
        <x:f>IF('Reconciliation'!U59&lt;&gt;"OK",'Reconciliation'!U59,IF('Reconciliation'!Q59&lt;&gt;"OK",'Reconciliation'!Q59,IF('Reconciliation'!R59&lt;&gt;"OK",'Reconciliation'!R59,IF('Reconciliation'!S59&lt;&gt;"OK",'Reconciliation'!S59,IF('Reconciliation'!O59&lt;&gt;"OK",'Reconciliation'!O59,IF('Reconciliation'!P59&lt;&gt;"OK",'Reconciliation'!P59,IF('Reconciliation'!T59&lt;&gt;"OK",'Reconciliation'!T59,IF('Reconciliation'!L59&lt;0,"Stock Shortage",IF('Reconciliation'!L59&gt;0,"Stock Overage",'Reconciliation'!V59)))))))))</x:f>
        <x:v>Stock Shortage</x:v>
      </x:c>
      <x:c r="K41" s="410" t="str">
        <x:f>'Reconciliation'!Y59</x:f>
        <x:v>Investigate shortage and record a written resolution</x:v>
      </x:c>
      <x:c r="L41" s="401" t="str">
        <x:v>Medium</x:v>
      </x:c>
      <x:c r="M41" s="401" t="str">
        <x:v>Inventory Admin</x:v>
      </x:c>
      <x:c r="N41" s="401" t="str">
        <x:v>Open</x:v>
      </x:c>
      <x:c r="O41" s="425" t="n">
        <x:f>DATE(2026,8,17)+IF(L41="High",1,3)</x:f>
        <x:v>46254</x:v>
      </x:c>
      <x:c r="P41" s="413" t="str"/>
      <x:c r="Q41" s="395" t="str">
        <x:f>IF(TRIM('Raw Inventory'!K59)="","",'Raw Inventory'!K59)</x:f>
        <x:v>CNT-2026-056</x:v>
      </x:c>
      <x:c r="R41" s="427"/>
      <x:c r="S41"/>
    </x:row>
    <x:row r="42" ht="15" hidden="0" customHeight="1">
      <x:c r="A42" s="392" t="str">
        <x:f>"CASE-"&amp;TEXT(ROW()-3,"000")</x:f>
        <x:v>CASE-039</x:v>
      </x:c>
      <x:c r="B42" s="395" t="n">
        <x:f>'Reconciliation'!A60</x:f>
        <x:v>60</x:v>
      </x:c>
      <x:c r="C42" s="395" t="str">
        <x:f>'Reconciliation'!C60</x:f>
        <x:v>SKU-0057</x:v>
      </x:c>
      <x:c r="D42" s="395" t="str">
        <x:f>'Reconciliation'!E60</x:f>
        <x:v>Daily Trainer C</x:v>
      </x:c>
      <x:c r="E42" s="395" t="str">
        <x:f>'Reconciliation'!G60</x:f>
        <x:v>JKT-A</x:v>
      </x:c>
      <x:c r="F42" s="398" t="n">
        <x:f>'Reconciliation'!L60</x:f>
        <x:v>-2</x:v>
      </x:c>
      <x:c r="G42" s="404" t="n">
        <x:f>'Reconciliation'!N60</x:f>
        <x:v>-92</x:v>
      </x:c>
      <x:c r="H42" s="398" t="str">
        <x:f>'Reconciliation'!X60</x:f>
        <x:v>Review</x:v>
      </x:c>
      <x:c r="I42" s="398" t="n">
        <x:f>'Reconciliation'!W60</x:f>
        <x:v>1</x:v>
      </x:c>
      <x:c r="J42" s="398" t="str">
        <x:f>IF('Reconciliation'!U60&lt;&gt;"OK",'Reconciliation'!U60,IF('Reconciliation'!Q60&lt;&gt;"OK",'Reconciliation'!Q60,IF('Reconciliation'!R60&lt;&gt;"OK",'Reconciliation'!R60,IF('Reconciliation'!S60&lt;&gt;"OK",'Reconciliation'!S60,IF('Reconciliation'!O60&lt;&gt;"OK",'Reconciliation'!O60,IF('Reconciliation'!P60&lt;&gt;"OK",'Reconciliation'!P60,IF('Reconciliation'!T60&lt;&gt;"OK",'Reconciliation'!T60,IF('Reconciliation'!L60&lt;0,"Stock Shortage",IF('Reconciliation'!L60&gt;0,"Stock Overage",'Reconciliation'!V60)))))))))</x:f>
        <x:v>Stock Shortage</x:v>
      </x:c>
      <x:c r="K42" s="410" t="str">
        <x:f>'Reconciliation'!Y60</x:f>
        <x:v>Investigate shortage and record a written resolution</x:v>
      </x:c>
      <x:c r="L42" s="401" t="str">
        <x:v>Medium</x:v>
      </x:c>
      <x:c r="M42" s="401" t="str">
        <x:v>Inventory Admin</x:v>
      </x:c>
      <x:c r="N42" s="401" t="str">
        <x:v>Open</x:v>
      </x:c>
      <x:c r="O42" s="425" t="n">
        <x:f>DATE(2026,8,17)+IF(L42="High",1,3)</x:f>
        <x:v>46254</x:v>
      </x:c>
      <x:c r="P42" s="413" t="str"/>
      <x:c r="Q42" s="395" t="str">
        <x:f>IF(TRIM('Raw Inventory'!K60)="","",'Raw Inventory'!K60)</x:f>
        <x:v>CNT-2026-057</x:v>
      </x:c>
      <x:c r="R42" s="427"/>
      <x:c r="S42"/>
    </x:row>
    <x:row r="43" ht="15" hidden="0" customHeight="1">
      <x:c r="A43" s="393" t="str">
        <x:f>"CASE-"&amp;TEXT(ROW()-3,"000")</x:f>
        <x:v>CASE-040</x:v>
      </x:c>
      <x:c r="B43" s="396" t="n">
        <x:f>'Reconciliation'!A61</x:f>
        <x:v>61</x:v>
      </x:c>
      <x:c r="C43" s="396" t="str">
        <x:f>'Reconciliation'!C61</x:f>
        <x:v>SKU-0058</x:v>
      </x:c>
      <x:c r="D43" s="396" t="str">
        <x:f>'Reconciliation'!E61</x:f>
        <x:v>Active Shorts A</x:v>
      </x:c>
      <x:c r="E43" s="396" t="str">
        <x:f>'Reconciliation'!G61</x:f>
        <x:v>JKT-B</x:v>
      </x:c>
      <x:c r="F43" s="399" t="n">
        <x:f>'Reconciliation'!L61</x:f>
        <x:v>0</x:v>
      </x:c>
      <x:c r="G43" s="405" t="n">
        <x:f>'Reconciliation'!N61</x:f>
        <x:v>0</x:v>
      </x:c>
      <x:c r="H43" s="399" t="str">
        <x:f>'Reconciliation'!X61</x:f>
        <x:v>Review</x:v>
      </x:c>
      <x:c r="I43" s="399" t="n">
        <x:f>'Reconciliation'!W61</x:f>
        <x:v>1</x:v>
      </x:c>
      <x:c r="J43" s="399" t="str">
        <x:f>IF('Reconciliation'!U61&lt;&gt;"OK",'Reconciliation'!U61,IF('Reconciliation'!Q61&lt;&gt;"OK",'Reconciliation'!Q61,IF('Reconciliation'!R61&lt;&gt;"OK",'Reconciliation'!R61,IF('Reconciliation'!S61&lt;&gt;"OK",'Reconciliation'!S61,IF('Reconciliation'!O61&lt;&gt;"OK",'Reconciliation'!O61,IF('Reconciliation'!P61&lt;&gt;"OK",'Reconciliation'!P61,IF('Reconciliation'!T61&lt;&gt;"OK",'Reconciliation'!T61,IF('Reconciliation'!L61&lt;0,"Stock Shortage",IF('Reconciliation'!L61&gt;0,"Stock Overage",'Reconciliation'!V61)))))))))</x:f>
        <x:v>Low Stock</x:v>
      </x:c>
      <x:c r="K43" s="411" t="str">
        <x:f>'Reconciliation'!Y61</x:f>
        <x:v>Create a written replenishment request</x:v>
      </x:c>
      <x:c r="L43" s="402" t="str">
        <x:v>Medium</x:v>
      </x:c>
      <x:c r="M43" s="402" t="str">
        <x:v>Inventory Admin</x:v>
      </x:c>
      <x:c r="N43" s="402" t="str">
        <x:v>Open</x:v>
      </x:c>
      <x:c r="O43" s="426" t="n">
        <x:f>DATE(2026,8,17)+IF(L43="High",1,3)</x:f>
        <x:v>46254</x:v>
      </x:c>
      <x:c r="P43" s="414" t="str"/>
      <x:c r="Q43" s="396" t="str">
        <x:f>IF(TRIM('Raw Inventory'!K61)="","",'Raw Inventory'!K61)</x:f>
        <x:v>CNT-2026-058</x:v>
      </x:c>
      <x:c r="R43" s="427"/>
      <x:c r="S43"/>
    </x:row>
  </x:sheetData>
  <x:mergeCells>
    <x:mergeCell ref="A1:S1"/>
    <x:mergeCell ref="A2:S2"/>
  </x:mergeCells>
  <x:conditionalFormatting sqref="A4:Q43">
    <x:cfRule type="expression" dxfId="28" priority="1">
      <x:formula>MOD(ROW(),2)=0</x:formula>
    </x:cfRule>
    <x:cfRule type="expression" dxfId="38" priority="11">
      <x:formula>MOD(ROW(),2)=0</x:formula>
    </x:cfRule>
  </x:conditionalFormatting>
  <x:conditionalFormatting sqref="H4:H43">
    <x:cfRule type="containsText" dxfId="29" priority="2" operator="containsText" text="High"/>
    <x:cfRule type="containsText" dxfId="30" priority="3" operator="containsText" text="Review"/>
    <x:cfRule type="containsText" dxfId="39" priority="12" operator="containsText" text="High"/>
    <x:cfRule type="containsText" dxfId="40" priority="13" operator="containsText" text="Review"/>
  </x:conditionalFormatting>
  <x:conditionalFormatting sqref="L4:L43">
    <x:cfRule type="containsText" dxfId="31" priority="4" operator="containsText" text="High"/>
    <x:cfRule type="containsText" dxfId="32" priority="5" operator="containsText" text="Medium"/>
    <x:cfRule type="containsText" dxfId="33" priority="6" operator="containsText" text="Low"/>
    <x:cfRule type="containsText" dxfId="41" priority="14" operator="containsText" text="High"/>
    <x:cfRule type="containsText" dxfId="42" priority="15" operator="containsText" text="Medium"/>
    <x:cfRule type="containsText" dxfId="43" priority="16" operator="containsText" text="Low"/>
  </x:conditionalFormatting>
  <x:conditionalFormatting sqref="N4:N43">
    <x:cfRule type="containsText" dxfId="34" priority="7" operator="containsText" text="Open"/>
    <x:cfRule type="containsText" dxfId="35" priority="8" operator="containsText" text="Progress"/>
    <x:cfRule type="containsText" dxfId="36" priority="9" operator="containsText" text="Waiting"/>
    <x:cfRule type="containsText" dxfId="37" priority="10" operator="containsText" text="Resolved"/>
    <x:cfRule type="containsText" dxfId="44" priority="17" operator="containsText" text="Open"/>
    <x:cfRule type="containsText" dxfId="45" priority="18" operator="containsText" text="Progress"/>
    <x:cfRule type="containsText" dxfId="46" priority="19" operator="containsText" text="Waiting"/>
    <x:cfRule type="containsText" dxfId="47" priority="20" operator="containsText" text="Resolved"/>
  </x:conditionalFormatting>
  <x:dataValidations count="3">
    <x:dataValidation type="list" sqref="L4:L43">
      <x:formula1>"High,Medium,Low"</x:formula1>
    </x:dataValidation>
    <x:dataValidation type="list" sqref="M4:M43">
      <x:formula1>"Unassigned,Inventory Admin,Warehouse Lead,Purchasing Admin"</x:formula1>
    </x:dataValidation>
    <x:dataValidation type="list" sqref="N4:N43">
      <x:formula1>"Open,In Progress,Waiting Evidence,Resolved"</x:formula1>
    </x:dataValidation>
  </x:dataValidations>
  <x:pageMargins left="0.7" right="0.7" top="0.75" bottom="0.75" header="0.3" footer="0.3"/>
</x:worksheet>
</file>