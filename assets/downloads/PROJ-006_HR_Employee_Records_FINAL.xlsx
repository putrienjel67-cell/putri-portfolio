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696e3ff4aa40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Employees" sheetId="1" r:id="R918b445ef3e14c86"/>
    <x:sheet xmlns:r="http://schemas.openxmlformats.org/officeDocument/2006/relationships" name="References" sheetId="2" r:id="R1338646ac0f14521"/>
    <x:sheet xmlns:r="http://schemas.openxmlformats.org/officeDocument/2006/relationships" name="Employee Validation" sheetId="3" r:id="Rf93597975cd94db7"/>
    <x:sheet xmlns:r="http://schemas.openxmlformats.org/officeDocument/2006/relationships" name="QA Summary" sheetId="4" r:id="R46c7a02a28664f2e"/>
    <x:sheet xmlns:r="http://schemas.openxmlformats.org/officeDocument/2006/relationships" name="Dashboard" sheetId="5" r:id="R413cde26a81b4832"/>
    <x:sheet xmlns:r="http://schemas.openxmlformats.org/officeDocument/2006/relationships" name="Onboarding Tracker" sheetId="6" r:id="R63e1531282104007"/>
    <x:sheet xmlns:r="http://schemas.openxmlformats.org/officeDocument/2006/relationships" name="Document Follow-Up" sheetId="7" r:id="Rd02d25ad14bd45c2"/>
    <x:sheet xmlns:r="http://schemas.openxmlformats.org/officeDocument/2006/relationships" name="HR Admin SOP" sheetId="8" r:id="R279a7afff48f4e5a"/>
    <x:sheet xmlns:r="http://schemas.openxmlformats.org/officeDocument/2006/relationships" name="Project Notes" sheetId="9" r:id="R242d1305a1324f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1">
    <x:font>
      <x:sz val="11"/>
      <x:name val="Carlito"/>
    </x:font>
    <x:font>
      <x:b/>
      <x:sz val="11"/>
      <x:color rgb="FFFFFFFF"/>
      <x:name val="Carlito"/>
    </x:font>
    <x:font>
      <x:b/>
      <x:i/>
      <x:sz val="11"/>
      <x:color rgb="FF111111"/>
      <x:name val="Carlito"/>
    </x:font>
    <x:font>
      <x:b/>
      <x:sz val="11"/>
      <x:color rgb="FF9C271C"/>
      <x:name val="Carlito"/>
    </x:font>
    <x:font>
      <x:b/>
      <x:sz val="11"/>
      <x:name val="Carlito"/>
    </x:font>
    <x:font>
      <x:b/>
      <x:sz val="11"/>
      <x:color rgb="FF17365D"/>
      <x:name val="Carlito"/>
    </x:font>
    <x:font>
      <x:b/>
      <x:sz val="11"/>
      <x:color rgb="FF1C5E35"/>
      <x:name val="Carlito"/>
    </x:font>
    <x:font>
      <x:b/>
      <x:sz val="11"/>
      <x:color rgb="FF8A4B08"/>
      <x:name val="Carlito"/>
    </x:font>
    <x:font>
      <x:b/>
      <x:sz val="11"/>
      <x:color rgb="FF5F497A"/>
      <x:name val="Carlito"/>
    </x:font>
    <x:font>
      <x:b/>
      <x:sz val="11"/>
      <x:color rgb="FFC7FF00"/>
      <x:name val="Carlito"/>
    </x:font>
    <x:font>
      <x:sz val="1"/>
      <x:color rgb="FFFFFFFF"/>
      <x:name val="Carlito"/>
    </x:font>
  </x:fonts>
  <x:fills count="31">
    <x:fill>
      <x:patternFill patternType="none"/>
    </x:fill>
    <x:fill>
      <x:patternFill patternType="gray125"/>
    </x:fill>
    <x:fill>
      <x:patternFill patternType="solid">
        <x:fgColor rgb="FF111111"/>
      </x:patternFill>
    </x:fill>
    <x:fill>
      <x:patternFill patternType="solid">
        <x:fgColor rgb="FFC7FF00"/>
      </x:patternFill>
    </x:fill>
    <x:fill>
      <x:patternFill patternType="solid">
        <x:fgColor rgb="FF17365D"/>
      </x:patternFill>
    </x:fill>
    <x:fill>
      <x:patternFill patternType="solid">
        <x:fgColor rgb="FF0F6B78"/>
      </x:patternFill>
    </x:fill>
    <x:fill>
      <x:patternFill patternType="solid">
        <x:fgColor rgb="FFDDEBF1"/>
      </x:patternFill>
    </x:fill>
    <x:fill>
      <x:patternFill patternType="solid">
        <x:fgColor rgb="FFF7C7C7"/>
      </x:patternFill>
    </x:fill>
    <x:fill>
      <x:patternFill patternType="solid">
        <x:fgColor rgb="FF8A4B08"/>
      </x:patternFill>
    </x:fill>
    <x:fill>
      <x:patternFill patternType="solid">
        <x:fgColor rgb="FFF2F4F3"/>
      </x:patternFill>
    </x:fill>
    <x:fill>
      <x:patternFill patternType="solid">
        <x:fgColor rgb="FFDDEBF7"/>
      </x:patternFill>
    </x:fill>
    <x:fill>
      <x:patternFill patternType="solid">
        <x:fgColor rgb="FFD9EAD3"/>
      </x:patternFill>
    </x:fill>
    <x:fill>
      <x:patternFill patternType="solid">
        <x:fgColor rgb="FFFFE4B8"/>
      </x:patternFill>
    </x:fill>
    <x:fill>
      <x:patternFill patternType="solid">
        <x:fgColor rgb="FFE4DFEC"/>
      </x:patternFill>
    </x:fill>
    <x:fill>
      <x:patternFill patternType="solid">
        <x:fgColor rgb="FF17365D"/>
      </x:patternFill>
    </x:fill>
    <x:fill>
      <x:patternFill patternType="solid">
        <x:fgColor rgb="FFFFFFFF"/>
      </x:patternFill>
    </x:fill>
    <x:fill>
      <x:patternFill patternType="solid">
        <x:fgColor rgb="FFF2F4F3"/>
      </x:patternFill>
    </x:fill>
    <x:fill>
      <x:patternFill patternType="solid">
        <x:fgColor rgb="FFD9EAD3"/>
      </x:patternFill>
    </x:fill>
    <x:fill>
      <x:patternFill patternType="solid">
        <x:fgColor rgb="FFFFE4B8"/>
      </x:patternFill>
    </x:fill>
    <x:fill>
      <x:patternFill patternType="solid">
        <x:fgColor rgb="FFF7C7C7"/>
      </x:patternFill>
    </x:fill>
    <x:fill>
      <x:patternFill patternType="solid">
        <x:fgColor rgb="FF17365D"/>
      </x:patternFill>
    </x:fill>
    <x:fill>
      <x:patternFill patternType="solid">
        <x:fgColor rgb="FFFFFFFF"/>
      </x:patternFill>
    </x:fill>
    <x:fill>
      <x:patternFill patternType="solid">
        <x:fgColor rgb="FFF2F4F3"/>
      </x:patternFill>
    </x:fill>
    <x:fill>
      <x:patternFill patternType="solid">
        <x:fgColor rgb="FFD9EAD3"/>
      </x:patternFill>
    </x:fill>
    <x:fill>
      <x:patternFill patternType="solid">
        <x:fgColor rgb="FFFFE4B8"/>
      </x:patternFill>
    </x:fill>
    <x:fill>
      <x:patternFill patternType="solid">
        <x:fgColor rgb="FFF7C7C7"/>
      </x:patternFill>
    </x:fill>
    <x:fill>
      <x:patternFill patternType="solid">
        <x:fgColor rgb="FF17365D"/>
      </x:patternFill>
    </x:fill>
    <x:fill>
      <x:patternFill patternType="solid">
        <x:fgColor rgb="FFFFFFFF"/>
      </x:patternFill>
    </x:fill>
    <x:fill>
      <x:patternFill patternType="solid">
        <x:fgColor rgb="FFF2F4F3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</x:fills>
  <x:borders count="43">
    <x:border/>
    <x:border>
      <x:left style="thin">
        <x:color rgb="FF4A4A4A"/>
      </x:left>
      <x:right style="thin">
        <x:color rgb="FF4A4A4A"/>
      </x:right>
      <x:top style="thin">
        <x:color rgb="FF4A4A4A"/>
      </x:top>
      <x:bottom style="thin">
        <x:color rgb="FF4A4A4A"/>
      </x:bottom>
    </x:border>
    <x:border>
      <x:bottom style="thin">
        <x:color rgb="FFCCD3D0"/>
      </x:bottom>
    </x:border>
    <x:border>
      <x:top style="thin">
        <x:color rgb="FFCCD3D0"/>
      </x:top>
      <x:bottom style="thin">
        <x:color rgb="FFCCD3D0"/>
      </x:bottom>
    </x:border>
    <x:border>
      <x:top style="thin">
        <x:color rgb="FFCCD3D0"/>
      </x:top>
    </x:border>
    <x:border>
      <x:left style="medium">
        <x:color rgb="FFFFFFFF"/>
      </x:left>
      <x:top style="medium">
        <x:color rgb="FFFFFFFF"/>
      </x:top>
    </x:border>
    <x:border>
      <x:right style="medium">
        <x:color rgb="FFFFFFFF"/>
      </x:right>
      <x:top style="medium">
        <x:color rgb="FFFFFFFF"/>
      </x:top>
    </x:border>
    <x:border>
      <x:left style="medium">
        <x:color rgb="FFFFFFFF"/>
      </x:left>
    </x:border>
    <x:border>
      <x:right style="medium">
        <x:color rgb="FFFFFFFF"/>
      </x:right>
    </x:border>
    <x:border>
      <x:left style="medium">
        <x:color rgb="FFFFFFFF"/>
      </x:left>
      <x:bottom style="medium">
        <x:color rgb="FFFFFFFF"/>
      </x:bottom>
    </x:border>
    <x:border>
      <x:right style="medium">
        <x:color rgb="FFFFFFFF"/>
      </x:right>
      <x:bottom style="medium">
        <x:color rgb="FFFFFFFF"/>
      </x:bottom>
    </x:border>
    <x:border>
      <x:left style="medium">
        <x:color rgb="FF1C5E35"/>
      </x:left>
      <x:top style="medium">
        <x:color rgb="FF1C5E35"/>
      </x:top>
    </x:border>
    <x:border>
      <x:right style="medium">
        <x:color rgb="FF1C5E35"/>
      </x:right>
      <x:top style="medium">
        <x:color rgb="FF1C5E35"/>
      </x:top>
    </x:border>
    <x:border>
      <x:left style="medium">
        <x:color rgb="FF1C5E35"/>
      </x:left>
    </x:border>
    <x:border>
      <x:right style="medium">
        <x:color rgb="FF1C5E35"/>
      </x:right>
    </x:border>
    <x:border>
      <x:left style="medium">
        <x:color rgb="FF1C5E35"/>
      </x:left>
      <x:bottom style="medium">
        <x:color rgb="FF1C5E35"/>
      </x:bottom>
    </x:border>
    <x:border>
      <x:right style="medium">
        <x:color rgb="FF1C5E35"/>
      </x:right>
      <x:bottom style="medium">
        <x:color rgb="FF1C5E35"/>
      </x:bottom>
    </x:border>
    <x:border>
      <x:left style="medium">
        <x:color rgb="FF8A4B08"/>
      </x:left>
      <x:top style="medium">
        <x:color rgb="FF8A4B08"/>
      </x:top>
    </x:border>
    <x:border>
      <x:right style="medium">
        <x:color rgb="FF8A4B08"/>
      </x:right>
      <x:top style="medium">
        <x:color rgb="FF8A4B08"/>
      </x:top>
    </x:border>
    <x:border>
      <x:left style="medium">
        <x:color rgb="FF8A4B08"/>
      </x:left>
    </x:border>
    <x:border>
      <x:right style="medium">
        <x:color rgb="FF8A4B08"/>
      </x:right>
    </x:border>
    <x:border>
      <x:left style="medium">
        <x:color rgb="FF8A4B08"/>
      </x:left>
      <x:bottom style="medium">
        <x:color rgb="FF8A4B08"/>
      </x:bottom>
    </x:border>
    <x:border>
      <x:right style="medium">
        <x:color rgb="FF8A4B08"/>
      </x:right>
      <x:bottom style="medium">
        <x:color rgb="FF8A4B08"/>
      </x:bottom>
    </x:border>
    <x:border>
      <x:left style="medium">
        <x:color rgb="FF9C271C"/>
      </x:left>
      <x:top style="medium">
        <x:color rgb="FF9C271C"/>
      </x:top>
    </x:border>
    <x:border>
      <x:right style="medium">
        <x:color rgb="FF9C271C"/>
      </x:right>
      <x:top style="medium">
        <x:color rgb="FF9C271C"/>
      </x:top>
    </x:border>
    <x:border>
      <x:left style="medium">
        <x:color rgb="FF9C271C"/>
      </x:left>
    </x:border>
    <x:border>
      <x:right style="medium">
        <x:color rgb="FF9C271C"/>
      </x:right>
    </x:border>
    <x:border>
      <x:left style="medium">
        <x:color rgb="FF9C271C"/>
      </x:left>
      <x:bottom style="medium">
        <x:color rgb="FF9C271C"/>
      </x:bottom>
    </x:border>
    <x:border>
      <x:right style="medium">
        <x:color rgb="FF9C271C"/>
      </x:right>
      <x:bottom style="medium">
        <x:color rgb="FF9C271C"/>
      </x:bottom>
    </x:border>
    <x:border>
      <x:left style="medium">
        <x:color rgb="FF5F497A"/>
      </x:left>
      <x:top style="medium">
        <x:color rgb="FF5F497A"/>
      </x:top>
    </x:border>
    <x:border>
      <x:top style="medium">
        <x:color rgb="FF5F497A"/>
      </x:top>
    </x:border>
    <x:border>
      <x:right style="medium">
        <x:color rgb="FF5F497A"/>
      </x:right>
      <x:top style="medium">
        <x:color rgb="FF5F497A"/>
      </x:top>
    </x:border>
    <x:border>
      <x:left style="medium">
        <x:color rgb="FF5F497A"/>
      </x:left>
    </x:border>
    <x:border>
      <x:right style="medium">
        <x:color rgb="FF5F497A"/>
      </x:right>
    </x:border>
    <x:border>
      <x:left style="medium">
        <x:color rgb="FF5F497A"/>
      </x:left>
      <x:bottom style="medium">
        <x:color rgb="FF5F497A"/>
      </x:bottom>
    </x:border>
    <x:border>
      <x:bottom style="medium">
        <x:color rgb="FF5F497A"/>
      </x:bottom>
    </x:border>
    <x:border>
      <x:right style="medium">
        <x:color rgb="FF5F497A"/>
      </x:right>
      <x:bottom style="medium">
        <x:color rgb="FF5F497A"/>
      </x:bottom>
    </x:border>
    <x:border diagonalUp="0" diagonalDown="0">
      <x:left style="none"/>
      <x:top style="none"/>
    </x:border>
    <x:border diagonalUp="0" diagonalDown="0">
      <x:right style="none"/>
      <x:top style="none"/>
    </x:border>
    <x:border diagonalUp="0" diagonalDown="0">
      <x:left style="none"/>
    </x:border>
    <x:border diagonalUp="0" diagonalDown="0">
      <x:right style="none"/>
    </x:border>
    <x:border diagonalUp="0" diagonalDown="0">
      <x:left style="none"/>
      <x:bottom style="none"/>
    </x:border>
    <x:border diagonalUp="0" diagonalDown="0">
      <x:right style="none"/>
      <x:bottom style="none"/>
    </x:border>
  </x:borders>
  <x:cellStyleXfs count="1">
    <x:xf numFmtId="0" fontId="0" fillId="0" borderId="0"/>
  </x:cellStyleXfs>
  <x:cellXfs count="27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vertical="center"/>
    </x:xf>
    <x:xf numFmtId="200" fontId="0" fillId="0" borderId="4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0" fillId="6" borderId="4" xfId="0" applyNumberFormat="1" applyFont="1" applyFill="1" applyBorder="1"/>
    <x:xf numFmtId="0" fontId="0" fillId="7" borderId="4" xfId="0" applyNumberFormat="1" applyFont="1" applyFill="1" applyBorder="1"/>
    <x:xf numFmtId="0" fontId="3" fillId="7" borderId="4" xfId="0" applyNumberFormat="1" applyFont="1" applyFill="1" applyBorder="1"/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1" xfId="0" applyNumberFormat="1" applyFont="1" applyFill="1" applyBorder="1" applyAlignment="1">
      <x:alignment wrapText="1"/>
    </x:xf>
    <x:xf numFmtId="0" fontId="1" fillId="8" borderId="1" xfId="0" applyNumberFormat="1" applyFont="1" applyFill="1" applyBorder="1" applyAlignment="1">
      <x:alignment horizontal="center" wrapText="1"/>
    </x:xf>
    <x:xf numFmtId="0" fontId="1" fillId="8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9" xfId="0" applyNumberFormat="1" applyFont="1" applyFill="1" applyBorder="1"/>
    <x:xf numFmtId="0" fontId="1" fillId="2" borderId="10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9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9" xfId="0" applyNumberFormat="1" applyFont="1" applyFill="1" applyBorder="1" applyAlignment="1">
      <x:alignment horizontal="center" wrapText="1"/>
    </x:xf>
    <x:xf numFmtId="0" fontId="1" fillId="2" borderId="1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1" fillId="2" borderId="9" xfId="0" applyNumberFormat="1" applyFont="1" applyFill="1" applyBorder="1" applyAlignment="1">
      <x:alignment horizontal="center"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6" fillId="11" borderId="0" xfId="0" applyNumberFormat="1" applyFont="1" applyFill="1" applyBorder="1"/>
    <x:xf numFmtId="0" fontId="6" fillId="11" borderId="11" xfId="0" applyNumberFormat="1" applyFont="1" applyFill="1" applyBorder="1"/>
    <x:xf numFmtId="0" fontId="6" fillId="11" borderId="12" xfId="0" applyNumberFormat="1" applyFont="1" applyFill="1" applyBorder="1"/>
    <x:xf numFmtId="0" fontId="6" fillId="11" borderId="13" xfId="0" applyNumberFormat="1" applyFont="1" applyFill="1" applyBorder="1"/>
    <x:xf numFmtId="0" fontId="6" fillId="11" borderId="14" xfId="0" applyNumberFormat="1" applyFont="1" applyFill="1" applyBorder="1"/>
    <x:xf numFmtId="0" fontId="6" fillId="11" borderId="15" xfId="0" applyNumberFormat="1" applyFont="1" applyFill="1" applyBorder="1"/>
    <x:xf numFmtId="0" fontId="6" fillId="11" borderId="16" xfId="0" applyNumberFormat="1" applyFont="1" applyFill="1" applyBorder="1"/>
    <x:xf numFmtId="0" fontId="6" fillId="11" borderId="11" xfId="0" applyNumberFormat="1" applyFont="1" applyFill="1" applyBorder="1" applyAlignment="1">
      <x:alignment wrapText="1"/>
    </x:xf>
    <x:xf numFmtId="0" fontId="6" fillId="11" borderId="12" xfId="0" applyNumberFormat="1" applyFont="1" applyFill="1" applyBorder="1" applyAlignment="1">
      <x:alignment wrapText="1"/>
    </x:xf>
    <x:xf numFmtId="0" fontId="6" fillId="11" borderId="13" xfId="0" applyNumberFormat="1" applyFont="1" applyFill="1" applyBorder="1" applyAlignment="1">
      <x:alignment wrapText="1"/>
    </x:xf>
    <x:xf numFmtId="0" fontId="6" fillId="11" borderId="14" xfId="0" applyNumberFormat="1" applyFont="1" applyFill="1" applyBorder="1" applyAlignment="1">
      <x:alignment wrapText="1"/>
    </x:xf>
    <x:xf numFmtId="0" fontId="6" fillId="11" borderId="15" xfId="0" applyNumberFormat="1" applyFont="1" applyFill="1" applyBorder="1" applyAlignment="1">
      <x:alignment wrapText="1"/>
    </x:xf>
    <x:xf numFmtId="0" fontId="6" fillId="11" borderId="16" xfId="0" applyNumberFormat="1" applyFont="1" applyFill="1" applyBorder="1" applyAlignment="1">
      <x:alignment wrapText="1"/>
    </x:xf>
    <x:xf numFmtId="0" fontId="6" fillId="11" borderId="11" xfId="0" applyNumberFormat="1" applyFont="1" applyFill="1" applyBorder="1" applyAlignment="1">
      <x:alignment horizontal="center" wrapText="1"/>
    </x:xf>
    <x:xf numFmtId="0" fontId="6" fillId="11" borderId="12" xfId="0" applyNumberFormat="1" applyFont="1" applyFill="1" applyBorder="1" applyAlignment="1">
      <x:alignment horizontal="center" wrapText="1"/>
    </x:xf>
    <x:xf numFmtId="0" fontId="6" fillId="11" borderId="13" xfId="0" applyNumberFormat="1" applyFont="1" applyFill="1" applyBorder="1" applyAlignment="1">
      <x:alignment horizontal="center" wrapText="1"/>
    </x:xf>
    <x:xf numFmtId="0" fontId="6" fillId="11" borderId="14" xfId="0" applyNumberFormat="1" applyFont="1" applyFill="1" applyBorder="1" applyAlignment="1">
      <x:alignment horizontal="center" wrapText="1"/>
    </x:xf>
    <x:xf numFmtId="0" fontId="6" fillId="11" borderId="15" xfId="0" applyNumberFormat="1" applyFont="1" applyFill="1" applyBorder="1" applyAlignment="1">
      <x:alignment horizontal="center" wrapText="1"/>
    </x:xf>
    <x:xf numFmtId="0" fontId="6" fillId="11" borderId="16" xfId="0" applyNumberFormat="1" applyFont="1" applyFill="1" applyBorder="1" applyAlignment="1">
      <x:alignment horizontal="center" wrapText="1"/>
    </x:xf>
    <x:xf numFmtId="0" fontId="6" fillId="11" borderId="11" xfId="0" applyNumberFormat="1" applyFont="1" applyFill="1" applyBorder="1" applyAlignment="1">
      <x:alignment horizontal="center" vertical="center" wrapText="1"/>
    </x:xf>
    <x:xf numFmtId="0" fontId="6" fillId="11" borderId="12" xfId="0" applyNumberFormat="1" applyFont="1" applyFill="1" applyBorder="1" applyAlignment="1">
      <x:alignment horizontal="center" vertical="center" wrapText="1"/>
    </x:xf>
    <x:xf numFmtId="0" fontId="6" fillId="11" borderId="13" xfId="0" applyNumberFormat="1" applyFont="1" applyFill="1" applyBorder="1" applyAlignment="1">
      <x:alignment horizontal="center" vertical="center" wrapText="1"/>
    </x:xf>
    <x:xf numFmtId="0" fontId="6" fillId="11" borderId="14" xfId="0" applyNumberFormat="1" applyFont="1" applyFill="1" applyBorder="1" applyAlignment="1">
      <x:alignment horizontal="center" vertical="center" wrapText="1"/>
    </x:xf>
    <x:xf numFmtId="0" fontId="6" fillId="11" borderId="15" xfId="0" applyNumberFormat="1" applyFont="1" applyFill="1" applyBorder="1" applyAlignment="1">
      <x:alignment horizontal="center" vertical="center" wrapText="1"/>
    </x:xf>
    <x:xf numFmtId="0" fontId="6" fillId="11" borderId="16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7" fillId="12" borderId="0" xfId="0" applyNumberFormat="1" applyFont="1" applyFill="1" applyBorder="1"/>
    <x:xf numFmtId="0" fontId="7" fillId="12" borderId="17" xfId="0" applyNumberFormat="1" applyFont="1" applyFill="1" applyBorder="1"/>
    <x:xf numFmtId="0" fontId="7" fillId="12" borderId="18" xfId="0" applyNumberFormat="1" applyFont="1" applyFill="1" applyBorder="1"/>
    <x:xf numFmtId="0" fontId="7" fillId="12" borderId="19" xfId="0" applyNumberFormat="1" applyFont="1" applyFill="1" applyBorder="1"/>
    <x:xf numFmtId="0" fontId="7" fillId="12" borderId="20" xfId="0" applyNumberFormat="1" applyFont="1" applyFill="1" applyBorder="1"/>
    <x:xf numFmtId="0" fontId="7" fillId="12" borderId="21" xfId="0" applyNumberFormat="1" applyFont="1" applyFill="1" applyBorder="1"/>
    <x:xf numFmtId="0" fontId="7" fillId="12" borderId="22" xfId="0" applyNumberFormat="1" applyFont="1" applyFill="1" applyBorder="1"/>
    <x:xf numFmtId="0" fontId="7" fillId="12" borderId="17" xfId="0" applyNumberFormat="1" applyFont="1" applyFill="1" applyBorder="1" applyAlignment="1">
      <x:alignment wrapText="1"/>
    </x:xf>
    <x:xf numFmtId="0" fontId="7" fillId="12" borderId="18" xfId="0" applyNumberFormat="1" applyFont="1" applyFill="1" applyBorder="1" applyAlignment="1">
      <x:alignment wrapText="1"/>
    </x:xf>
    <x:xf numFmtId="0" fontId="7" fillId="12" borderId="19" xfId="0" applyNumberFormat="1" applyFont="1" applyFill="1" applyBorder="1" applyAlignment="1">
      <x:alignment wrapText="1"/>
    </x:xf>
    <x:xf numFmtId="0" fontId="7" fillId="12" borderId="20" xfId="0" applyNumberFormat="1" applyFont="1" applyFill="1" applyBorder="1" applyAlignment="1">
      <x:alignment wrapText="1"/>
    </x:xf>
    <x:xf numFmtId="0" fontId="7" fillId="12" borderId="21" xfId="0" applyNumberFormat="1" applyFont="1" applyFill="1" applyBorder="1" applyAlignment="1">
      <x:alignment wrapText="1"/>
    </x:xf>
    <x:xf numFmtId="0" fontId="7" fillId="12" borderId="22" xfId="0" applyNumberFormat="1" applyFont="1" applyFill="1" applyBorder="1" applyAlignment="1">
      <x:alignment wrapText="1"/>
    </x:xf>
    <x:xf numFmtId="0" fontId="7" fillId="12" borderId="17" xfId="0" applyNumberFormat="1" applyFont="1" applyFill="1" applyBorder="1" applyAlignment="1">
      <x:alignment horizontal="center" wrapText="1"/>
    </x:xf>
    <x:xf numFmtId="0" fontId="7" fillId="12" borderId="18" xfId="0" applyNumberFormat="1" applyFont="1" applyFill="1" applyBorder="1" applyAlignment="1">
      <x:alignment horizontal="center" wrapText="1"/>
    </x:xf>
    <x:xf numFmtId="0" fontId="7" fillId="12" borderId="19" xfId="0" applyNumberFormat="1" applyFont="1" applyFill="1" applyBorder="1" applyAlignment="1">
      <x:alignment horizontal="center" wrapText="1"/>
    </x:xf>
    <x:xf numFmtId="0" fontId="7" fillId="12" borderId="20" xfId="0" applyNumberFormat="1" applyFont="1" applyFill="1" applyBorder="1" applyAlignment="1">
      <x:alignment horizontal="center" wrapText="1"/>
    </x:xf>
    <x:xf numFmtId="0" fontId="7" fillId="12" borderId="21" xfId="0" applyNumberFormat="1" applyFont="1" applyFill="1" applyBorder="1" applyAlignment="1">
      <x:alignment horizontal="center" wrapText="1"/>
    </x:xf>
    <x:xf numFmtId="0" fontId="7" fillId="12" borderId="22" xfId="0" applyNumberFormat="1" applyFont="1" applyFill="1" applyBorder="1" applyAlignment="1">
      <x:alignment horizontal="center" wrapText="1"/>
    </x:xf>
    <x:xf numFmtId="0" fontId="7" fillId="12" borderId="17" xfId="0" applyNumberFormat="1" applyFont="1" applyFill="1" applyBorder="1" applyAlignment="1">
      <x:alignment horizontal="center" vertical="center" wrapText="1"/>
    </x:xf>
    <x:xf numFmtId="0" fontId="7" fillId="12" borderId="18" xfId="0" applyNumberFormat="1" applyFont="1" applyFill="1" applyBorder="1" applyAlignment="1">
      <x:alignment horizontal="center" vertical="center" wrapText="1"/>
    </x:xf>
    <x:xf numFmtId="0" fontId="7" fillId="12" borderId="19" xfId="0" applyNumberFormat="1" applyFont="1" applyFill="1" applyBorder="1" applyAlignment="1">
      <x:alignment horizontal="center" vertical="center" wrapText="1"/>
    </x:xf>
    <x:xf numFmtId="0" fontId="7" fillId="12" borderId="20" xfId="0" applyNumberFormat="1" applyFont="1" applyFill="1" applyBorder="1" applyAlignment="1">
      <x:alignment horizontal="center" vertical="center" wrapText="1"/>
    </x:xf>
    <x:xf numFmtId="0" fontId="7" fillId="12" borderId="21" xfId="0" applyNumberFormat="1" applyFont="1" applyFill="1" applyBorder="1" applyAlignment="1">
      <x:alignment horizontal="center" vertical="center" wrapText="1"/>
    </x:xf>
    <x:xf numFmtId="0" fontId="7" fillId="12" borderId="22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23" xfId="0" applyNumberFormat="1" applyFont="1" applyFill="1" applyBorder="1"/>
    <x:xf numFmtId="0" fontId="3" fillId="7" borderId="24" xfId="0" applyNumberFormat="1" applyFont="1" applyFill="1" applyBorder="1"/>
    <x:xf numFmtId="0" fontId="3" fillId="7" borderId="25" xfId="0" applyNumberFormat="1" applyFont="1" applyFill="1" applyBorder="1"/>
    <x:xf numFmtId="0" fontId="3" fillId="7" borderId="26" xfId="0" applyNumberFormat="1" applyFont="1" applyFill="1" applyBorder="1"/>
    <x:xf numFmtId="0" fontId="3" fillId="7" borderId="27" xfId="0" applyNumberFormat="1" applyFont="1" applyFill="1" applyBorder="1"/>
    <x:xf numFmtId="0" fontId="3" fillId="7" borderId="28" xfId="0" applyNumberFormat="1" applyFont="1" applyFill="1" applyBorder="1"/>
    <x:xf numFmtId="0" fontId="3" fillId="7" borderId="23" xfId="0" applyNumberFormat="1" applyFont="1" applyFill="1" applyBorder="1" applyAlignment="1">
      <x:alignment wrapText="1"/>
    </x:xf>
    <x:xf numFmtId="0" fontId="3" fillId="7" borderId="24" xfId="0" applyNumberFormat="1" applyFont="1" applyFill="1" applyBorder="1" applyAlignment="1">
      <x:alignment wrapText="1"/>
    </x:xf>
    <x:xf numFmtId="0" fontId="3" fillId="7" borderId="25" xfId="0" applyNumberFormat="1" applyFont="1" applyFill="1" applyBorder="1" applyAlignment="1">
      <x:alignment wrapText="1"/>
    </x:xf>
    <x:xf numFmtId="0" fontId="3" fillId="7" borderId="26" xfId="0" applyNumberFormat="1" applyFont="1" applyFill="1" applyBorder="1" applyAlignment="1">
      <x:alignment wrapText="1"/>
    </x:xf>
    <x:xf numFmtId="0" fontId="3" fillId="7" borderId="27" xfId="0" applyNumberFormat="1" applyFont="1" applyFill="1" applyBorder="1" applyAlignment="1">
      <x:alignment wrapText="1"/>
    </x:xf>
    <x:xf numFmtId="0" fontId="3" fillId="7" borderId="28" xfId="0" applyNumberFormat="1" applyFont="1" applyFill="1" applyBorder="1" applyAlignment="1">
      <x:alignment wrapText="1"/>
    </x:xf>
    <x:xf numFmtId="0" fontId="3" fillId="7" borderId="23" xfId="0" applyNumberFormat="1" applyFont="1" applyFill="1" applyBorder="1" applyAlignment="1">
      <x:alignment horizontal="center" wrapText="1"/>
    </x:xf>
    <x:xf numFmtId="0" fontId="3" fillId="7" borderId="24" xfId="0" applyNumberFormat="1" applyFont="1" applyFill="1" applyBorder="1" applyAlignment="1">
      <x:alignment horizontal="center" wrapText="1"/>
    </x:xf>
    <x:xf numFmtId="0" fontId="3" fillId="7" borderId="25" xfId="0" applyNumberFormat="1" applyFont="1" applyFill="1" applyBorder="1" applyAlignment="1">
      <x:alignment horizontal="center" wrapText="1"/>
    </x:xf>
    <x:xf numFmtId="0" fontId="3" fillId="7" borderId="26" xfId="0" applyNumberFormat="1" applyFont="1" applyFill="1" applyBorder="1" applyAlignment="1">
      <x:alignment horizontal="center" wrapText="1"/>
    </x:xf>
    <x:xf numFmtId="0" fontId="3" fillId="7" borderId="27" xfId="0" applyNumberFormat="1" applyFont="1" applyFill="1" applyBorder="1" applyAlignment="1">
      <x:alignment horizontal="center" wrapText="1"/>
    </x:xf>
    <x:xf numFmtId="0" fontId="3" fillId="7" borderId="28" xfId="0" applyNumberFormat="1" applyFont="1" applyFill="1" applyBorder="1" applyAlignment="1">
      <x:alignment horizontal="center" wrapText="1"/>
    </x:xf>
    <x:xf numFmtId="0" fontId="3" fillId="7" borderId="23" xfId="0" applyNumberFormat="1" applyFont="1" applyFill="1" applyBorder="1" applyAlignment="1">
      <x:alignment horizontal="center" vertical="center" wrapText="1"/>
    </x:xf>
    <x:xf numFmtId="0" fontId="3" fillId="7" borderId="24" xfId="0" applyNumberFormat="1" applyFont="1" applyFill="1" applyBorder="1" applyAlignment="1">
      <x:alignment horizontal="center" vertical="center" wrapText="1"/>
    </x:xf>
    <x:xf numFmtId="0" fontId="3" fillId="7" borderId="25" xfId="0" applyNumberFormat="1" applyFont="1" applyFill="1" applyBorder="1" applyAlignment="1">
      <x:alignment horizontal="center" vertical="center" wrapText="1"/>
    </x:xf>
    <x:xf numFmtId="0" fontId="3" fillId="7" borderId="26" xfId="0" applyNumberFormat="1" applyFont="1" applyFill="1" applyBorder="1" applyAlignment="1">
      <x:alignment horizontal="center" vertical="center" wrapText="1"/>
    </x:xf>
    <x:xf numFmtId="0" fontId="3" fillId="7" borderId="27" xfId="0" applyNumberFormat="1" applyFont="1" applyFill="1" applyBorder="1" applyAlignment="1">
      <x:alignment horizontal="center" vertical="center" wrapText="1"/>
    </x:xf>
    <x:xf numFmtId="0" fontId="3" fillId="7" borderId="28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8" fillId="13" borderId="0" xfId="0" applyNumberFormat="1" applyFont="1" applyFill="1" applyBorder="1"/>
    <x:xf numFmtId="0" fontId="8" fillId="13" borderId="29" xfId="0" applyNumberFormat="1" applyFont="1" applyFill="1" applyBorder="1"/>
    <x:xf numFmtId="0" fontId="8" fillId="13" borderId="30" xfId="0" applyNumberFormat="1" applyFont="1" applyFill="1" applyBorder="1"/>
    <x:xf numFmtId="0" fontId="8" fillId="13" borderId="31" xfId="0" applyNumberFormat="1" applyFont="1" applyFill="1" applyBorder="1"/>
    <x:xf numFmtId="0" fontId="8" fillId="13" borderId="32" xfId="0" applyNumberFormat="1" applyFont="1" applyFill="1" applyBorder="1"/>
    <x:xf numFmtId="0" fontId="8" fillId="13" borderId="33" xfId="0" applyNumberFormat="1" applyFont="1" applyFill="1" applyBorder="1"/>
    <x:xf numFmtId="0" fontId="8" fillId="13" borderId="34" xfId="0" applyNumberFormat="1" applyFont="1" applyFill="1" applyBorder="1"/>
    <x:xf numFmtId="0" fontId="8" fillId="13" borderId="35" xfId="0" applyNumberFormat="1" applyFont="1" applyFill="1" applyBorder="1"/>
    <x:xf numFmtId="0" fontId="8" fillId="13" borderId="36" xfId="0" applyNumberFormat="1" applyFont="1" applyFill="1" applyBorder="1"/>
    <x:xf numFmtId="0" fontId="8" fillId="13" borderId="29" xfId="0" applyNumberFormat="1" applyFont="1" applyFill="1" applyBorder="1" applyAlignment="1">
      <x:alignment wrapText="1"/>
    </x:xf>
    <x:xf numFmtId="0" fontId="8" fillId="13" borderId="30" xfId="0" applyNumberFormat="1" applyFont="1" applyFill="1" applyBorder="1" applyAlignment="1">
      <x:alignment wrapText="1"/>
    </x:xf>
    <x:xf numFmtId="0" fontId="8" fillId="13" borderId="31" xfId="0" applyNumberFormat="1" applyFont="1" applyFill="1" applyBorder="1" applyAlignment="1">
      <x:alignment wrapText="1"/>
    </x:xf>
    <x:xf numFmtId="0" fontId="8" fillId="13" borderId="32" xfId="0" applyNumberFormat="1" applyFont="1" applyFill="1" applyBorder="1" applyAlignment="1">
      <x:alignment wrapText="1"/>
    </x:xf>
    <x:xf numFmtId="0" fontId="8" fillId="13" borderId="0" xfId="0" applyNumberFormat="1" applyFont="1" applyFill="1" applyBorder="1" applyAlignment="1">
      <x:alignment wrapText="1"/>
    </x:xf>
    <x:xf numFmtId="0" fontId="8" fillId="13" borderId="33" xfId="0" applyNumberFormat="1" applyFont="1" applyFill="1" applyBorder="1" applyAlignment="1">
      <x:alignment wrapText="1"/>
    </x:xf>
    <x:xf numFmtId="0" fontId="8" fillId="13" borderId="34" xfId="0" applyNumberFormat="1" applyFont="1" applyFill="1" applyBorder="1" applyAlignment="1">
      <x:alignment wrapText="1"/>
    </x:xf>
    <x:xf numFmtId="0" fontId="8" fillId="13" borderId="35" xfId="0" applyNumberFormat="1" applyFont="1" applyFill="1" applyBorder="1" applyAlignment="1">
      <x:alignment wrapText="1"/>
    </x:xf>
    <x:xf numFmtId="0" fontId="8" fillId="13" borderId="36" xfId="0" applyNumberFormat="1" applyFont="1" applyFill="1" applyBorder="1" applyAlignment="1">
      <x:alignment wrapText="1"/>
    </x:xf>
    <x:xf numFmtId="0" fontId="8" fillId="13" borderId="29" xfId="0" applyNumberFormat="1" applyFont="1" applyFill="1" applyBorder="1" applyAlignment="1">
      <x:alignment horizontal="center" wrapText="1"/>
    </x:xf>
    <x:xf numFmtId="0" fontId="8" fillId="13" borderId="30" xfId="0" applyNumberFormat="1" applyFont="1" applyFill="1" applyBorder="1" applyAlignment="1">
      <x:alignment horizontal="center" wrapText="1"/>
    </x:xf>
    <x:xf numFmtId="0" fontId="8" fillId="13" borderId="31" xfId="0" applyNumberFormat="1" applyFont="1" applyFill="1" applyBorder="1" applyAlignment="1">
      <x:alignment horizontal="center" wrapText="1"/>
    </x:xf>
    <x:xf numFmtId="0" fontId="8" fillId="13" borderId="32" xfId="0" applyNumberFormat="1" applyFont="1" applyFill="1" applyBorder="1" applyAlignment="1">
      <x:alignment horizontal="center" wrapText="1"/>
    </x:xf>
    <x:xf numFmtId="0" fontId="8" fillId="13" borderId="0" xfId="0" applyNumberFormat="1" applyFont="1" applyFill="1" applyBorder="1" applyAlignment="1">
      <x:alignment horizontal="center" wrapText="1"/>
    </x:xf>
    <x:xf numFmtId="0" fontId="8" fillId="13" borderId="33" xfId="0" applyNumberFormat="1" applyFont="1" applyFill="1" applyBorder="1" applyAlignment="1">
      <x:alignment horizontal="center" wrapText="1"/>
    </x:xf>
    <x:xf numFmtId="0" fontId="8" fillId="13" borderId="34" xfId="0" applyNumberFormat="1" applyFont="1" applyFill="1" applyBorder="1" applyAlignment="1">
      <x:alignment horizontal="center" wrapText="1"/>
    </x:xf>
    <x:xf numFmtId="0" fontId="8" fillId="13" borderId="35" xfId="0" applyNumberFormat="1" applyFont="1" applyFill="1" applyBorder="1" applyAlignment="1">
      <x:alignment horizontal="center" wrapText="1"/>
    </x:xf>
    <x:xf numFmtId="0" fontId="8" fillId="13" borderId="36" xfId="0" applyNumberFormat="1" applyFont="1" applyFill="1" applyBorder="1" applyAlignment="1">
      <x:alignment horizontal="center" wrapText="1"/>
    </x:xf>
    <x:xf numFmtId="0" fontId="8" fillId="13" borderId="29" xfId="0" applyNumberFormat="1" applyFont="1" applyFill="1" applyBorder="1" applyAlignment="1">
      <x:alignment horizontal="center" vertical="center" wrapText="1"/>
    </x:xf>
    <x:xf numFmtId="0" fontId="8" fillId="13" borderId="30" xfId="0" applyNumberFormat="1" applyFont="1" applyFill="1" applyBorder="1" applyAlignment="1">
      <x:alignment horizontal="center" vertical="center" wrapText="1"/>
    </x:xf>
    <x:xf numFmtId="0" fontId="8" fillId="13" borderId="31" xfId="0" applyNumberFormat="1" applyFont="1" applyFill="1" applyBorder="1" applyAlignment="1">
      <x:alignment horizontal="center" vertical="center" wrapText="1"/>
    </x:xf>
    <x:xf numFmtId="0" fontId="8" fillId="13" borderId="32" xfId="0" applyNumberFormat="1" applyFont="1" applyFill="1" applyBorder="1" applyAlignment="1">
      <x:alignment horizontal="center" vertical="center" wrapText="1"/>
    </x:xf>
    <x:xf numFmtId="0" fontId="8" fillId="13" borderId="0" xfId="0" applyNumberFormat="1" applyFont="1" applyFill="1" applyBorder="1" applyAlignment="1">
      <x:alignment horizontal="center" vertical="center" wrapText="1"/>
    </x:xf>
    <x:xf numFmtId="0" fontId="8" fillId="13" borderId="33" xfId="0" applyNumberFormat="1" applyFont="1" applyFill="1" applyBorder="1" applyAlignment="1">
      <x:alignment horizontal="center" vertical="center" wrapText="1"/>
    </x:xf>
    <x:xf numFmtId="0" fontId="8" fillId="13" borderId="34" xfId="0" applyNumberFormat="1" applyFont="1" applyFill="1" applyBorder="1" applyAlignment="1">
      <x:alignment horizontal="center" vertical="center" wrapText="1"/>
    </x:xf>
    <x:xf numFmtId="0" fontId="8" fillId="13" borderId="35" xfId="0" applyNumberFormat="1" applyFont="1" applyFill="1" applyBorder="1" applyAlignment="1">
      <x:alignment horizontal="center" vertical="center" wrapText="1"/>
    </x:xf>
    <x:xf numFmtId="0" fontId="8" fillId="13" borderId="36" xfId="0" applyNumberFormat="1" applyFont="1" applyFill="1" applyBorder="1" applyAlignment="1">
      <x:alignment horizontal="center" vertical="center"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center"/>
    </x:xf>
    <x:xf numFmtId="0" fontId="0" fillId="2" borderId="2" xfId="0" applyNumberFormat="1" applyFont="1" applyFill="1" applyBorder="1" applyAlignment="1">
      <x:alignment vertical="center"/>
    </x:xf>
    <x:xf numFmtId="0" fontId="0" fillId="2" borderId="3" xfId="0" applyNumberFormat="1" applyFont="1" applyFill="1" applyBorder="1" applyAlignment="1">
      <x:alignment vertical="center"/>
    </x:xf>
    <x:xf numFmtId="0" fontId="0" fillId="2" borderId="4" xfId="0" applyNumberFormat="1" applyFont="1" applyFill="1" applyBorder="1" applyAlignment="1">
      <x:alignment vertical="center"/>
    </x:xf>
    <x:xf numFmtId="0" fontId="9" fillId="2" borderId="2" xfId="0" applyNumberFormat="1" applyFont="1" applyFill="1" applyBorder="1" applyAlignment="1">
      <x:alignment vertical="center"/>
    </x:xf>
    <x:xf numFmtId="0" fontId="9" fillId="2" borderId="3" xfId="0" applyNumberFormat="1" applyFont="1" applyFill="1" applyBorder="1" applyAlignment="1">
      <x:alignment vertical="center"/>
    </x:xf>
    <x:xf numFmtId="0" fontId="9" fillId="2" borderId="4" xfId="0" applyNumberFormat="1" applyFont="1" applyFill="1" applyBorder="1" applyAlignment="1">
      <x:alignment vertical="center"/>
    </x:xf>
    <x:xf numFmtId="0" fontId="9" fillId="2" borderId="2" xfId="0" applyNumberFormat="1" applyFont="1" applyFill="1" applyBorder="1" applyAlignment="1">
      <x:alignment horizontal="center" vertical="center"/>
    </x:xf>
    <x:xf numFmtId="0" fontId="9" fillId="2" borderId="3" xfId="0" applyNumberFormat="1" applyFont="1" applyFill="1" applyBorder="1" applyAlignment="1">
      <x:alignment horizontal="center" vertical="center"/>
    </x:xf>
    <x:xf numFmtId="0" fontId="9" fillId="2" borderId="4" xfId="0" applyNumberFormat="1" applyFont="1" applyFill="1" applyBorder="1" applyAlignment="1">
      <x:alignment horizontal="center" vertical="center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1" xfId="0" applyNumberFormat="1" applyFont="1" applyFill="1" applyBorder="1"/>
    <x:xf numFmtId="0" fontId="1" fillId="14" borderId="1" xfId="0" applyNumberFormat="1" applyFont="1" applyFill="1" applyBorder="1" applyAlignment="1">
      <x:alignment wrapText="1"/>
    </x:xf>
    <x:xf numFmtId="0" fontId="1" fillId="14" borderId="1" xfId="0" applyNumberFormat="1" applyFont="1" applyFill="1" applyBorder="1" applyAlignment="1">
      <x:alignment horizontal="center" wrapText="1"/>
    </x:xf>
    <x:xf numFmtId="0" fontId="1" fillId="14" borderId="1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0" fillId="15" xfId="0" applyNumberFormat="1" applyFont="1" applyFill="1" applyBorder="0"/>
    <x:xf numFmtId="0" fontId="0" fillId="15" xfId="0" applyNumberFormat="1" applyFont="1" applyFill="1" applyBorder="0" applyAlignment="1">
      <x:alignment vertical="center"/>
    </x:xf>
    <x:xf numFmtId="0" fontId="0" fillId="16" borderId="0" xfId="0" applyNumberFormat="1" applyFont="1" applyFill="1" applyBorder="1"/>
    <x:xf numFmtId="0" fontId="0" fillId="16" xfId="0" applyNumberFormat="1" applyFont="1" applyFill="1" applyBorder="0"/>
    <x:xf numFmtId="0" fontId="0" fillId="16" xfId="0" applyNumberFormat="1" applyFont="1" applyFill="1" applyBorder="0" applyAlignment="1">
      <x:alignment vertical="center"/>
    </x:xf>
    <x:xf numFmtId="200" fontId="0" fillId="15" xfId="0" applyNumberFormat="1" applyFont="1" applyFill="1" applyBorder="0" applyAlignment="1">
      <x:alignment vertical="center"/>
    </x:xf>
    <x:xf numFmtId="200" fontId="0" fillId="16" xfId="0" applyNumberFormat="1" applyFont="1" applyFill="1" applyBorder="0" applyAlignment="1">
      <x:alignment vertical="center"/>
    </x:xf>
    <x:xf numFmtId="0" fontId="0" fillId="17" borderId="2" xfId="0" applyNumberFormat="1" applyFont="1" applyFill="1" applyBorder="1" applyAlignment="1">
      <x:alignment vertical="center"/>
    </x:xf>
    <x:xf numFmtId="200" fontId="0" fillId="17" borderId="2" xfId="0" applyNumberFormat="1" applyFont="1" applyFill="1" applyBorder="1" applyAlignment="1">
      <x:alignment vertical="center"/>
    </x:xf>
    <x:xf numFmtId="0" fontId="0" fillId="17" borderId="3" xfId="0" applyNumberFormat="1" applyFont="1" applyFill="1" applyBorder="1" applyAlignment="1">
      <x:alignment vertical="center"/>
    </x:xf>
    <x:xf numFmtId="200" fontId="0" fillId="17" borderId="3" xfId="0" applyNumberFormat="1" applyFont="1" applyFill="1" applyBorder="1" applyAlignment="1">
      <x:alignment vertical="center"/>
    </x:xf>
    <x:xf numFmtId="0" fontId="0" fillId="18" borderId="3" xfId="0" applyNumberFormat="1" applyFont="1" applyFill="1" applyBorder="1" applyAlignment="1">
      <x:alignment vertical="center"/>
    </x:xf>
    <x:xf numFmtId="200" fontId="0" fillId="18" borderId="3" xfId="0" applyNumberFormat="1" applyFont="1" applyFill="1" applyBorder="1" applyAlignment="1">
      <x:alignment vertical="center"/>
    </x:xf>
    <x:xf numFmtId="0" fontId="0" fillId="19" borderId="3" xfId="0" applyNumberFormat="1" applyFont="1" applyFill="1" applyBorder="1" applyAlignment="1">
      <x:alignment vertical="center"/>
    </x:xf>
    <x:xf numFmtId="200" fontId="0" fillId="19" borderId="3" xfId="0" applyNumberFormat="1" applyFont="1" applyFill="1" applyBorder="1" applyAlignment="1">
      <x:alignment vertical="center"/>
    </x:xf>
    <x:xf numFmtId="0" fontId="0" fillId="18" borderId="4" xfId="0" applyNumberFormat="1" applyFont="1" applyFill="1" applyBorder="1" applyAlignment="1">
      <x:alignment vertical="center"/>
    </x:xf>
    <x:xf numFmtId="200" fontId="0" fillId="18" borderId="4" xfId="0" applyNumberFormat="1" applyFont="1" applyFill="1" applyBorder="1" applyAlignment="1">
      <x:alignment vertical="center"/>
    </x:xf>
    <x:xf numFmtId="200" fontId="0" fillId="11" borderId="2" xfId="0" applyNumberFormat="1" applyFont="1" applyFill="1" applyBorder="1" applyAlignment="1">
      <x:alignment vertical="center"/>
    </x:xf>
    <x:xf numFmtId="200" fontId="0" fillId="11" borderId="3" xfId="0" applyNumberFormat="1" applyFont="1" applyFill="1" applyBorder="1" applyAlignment="1">
      <x:alignment vertical="center"/>
    </x:xf>
    <x:xf numFmtId="200" fontId="0" fillId="12" borderId="3" xfId="0" applyNumberFormat="1" applyFont="1" applyFill="1" applyBorder="1" applyAlignment="1">
      <x:alignment vertical="center"/>
    </x:xf>
    <x:xf numFmtId="200" fontId="0" fillId="7" borderId="3" xfId="0" applyNumberFormat="1" applyFont="1" applyFill="1" applyBorder="1" applyAlignment="1">
      <x:alignment vertical="center"/>
    </x:xf>
    <x:xf numFmtId="200" fontId="0" fillId="12" borderId="4" xfId="0" applyNumberFormat="1" applyFont="1" applyFill="1" applyBorder="1" applyAlignment="1">
      <x:alignment vertical="center"/>
    </x:xf>
    <x:xf numFmtId="0" fontId="0" fillId="20" borderId="0" xfId="0" applyNumberFormat="1" applyFont="1" applyFill="1" applyBorder="1"/>
    <x:xf numFmtId="0" fontId="1" fillId="20" borderId="0" xfId="0" applyNumberFormat="1" applyFont="1" applyFill="1" applyBorder="1"/>
    <x:xf numFmtId="0" fontId="1" fillId="20" borderId="1" xfId="0" applyNumberFormat="1" applyFont="1" applyFill="1" applyBorder="1"/>
    <x:xf numFmtId="0" fontId="1" fillId="20" borderId="1" xfId="0" applyNumberFormat="1" applyFont="1" applyFill="1" applyBorder="1" applyAlignment="1">
      <x:alignment wrapText="1"/>
    </x:xf>
    <x:xf numFmtId="0" fontId="1" fillId="20" borderId="1" xfId="0" applyNumberFormat="1" applyFont="1" applyFill="1" applyBorder="1" applyAlignment="1">
      <x:alignment horizontal="center" wrapText="1"/>
    </x:xf>
    <x:xf numFmtId="0" fontId="1" fillId="20" borderId="1" xfId="0" applyNumberFormat="1" applyFont="1" applyFill="1" applyBorder="1" applyAlignment="1">
      <x:alignment horizontal="center" vertical="center" wrapText="1"/>
    </x:xf>
    <x:xf numFmtId="0" fontId="0" fillId="21" borderId="0" xfId="0" applyNumberFormat="1" applyFont="1" applyFill="1" applyBorder="1"/>
    <x:xf numFmtId="0" fontId="0" fillId="21" xfId="0" applyNumberFormat="1" applyFont="1" applyFill="1" applyBorder="0"/>
    <x:xf numFmtId="0" fontId="0" fillId="21" xfId="0" applyNumberFormat="1" applyFont="1" applyFill="1" applyBorder="0" applyAlignment="1">
      <x:alignment vertical="center"/>
    </x:xf>
    <x:xf numFmtId="0" fontId="0" fillId="22" borderId="0" xfId="0" applyNumberFormat="1" applyFont="1" applyFill="1" applyBorder="1"/>
    <x:xf numFmtId="0" fontId="0" fillId="22" xfId="0" applyNumberFormat="1" applyFont="1" applyFill="1" applyBorder="0"/>
    <x:xf numFmtId="0" fontId="0" fillId="22" xfId="0" applyNumberFormat="1" applyFont="1" applyFill="1" applyBorder="0" applyAlignment="1">
      <x:alignment vertical="center"/>
    </x:xf>
    <x:xf numFmtId="200" fontId="0" fillId="21" xfId="0" applyNumberFormat="1" applyFont="1" applyFill="1" applyBorder="0" applyAlignment="1">
      <x:alignment vertical="center"/>
    </x:xf>
    <x:xf numFmtId="200" fontId="0" fillId="22" xfId="0" applyNumberFormat="1" applyFont="1" applyFill="1" applyBorder="0" applyAlignment="1">
      <x:alignment vertical="center"/>
    </x:xf>
    <x:xf numFmtId="0" fontId="0" fillId="23" borderId="2" xfId="0" applyNumberFormat="1" applyFont="1" applyFill="1" applyBorder="1" applyAlignment="1">
      <x:alignment vertical="center"/>
    </x:xf>
    <x:xf numFmtId="200" fontId="0" fillId="23" borderId="2" xfId="0" applyNumberFormat="1" applyFont="1" applyFill="1" applyBorder="1" applyAlignment="1">
      <x:alignment vertical="center"/>
    </x:xf>
    <x:xf numFmtId="0" fontId="0" fillId="23" borderId="3" xfId="0" applyNumberFormat="1" applyFont="1" applyFill="1" applyBorder="1" applyAlignment="1">
      <x:alignment vertical="center"/>
    </x:xf>
    <x:xf numFmtId="200" fontId="0" fillId="23" borderId="3" xfId="0" applyNumberFormat="1" applyFont="1" applyFill="1" applyBorder="1" applyAlignment="1">
      <x:alignment vertical="center"/>
    </x:xf>
    <x:xf numFmtId="0" fontId="0" fillId="24" borderId="3" xfId="0" applyNumberFormat="1" applyFont="1" applyFill="1" applyBorder="1" applyAlignment="1">
      <x:alignment vertical="center"/>
    </x:xf>
    <x:xf numFmtId="200" fontId="0" fillId="24" borderId="3" xfId="0" applyNumberFormat="1" applyFont="1" applyFill="1" applyBorder="1" applyAlignment="1">
      <x:alignment vertical="center"/>
    </x:xf>
    <x:xf numFmtId="0" fontId="0" fillId="25" borderId="3" xfId="0" applyNumberFormat="1" applyFont="1" applyFill="1" applyBorder="1" applyAlignment="1">
      <x:alignment vertical="center"/>
    </x:xf>
    <x:xf numFmtId="200" fontId="0" fillId="25" borderId="3" xfId="0" applyNumberFormat="1" applyFont="1" applyFill="1" applyBorder="1" applyAlignment="1">
      <x:alignment vertical="center"/>
    </x:xf>
    <x:xf numFmtId="0" fontId="0" fillId="24" borderId="4" xfId="0" applyNumberFormat="1" applyFont="1" applyFill="1" applyBorder="1" applyAlignment="1">
      <x:alignment vertical="center"/>
    </x:xf>
    <x:xf numFmtId="200" fontId="0" fillId="24" borderId="4" xfId="0" applyNumberFormat="1" applyFont="1" applyFill="1" applyBorder="1" applyAlignment="1">
      <x:alignment vertical="center"/>
    </x:xf>
    <x:xf numFmtId="0" fontId="0" fillId="26" borderId="0" xfId="0" applyNumberFormat="1" applyFont="1" applyFill="1" applyBorder="1"/>
    <x:xf numFmtId="0" fontId="1" fillId="26" borderId="0" xfId="0" applyNumberFormat="1" applyFont="1" applyFill="1" applyBorder="1"/>
    <x:xf numFmtId="0" fontId="1" fillId="26" borderId="1" xfId="0" applyNumberFormat="1" applyFont="1" applyFill="1" applyBorder="1"/>
    <x:xf numFmtId="0" fontId="1" fillId="26" borderId="1" xfId="0" applyNumberFormat="1" applyFont="1" applyFill="1" applyBorder="1" applyAlignment="1">
      <x:alignment wrapText="1"/>
    </x:xf>
    <x:xf numFmtId="0" fontId="1" fillId="26" borderId="1" xfId="0" applyNumberFormat="1" applyFont="1" applyFill="1" applyBorder="1" applyAlignment="1">
      <x:alignment horizontal="center" wrapText="1"/>
    </x:xf>
    <x:xf numFmtId="0" fontId="1" fillId="26" borderId="1" xfId="0" applyNumberFormat="1" applyFont="1" applyFill="1" applyBorder="1" applyAlignment="1">
      <x:alignment horizontal="center" vertical="center" wrapText="1"/>
    </x:xf>
    <x:xf numFmtId="0" fontId="0" fillId="27" borderId="0" xfId="0" applyNumberFormat="1" applyFont="1" applyFill="1" applyBorder="1"/>
    <x:xf numFmtId="0" fontId="0" fillId="27" xfId="0" applyNumberFormat="1" applyFont="1" applyFill="1" applyBorder="0"/>
    <x:xf numFmtId="0" fontId="0" fillId="27" xfId="0" applyNumberFormat="1" applyFont="1" applyFill="1" applyBorder="0" applyAlignment="1">
      <x:alignment vertical="center"/>
    </x:xf>
    <x:xf numFmtId="0" fontId="0" fillId="28" borderId="0" xfId="0" applyNumberFormat="1" applyFont="1" applyFill="1" applyBorder="1"/>
    <x:xf numFmtId="0" fontId="0" fillId="28" xfId="0" applyNumberFormat="1" applyFont="1" applyFill="1" applyBorder="0"/>
    <x:xf numFmtId="0" fontId="0" fillId="28" xfId="0" applyNumberFormat="1" applyFont="1" applyFill="1" applyBorder="0" applyAlignment="1">
      <x:alignment vertical="center"/>
    </x:xf>
    <x:xf numFmtId="200" fontId="0" fillId="27" xfId="0" applyNumberFormat="1" applyFont="1" applyFill="1" applyBorder="0" applyAlignment="1">
      <x:alignment vertical="center"/>
    </x:xf>
    <x:xf numFmtId="200" fontId="0" fillId="28" xfId="0" applyNumberFormat="1" applyFont="1" applyFill="1" applyBorder="0" applyAlignment="1">
      <x:alignment vertical="center"/>
    </x:xf>
    <x:xf numFmtId="0" fontId="0" fillId="29" borderId="0" xfId="0" applyNumberFormat="1" applyFont="1" applyFill="1" applyBorder="1"/>
    <x:xf numFmtId="0" fontId="10" fillId="29" borderId="0" xfId="0" applyNumberFormat="1" applyFont="1" applyFill="1" applyBorder="1"/>
    <x:xf numFmtId="0" fontId="10" fillId="29" borderId="37" xfId="0" applyNumberFormat="1" applyFont="1" applyFill="1" applyBorder="1"/>
    <x:xf numFmtId="0" fontId="10" fillId="29" borderId="38" xfId="0" applyNumberFormat="1" applyFont="1" applyFill="1" applyBorder="1"/>
    <x:xf numFmtId="0" fontId="10" fillId="29" borderId="39" xfId="0" applyNumberFormat="1" applyFont="1" applyFill="1" applyBorder="1"/>
    <x:xf numFmtId="0" fontId="10" fillId="29" borderId="40" xfId="0" applyNumberFormat="1" applyFont="1" applyFill="1" applyBorder="1"/>
    <x:xf numFmtId="0" fontId="10" fillId="29" borderId="41" xfId="0" applyNumberFormat="1" applyFont="1" applyFill="1" applyBorder="1"/>
    <x:xf numFmtId="0" fontId="10" fillId="29" borderId="42" xfId="0" applyNumberFormat="1" applyFont="1" applyFill="1" applyBorder="1"/>
    <x:xf numFmtId="0" fontId="0" fillId="30" borderId="0" xfId="0" applyNumberFormat="1" applyFont="1" applyFill="1" applyBorder="1"/>
    <x:xf numFmtId="0" fontId="10" fillId="30" borderId="0" xfId="0" applyNumberFormat="1" applyFont="1" applyFill="1" applyBorder="1"/>
  </x:cellXfs>
  <x:cellStyles count="1">
    <x:cellStyle name="Normal" xfId="0"/>
  </x:cellStyles>
  <x:dxfs count="10">
    <x:dxf>
      <x:fill>
        <x:patternFill>
          <x:bgColor rgb="FFF2F4F3"/>
        </x:patternFill>
      </x:fill>
    </x:dxf>
    <x:dxf>
      <x:font>
        <x:b/>
        <x:color rgb="FF9C271C"/>
      </x:font>
      <x:fill>
        <x:patternFill>
          <x:bgColor rgb="FFF7C7C7"/>
        </x:patternFill>
      </x:fill>
    </x:dxf>
    <x:dxf>
      <x:font>
        <x:b/>
        <x:color rgb="FF9C271C"/>
      </x:font>
      <x:fill>
        <x:patternFill>
          <x:bgColor rgb="FFF7C7C7"/>
        </x:patternFill>
      </x:fill>
    </x:dxf>
    <x:dxf>
      <x:fill>
        <x:patternFill>
          <x:bgColor rgb="FFF2F4F3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E4B8"/>
        </x:patternFill>
      </x:fill>
    </x:dxf>
    <x:dxf>
      <x:fill>
        <x:patternFill>
          <x:bgColor rgb="FFF7C7C7"/>
        </x:patternFill>
      </x:fill>
    </x:dxf>
    <x:dxf>
      <x:fill>
        <x:patternFill>
          <x:bgColor rgb="FFF2F4F3"/>
        </x:patternFill>
      </x:fill>
    </x:dxf>
    <x:dxf>
      <x:fill>
        <x:patternFill>
          <x:bgColor rgb="FFF2F4F3"/>
        </x:patternFill>
      </x:fill>
    </x:dxf>
    <x:dxf>
      <x:fill>
        <x:patternFill>
          <x:bgColor rgb="FFF2F4F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0e77a456c34b0e" /><Relationship Type="http://schemas.openxmlformats.org/officeDocument/2006/relationships/theme" Target="/xl/theme/theme1.xml" Id="R9f7d65bba4f04df4" /><Relationship Type="http://schemas.openxmlformats.org/officeDocument/2006/relationships/sharedStrings" Target="/xl/sharedStrings.xml" Id="Rac9dee0a66c243f8" /><Relationship Type="http://schemas.openxmlformats.org/officeDocument/2006/relationships/worksheet" Target="/xl/worksheets/sheet1.xml" Id="R918b445ef3e14c86" /><Relationship Type="http://schemas.openxmlformats.org/officeDocument/2006/relationships/worksheet" Target="/xl/worksheets/sheet2.xml" Id="R1338646ac0f14521" /><Relationship Type="http://schemas.openxmlformats.org/officeDocument/2006/relationships/worksheet" Target="/xl/worksheets/sheet3.xml" Id="Rf93597975cd94db7" /><Relationship Type="http://schemas.openxmlformats.org/officeDocument/2006/relationships/worksheet" Target="/xl/worksheets/sheet4.xml" Id="R46c7a02a28664f2e" /><Relationship Type="http://schemas.openxmlformats.org/officeDocument/2006/relationships/worksheet" Target="/xl/worksheets/sheet5.xml" Id="R413cde26a81b4832" /><Relationship Type="http://schemas.openxmlformats.org/officeDocument/2006/relationships/worksheet" Target="/xl/worksheets/sheet6.xml" Id="R63e1531282104007" /><Relationship Type="http://schemas.openxmlformats.org/officeDocument/2006/relationships/worksheet" Target="/xl/worksheets/sheet7.xml" Id="Rd02d25ad14bd45c2" /><Relationship Type="http://schemas.openxmlformats.org/officeDocument/2006/relationships/worksheet" Target="/xl/worksheets/sheet8.xml" Id="R279a7afff48f4e5a" /><Relationship Type="http://schemas.openxmlformats.org/officeDocument/2006/relationships/worksheet" Target="/xl/worksheets/sheet9.xml" Id="R242d1305a1324f5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b410e6d69c646a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HR Record Exceptions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COUNT</c:v>
          </c:tx>
          <c:spPr>
            <a:solidFill xmlns:a="http://schemas.openxmlformats.org/drawingml/2006/main">
              <a:srgbClr val="C7FF00"/>
            </a:solidFill>
          </c:spPr>
          <c:cat>
            <c:strRef>
              <c:f>'Dashboard'!$A$19:$A$23</c:f>
              <c:strCache>
                <c:ptCount val="0"/>
              </c:strCache>
            </c:strRef>
          </c:cat>
          <c:val>
            <c:numRef>
              <c:f>'Dashboard'!$B$19:$B$23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16</xdr:row>
      <xdr:rowOff>0</xdr:rowOff>
    </xdr:from>
    <xdr:to>
      <xdr:col>11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b410e6d69c646a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90a1452d65b248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27" hidden="0" customWidth="1"/>
    <x:col min="4" max="4" width="16" hidden="0" customWidth="1"/>
    <x:col min="5" max="5" width="20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36" customHeight="1">
      <x:c r="A1" s="3" t="str">
        <x:v>PROJ-006 | RAW EMPLOYEE RECORDS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5" customHeight="1">
      <x:c r="A2" s="6" t="str">
        <x:v>Simulated HR administration data • no real personal information • source values preserved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</x:row>
    <x:row r="3" ht="30" customHeight="1">
      <x:c r="A3" s="12" t="str">
        <x:v>Employee ID</x:v>
      </x:c>
      <x:c r="B3" s="12" t="str">
        <x:v>Full Name</x:v>
      </x:c>
      <x:c r="C3" s="12" t="str">
        <x:v>Work Email</x:v>
      </x:c>
      <x:c r="D3" s="12" t="str">
        <x:v>Department</x:v>
      </x:c>
      <x:c r="E3" s="12" t="str">
        <x:v>Job Title</x:v>
      </x:c>
      <x:c r="F3" s="12" t="str">
        <x:v>Employment Type</x:v>
      </x:c>
      <x:c r="G3" s="12" t="str">
        <x:v>Start Date</x:v>
      </x:c>
      <x:c r="H3" s="12" t="str">
        <x:v>Contract End</x:v>
      </x:c>
      <x:c r="I3" s="12" t="str">
        <x:v>Probation End</x:v>
      </x:c>
      <x:c r="J3" s="12" t="str">
        <x:v>Manager</x:v>
      </x:c>
      <x:c r="K3" s="12" t="str">
        <x:v>Work Location</x:v>
      </x:c>
      <x:c r="L3" s="12" t="str">
        <x:v>ID Document</x:v>
      </x:c>
      <x:c r="M3" s="12" t="str">
        <x:v>Tax Document</x:v>
      </x:c>
      <x:c r="N3" s="12" t="str">
        <x:v>Bank Form</x:v>
      </x:c>
      <x:c r="O3" s="12" t="str">
        <x:v>Emergency Contact</x:v>
      </x:c>
      <x:c r="P3" s="12" t="str">
        <x:v>Policy Acknowledgement</x:v>
      </x:c>
    </x:row>
    <x:row r="4" ht="22" customHeight="1">
      <x:c r="A4" s="17" t="str">
        <x:v>EMP-0001</x:v>
      </x:c>
      <x:c r="B4" s="17" t="str">
        <x:v>Employee 01</x:v>
      </x:c>
      <x:c r="C4" s="17" t="str">
        <x:v>employee1@northstar.example</x:v>
      </x:c>
      <x:c r="D4" s="17" t="str">
        <x:v>Operations</x:v>
      </x:c>
      <x:c r="E4" s="17" t="str">
        <x:v>Analyst</x:v>
      </x:c>
      <x:c r="F4" s="17" t="str">
        <x:v>Permanent</x:v>
      </x:c>
      <x:c r="G4" s="20" t="n">
        <x:v>46026</x:v>
      </x:c>
      <x:c r="H4" s="20"/>
      <x:c r="I4" s="20" t="n">
        <x:v>46116</x:v>
      </x:c>
      <x:c r="J4" s="17" t="str">
        <x:v>Manager 2</x:v>
      </x:c>
      <x:c r="K4" s="17" t="str">
        <x:v>Surabaya</x:v>
      </x:c>
      <x:c r="L4" s="17" t="str">
        <x:v>Received</x:v>
      </x:c>
      <x:c r="M4" s="17" t="str">
        <x:v>Received</x:v>
      </x:c>
      <x:c r="N4" s="17" t="str">
        <x:v>Received</x:v>
      </x:c>
      <x:c r="O4" s="17" t="str">
        <x:v>Received</x:v>
      </x:c>
      <x:c r="P4" s="17" t="str">
        <x:v>Received</x:v>
      </x:c>
    </x:row>
    <x:row r="5" ht="22" customHeight="1">
      <x:c r="A5" s="18" t="str">
        <x:v>EMP-0002</x:v>
      </x:c>
      <x:c r="B5" s="18" t="str">
        <x:v>Employee 02</x:v>
      </x:c>
      <x:c r="C5" s="18" t="str">
        <x:v>employee2@northstar.example</x:v>
      </x:c>
      <x:c r="D5" s="18" t="str">
        <x:v>Finance</x:v>
      </x:c>
      <x:c r="E5" s="18" t="str">
        <x:v>Administrator</x:v>
      </x:c>
      <x:c r="F5" s="18" t="str">
        <x:v>Contract</x:v>
      </x:c>
      <x:c r="G5" s="21" t="n">
        <x:v>46060</x:v>
      </x:c>
      <x:c r="H5" s="21" t="n">
        <x:v>46425</x:v>
      </x:c>
      <x:c r="I5" s="21" t="n">
        <x:v>46149</x:v>
      </x:c>
      <x:c r="J5" s="18" t="str">
        <x:v>Manager 3</x:v>
      </x:c>
      <x:c r="K5" s="18" t="str">
        <x:v>Bandung</x:v>
      </x:c>
      <x:c r="L5" s="18" t="str">
        <x:v>Received</x:v>
      </x:c>
      <x:c r="M5" s="18" t="str">
        <x:v>Received</x:v>
      </x:c>
      <x:c r="N5" s="18" t="str">
        <x:v>Received</x:v>
      </x:c>
      <x:c r="O5" s="18" t="str">
        <x:v>Received</x:v>
      </x:c>
      <x:c r="P5" s="18" t="str">
        <x:v>Received</x:v>
      </x:c>
    </x:row>
    <x:row r="6" ht="22" customHeight="1">
      <x:c r="A6" s="18" t="str">
        <x:v>EMP-0003</x:v>
      </x:c>
      <x:c r="B6" s="18" t="str">
        <x:v>Employee 03</x:v>
      </x:c>
      <x:c r="C6" s="18" t="str">
        <x:v>employee3@northstar.example</x:v>
      </x:c>
      <x:c r="D6" s="18" t="str">
        <x:v>HR</x:v>
      </x:c>
      <x:c r="E6" s="18" t="str">
        <x:v>Specialist</x:v>
      </x:c>
      <x:c r="F6" s="18" t="str">
        <x:v>Intern</x:v>
      </x:c>
      <x:c r="G6" s="21" t="n">
        <x:v>46091</x:v>
      </x:c>
      <x:c r="H6" s="21" t="n">
        <x:v>46456</x:v>
      </x:c>
      <x:c r="I6" s="21" t="n">
        <x:v>46183</x:v>
      </x:c>
      <x:c r="J6" s="18" t="str">
        <x:v>Manager 4</x:v>
      </x:c>
      <x:c r="K6" s="18" t="str">
        <x:v>Remote</x:v>
      </x:c>
      <x:c r="L6" s="18" t="str">
        <x:v>Received</x:v>
      </x:c>
      <x:c r="M6" s="18" t="str">
        <x:v>Received</x:v>
      </x:c>
      <x:c r="N6" s="18" t="str">
        <x:v>Received</x:v>
      </x:c>
      <x:c r="O6" s="18" t="str">
        <x:v>Received</x:v>
      </x:c>
      <x:c r="P6" s="18" t="str">
        <x:v>Received</x:v>
      </x:c>
    </x:row>
    <x:row r="7" ht="22" customHeight="1">
      <x:c r="A7" s="18" t="str">
        <x:v>EMP-0004</x:v>
      </x:c>
      <x:c r="B7" s="18" t="str">
        <x:v>Employee 04</x:v>
      </x:c>
      <x:c r="C7" s="18" t="str">
        <x:v>employee4@northstar.example</x:v>
      </x:c>
      <x:c r="D7" s="18" t="str">
        <x:v>Sales</x:v>
      </x:c>
      <x:c r="E7" s="18" t="str">
        <x:v>Assistant</x:v>
      </x:c>
      <x:c r="F7" s="18" t="str">
        <x:v>Permanent</x:v>
      </x:c>
      <x:c r="G7" s="21" t="n">
        <x:v>46125</x:v>
      </x:c>
      <x:c r="H7" s="21"/>
      <x:c r="I7" s="21" t="n">
        <x:v>46216</x:v>
      </x:c>
      <x:c r="J7" s="18" t="str">
        <x:v>Manager 5</x:v>
      </x:c>
      <x:c r="K7" s="18" t="str">
        <x:v>Jakarta</x:v>
      </x:c>
      <x:c r="L7" s="18" t="str">
        <x:v>Received</x:v>
      </x:c>
      <x:c r="M7" s="18" t="str">
        <x:v>Received</x:v>
      </x:c>
      <x:c r="N7" s="18" t="str">
        <x:v>Received</x:v>
      </x:c>
      <x:c r="O7" s="18" t="str">
        <x:v>Received</x:v>
      </x:c>
      <x:c r="P7" s="18" t="str">
        <x:v>Received</x:v>
      </x:c>
    </x:row>
    <x:row r="8" ht="22" customHeight="1">
      <x:c r="A8" s="18" t="str">
        <x:v>EMP-0005</x:v>
      </x:c>
      <x:c r="B8" s="18" t="str">
        <x:v>Employee 05</x:v>
      </x:c>
      <x:c r="C8" s="18" t="str">
        <x:v>employee5@northstar.example</x:v>
      </x:c>
      <x:c r="D8" s="18" t="str">
        <x:v>IT</x:v>
      </x:c>
      <x:c r="E8" s="18" t="str">
        <x:v>Coordinator</x:v>
      </x:c>
      <x:c r="F8" s="18" t="str">
        <x:v>Contract</x:v>
      </x:c>
      <x:c r="G8" s="21" t="n">
        <x:v>46158</x:v>
      </x:c>
      <x:c r="H8" s="21" t="n">
        <x:v>46523</x:v>
      </x:c>
      <x:c r="I8" s="21" t="n">
        <x:v>46250</x:v>
      </x:c>
      <x:c r="J8" s="18" t="str">
        <x:v>Manager 6</x:v>
      </x:c>
      <x:c r="K8" s="18" t="str">
        <x:v>Surabaya</x:v>
      </x:c>
      <x:c r="L8" s="18" t="str">
        <x:v>Received</x:v>
      </x:c>
      <x:c r="M8" s="18" t="str">
        <x:v>Received</x:v>
      </x:c>
      <x:c r="N8" s="18" t="str">
        <x:v>Received</x:v>
      </x:c>
      <x:c r="O8" s="18" t="str">
        <x:v>Received</x:v>
      </x:c>
      <x:c r="P8" s="18" t="str">
        <x:v>Received</x:v>
      </x:c>
    </x:row>
    <x:row r="9" ht="22" customHeight="1">
      <x:c r="A9" s="18" t="str">
        <x:v>EMP-0006</x:v>
      </x:c>
      <x:c r="B9" s="18" t="str">
        <x:v>Employee 06</x:v>
      </x:c>
      <x:c r="C9" s="18" t="str">
        <x:v>employee6@northstar.example</x:v>
      </x:c>
      <x:c r="D9" s="18" t="str">
        <x:v>Operations</x:v>
      </x:c>
      <x:c r="E9" s="18" t="str">
        <x:v>Analyst</x:v>
      </x:c>
      <x:c r="F9" s="18" t="str">
        <x:v>Intern</x:v>
      </x:c>
      <x:c r="G9" s="21" t="n">
        <x:v>46192</x:v>
      </x:c>
      <x:c r="H9" s="21" t="n">
        <x:v>46557</x:v>
      </x:c>
      <x:c r="I9" s="21" t="n">
        <x:v>46284</x:v>
      </x:c>
      <x:c r="J9" s="18" t="str">
        <x:v>Manager 1</x:v>
      </x:c>
      <x:c r="K9" s="18" t="str">
        <x:v>Bandung</x:v>
      </x:c>
      <x:c r="L9" s="18" t="str">
        <x:v>Received</x:v>
      </x:c>
      <x:c r="M9" s="18" t="str">
        <x:v>Received</x:v>
      </x:c>
      <x:c r="N9" s="18" t="str">
        <x:v>Received</x:v>
      </x:c>
      <x:c r="O9" s="18" t="str">
        <x:v>Received</x:v>
      </x:c>
      <x:c r="P9" s="18" t="str">
        <x:v>Received</x:v>
      </x:c>
    </x:row>
    <x:row r="10" ht="22" customHeight="1">
      <x:c r="A10" s="18" t="str">
        <x:v>EMP-0007</x:v>
      </x:c>
      <x:c r="B10" s="18" t="str">
        <x:v>Employee 07</x:v>
      </x:c>
      <x:c r="C10" s="18" t="str">
        <x:v>employee7@northstar.example</x:v>
      </x:c>
      <x:c r="D10" s="18" t="str">
        <x:v>Finance</x:v>
      </x:c>
      <x:c r="E10" s="18" t="str">
        <x:v>Administrator</x:v>
      </x:c>
      <x:c r="F10" s="18" t="str">
        <x:v>Permanent</x:v>
      </x:c>
      <x:c r="G10" s="21" t="n">
        <x:v>46024</x:v>
      </x:c>
      <x:c r="H10" s="21"/>
      <x:c r="I10" s="21" t="n">
        <x:v>46114</x:v>
      </x:c>
      <x:c r="J10" s="18" t="str">
        <x:v>Manager 2</x:v>
      </x:c>
      <x:c r="K10" s="18" t="str">
        <x:v>Remote</x:v>
      </x:c>
      <x:c r="L10" s="18" t="str">
        <x:v>Received</x:v>
      </x:c>
      <x:c r="M10" s="18" t="str">
        <x:v>Received</x:v>
      </x:c>
      <x:c r="N10" s="18" t="str">
        <x:v>Received</x:v>
      </x:c>
      <x:c r="O10" s="18" t="str">
        <x:v>Received</x:v>
      </x:c>
      <x:c r="P10" s="18" t="str">
        <x:v>Received</x:v>
      </x:c>
    </x:row>
    <x:row r="11" ht="22" customHeight="1">
      <x:c r="A11" s="18" t="str">
        <x:v>EMP-0008</x:v>
      </x:c>
      <x:c r="B11" s="18" t="str">
        <x:v>Employee 08</x:v>
      </x:c>
      <x:c r="C11" s="18" t="str">
        <x:v>employee8@northstar.example</x:v>
      </x:c>
      <x:c r="D11" s="18" t="str">
        <x:v>HR</x:v>
      </x:c>
      <x:c r="E11" s="18" t="str">
        <x:v>Specialist</x:v>
      </x:c>
      <x:c r="F11" s="18" t="str">
        <x:v>Contract</x:v>
      </x:c>
      <x:c r="G11" s="21" t="n">
        <x:v>46058</x:v>
      </x:c>
      <x:c r="H11" s="21" t="n">
        <x:v>46423</x:v>
      </x:c>
      <x:c r="I11" s="21" t="n">
        <x:v>46147</x:v>
      </x:c>
      <x:c r="J11" s="18" t="str">
        <x:v>Manager 3</x:v>
      </x:c>
      <x:c r="K11" s="18" t="str">
        <x:v>Jakarta</x:v>
      </x:c>
      <x:c r="L11" s="18" t="str">
        <x:v>Missing</x:v>
      </x:c>
      <x:c r="M11" s="18" t="str">
        <x:v>Received</x:v>
      </x:c>
      <x:c r="N11" s="18" t="str">
        <x:v>Received</x:v>
      </x:c>
      <x:c r="O11" s="18" t="str">
        <x:v>Received</x:v>
      </x:c>
      <x:c r="P11" s="18" t="str">
        <x:v>Received</x:v>
      </x:c>
    </x:row>
    <x:row r="12" ht="22" customHeight="1">
      <x:c r="A12" s="18" t="str">
        <x:v>EMP-0009</x:v>
      </x:c>
      <x:c r="B12" s="18" t="str">
        <x:v>Employee 09</x:v>
      </x:c>
      <x:c r="C12" s="18" t="str">
        <x:v>employee9.example</x:v>
      </x:c>
      <x:c r="D12" s="18" t="str">
        <x:v>Sales</x:v>
      </x:c>
      <x:c r="E12" s="18" t="str">
        <x:v>Assistant</x:v>
      </x:c>
      <x:c r="F12" s="18" t="str">
        <x:v>Intern</x:v>
      </x:c>
      <x:c r="G12" s="21" t="n">
        <x:v>46089</x:v>
      </x:c>
      <x:c r="H12" s="21" t="n">
        <x:v>46454</x:v>
      </x:c>
      <x:c r="I12" s="21" t="n">
        <x:v>46181</x:v>
      </x:c>
      <x:c r="J12" s="18" t="str">
        <x:v>Manager 4</x:v>
      </x:c>
      <x:c r="K12" s="18" t="str">
        <x:v>Surabaya</x:v>
      </x:c>
      <x:c r="L12" s="18" t="str">
        <x:v>Received</x:v>
      </x:c>
      <x:c r="M12" s="18" t="str">
        <x:v>Missing</x:v>
      </x:c>
      <x:c r="N12" s="18" t="str">
        <x:v>Received</x:v>
      </x:c>
      <x:c r="O12" s="18" t="str">
        <x:v>Received</x:v>
      </x:c>
      <x:c r="P12" s="18" t="str">
        <x:v>Received</x:v>
      </x:c>
    </x:row>
    <x:row r="13" ht="22" customHeight="1">
      <x:c r="A13" s="18" t="str">
        <x:v>EMP-0010</x:v>
      </x:c>
      <x:c r="B13" s="18" t="str">
        <x:v>Employee 10</x:v>
      </x:c>
      <x:c r="C13" s="18" t="str">
        <x:v>employee10@northstar.example</x:v>
      </x:c>
      <x:c r="D13" s="18" t="str">
        <x:v>IT</x:v>
      </x:c>
      <x:c r="E13" s="18" t="str">
        <x:v>Coordinator</x:v>
      </x:c>
      <x:c r="F13" s="18" t="str">
        <x:v>Permanent</x:v>
      </x:c>
      <x:c r="G13" s="21" t="n">
        <x:v>46123</x:v>
      </x:c>
      <x:c r="H13" s="21"/>
      <x:c r="I13" s="21" t="n">
        <x:v>46214</x:v>
      </x:c>
      <x:c r="J13" s="18" t="str">
        <x:v>Manager 5</x:v>
      </x:c>
      <x:c r="K13" s="18" t="str">
        <x:v>Bandung</x:v>
      </x:c>
      <x:c r="L13" s="18" t="str">
        <x:v>Received</x:v>
      </x:c>
      <x:c r="M13" s="18" t="str">
        <x:v>Received</x:v>
      </x:c>
      <x:c r="N13" s="18" t="str">
        <x:v>Missing</x:v>
      </x:c>
      <x:c r="O13" s="18" t="str">
        <x:v>Received</x:v>
      </x:c>
      <x:c r="P13" s="18" t="str">
        <x:v>Received</x:v>
      </x:c>
    </x:row>
    <x:row r="14" ht="22" customHeight="1">
      <x:c r="A14" s="18" t="str">
        <x:v>EMP-0011</x:v>
      </x:c>
      <x:c r="B14" s="18" t="str">
        <x:v>Employee 11</x:v>
      </x:c>
      <x:c r="C14" s="18" t="str">
        <x:v>employee11@northstar.example</x:v>
      </x:c>
      <x:c r="D14" s="18" t="str">
        <x:v>Operations</x:v>
      </x:c>
      <x:c r="E14" s="18" t="str">
        <x:v>Analyst</x:v>
      </x:c>
      <x:c r="F14" s="18" t="str">
        <x:v>Contract</x:v>
      </x:c>
      <x:c r="G14" s="21" t="n">
        <x:v>46156</x:v>
      </x:c>
      <x:c r="H14" s="21" t="n">
        <x:v>46521</x:v>
      </x:c>
      <x:c r="I14" s="21" t="n">
        <x:v>46248</x:v>
      </x:c>
      <x:c r="J14" s="18" t="str">
        <x:v>Manager 6</x:v>
      </x:c>
      <x:c r="K14" s="18" t="str">
        <x:v>Remote</x:v>
      </x:c>
      <x:c r="L14" s="18" t="str">
        <x:v>Received</x:v>
      </x:c>
      <x:c r="M14" s="18" t="str">
        <x:v>Received</x:v>
      </x:c>
      <x:c r="N14" s="18" t="str">
        <x:v>Received</x:v>
      </x:c>
      <x:c r="O14" s="18" t="str">
        <x:v>Missing</x:v>
      </x:c>
      <x:c r="P14" s="18" t="str">
        <x:v>Received</x:v>
      </x:c>
    </x:row>
    <x:row r="15" ht="22" customHeight="1">
      <x:c r="A15" s="18" t="str">
        <x:v>EMP-0012</x:v>
      </x:c>
      <x:c r="B15" s="18" t="str">
        <x:v>Employee 12</x:v>
      </x:c>
      <x:c r="C15" s="18" t="str">
        <x:v>employee12@northstar.example</x:v>
      </x:c>
      <x:c r="D15" s="18" t="str">
        <x:v>Finance</x:v>
      </x:c>
      <x:c r="E15" s="18" t="str">
        <x:v>Administrator</x:v>
      </x:c>
      <x:c r="F15" s="18" t="str">
        <x:v>Intern</x:v>
      </x:c>
      <x:c r="G15" s="21" t="n">
        <x:v>46190</x:v>
      </x:c>
      <x:c r="H15" s="21" t="n">
        <x:v>46555</x:v>
      </x:c>
      <x:c r="I15" s="21" t="n">
        <x:v>46282</x:v>
      </x:c>
      <x:c r="J15" s="18" t="str">
        <x:v>Manager 1</x:v>
      </x:c>
      <x:c r="K15" s="18" t="str">
        <x:v>Jakarta</x:v>
      </x:c>
      <x:c r="L15" s="18" t="str">
        <x:v>Received</x:v>
      </x:c>
      <x:c r="M15" s="18" t="str">
        <x:v>Received</x:v>
      </x:c>
      <x:c r="N15" s="18" t="str">
        <x:v>Received</x:v>
      </x:c>
      <x:c r="O15" s="18" t="str">
        <x:v>Received</x:v>
      </x:c>
      <x:c r="P15" s="18" t="str">
        <x:v>Received</x:v>
      </x:c>
    </x:row>
    <x:row r="16" ht="22" customHeight="1">
      <x:c r="A16" s="18" t="str">
        <x:v>EMP-0012</x:v>
      </x:c>
      <x:c r="B16" s="18" t="str">
        <x:v>Employee 13</x:v>
      </x:c>
      <x:c r="C16" s="18" t="str">
        <x:v>employee13@northstar.example</x:v>
      </x:c>
      <x:c r="D16" s="18" t="str">
        <x:v>HR</x:v>
      </x:c>
      <x:c r="E16" s="18" t="str">
        <x:v>Specialist</x:v>
      </x:c>
      <x:c r="F16" s="18" t="str">
        <x:v>Permanent</x:v>
      </x:c>
      <x:c r="G16" s="21" t="n">
        <x:v>46042</x:v>
      </x:c>
      <x:c r="H16" s="21"/>
      <x:c r="I16" s="21" t="n">
        <x:v>46132</x:v>
      </x:c>
      <x:c r="J16" s="18" t="str">
        <x:v>Manager 2</x:v>
      </x:c>
      <x:c r="K16" s="18" t="str">
        <x:v>Surabaya</x:v>
      </x:c>
      <x:c r="L16" s="18" t="str">
        <x:v>Received</x:v>
      </x:c>
      <x:c r="M16" s="18" t="str">
        <x:v>Received</x:v>
      </x:c>
      <x:c r="N16" s="18" t="str">
        <x:v>Received</x:v>
      </x:c>
      <x:c r="O16" s="18" t="str">
        <x:v>Received</x:v>
      </x:c>
      <x:c r="P16" s="18" t="str">
        <x:v>Missing</x:v>
      </x:c>
    </x:row>
    <x:row r="17" ht="22" customHeight="1">
      <x:c r="A17" s="18" t="str">
        <x:v>EMP-0014</x:v>
      </x:c>
      <x:c r="B17" s="18" t="str">
        <x:v>Employee 14</x:v>
      </x:c>
      <x:c r="C17" s="18" t="str">
        <x:v>employee14@northstar.example</x:v>
      </x:c>
      <x:c r="D17" s="18" t="str">
        <x:v>Sales</x:v>
      </x:c>
      <x:c r="E17" s="18" t="str">
        <x:v>Assistant</x:v>
      </x:c>
      <x:c r="F17" s="18" t="str">
        <x:v>Contract</x:v>
      </x:c>
      <x:c r="G17" s="21" t="n">
        <x:v>46056</x:v>
      </x:c>
      <x:c r="H17" s="21" t="n">
        <x:v>46421</x:v>
      </x:c>
      <x:c r="I17" s="21" t="n">
        <x:v>46145</x:v>
      </x:c>
      <x:c r="J17" s="18" t="str">
        <x:v>Manager 3</x:v>
      </x:c>
      <x:c r="K17" s="18" t="str">
        <x:v>Bandung</x:v>
      </x:c>
      <x:c r="L17" s="18" t="str">
        <x:v>Received</x:v>
      </x:c>
      <x:c r="M17" s="18" t="str">
        <x:v>Received</x:v>
      </x:c>
      <x:c r="N17" s="18" t="str">
        <x:v>Received</x:v>
      </x:c>
      <x:c r="O17" s="18" t="str">
        <x:v>Received</x:v>
      </x:c>
      <x:c r="P17" s="18" t="str">
        <x:v>Received</x:v>
      </x:c>
    </x:row>
    <x:row r="18" ht="22" customHeight="1">
      <x:c r="A18" s="18" t="str">
        <x:v>EMP-0015</x:v>
      </x:c>
      <x:c r="B18" s="18" t="str">
        <x:v>Employee 15</x:v>
      </x:c>
      <x:c r="C18" s="18" t="str">
        <x:v>employee15@northstar.example</x:v>
      </x:c>
      <x:c r="D18" s="18" t="str">
        <x:v>IT</x:v>
      </x:c>
      <x:c r="E18" s="18" t="str">
        <x:v>Coordinator</x:v>
      </x:c>
      <x:c r="F18" s="18" t="str">
        <x:v>Intern</x:v>
      </x:c>
      <x:c r="G18" s="21" t="n">
        <x:v>46087</x:v>
      </x:c>
      <x:c r="H18" s="21" t="n">
        <x:v>46452</x:v>
      </x:c>
      <x:c r="I18" s="21" t="n">
        <x:v>46179</x:v>
      </x:c>
      <x:c r="J18" s="18" t="str">
        <x:v>Manager 4</x:v>
      </x:c>
      <x:c r="K18" s="18" t="str">
        <x:v>Remote</x:v>
      </x:c>
      <x:c r="L18" s="18" t="str">
        <x:v>Received</x:v>
      </x:c>
      <x:c r="M18" s="18" t="str">
        <x:v>Received</x:v>
      </x:c>
      <x:c r="N18" s="18" t="str">
        <x:v>Received</x:v>
      </x:c>
      <x:c r="O18" s="18" t="str">
        <x:v>Received</x:v>
      </x:c>
      <x:c r="P18" s="18" t="str">
        <x:v>Received</x:v>
      </x:c>
    </x:row>
    <x:row r="19" ht="22" customHeight="1">
      <x:c r="A19" s="18" t="str">
        <x:v>EMP-0016</x:v>
      </x:c>
      <x:c r="B19" s="18" t="str">
        <x:v>Employee 16</x:v>
      </x:c>
      <x:c r="C19" s="18" t="str">
        <x:v>employee16@northstar.example</x:v>
      </x:c>
      <x:c r="D19" s="18" t="str">
        <x:v>Operations</x:v>
      </x:c>
      <x:c r="E19" s="18" t="str">
        <x:v>Analyst</x:v>
      </x:c>
      <x:c r="F19" s="18" t="str">
        <x:v>Permanent</x:v>
      </x:c>
      <x:c r="G19" s="21" t="n">
        <x:v>46121</x:v>
      </x:c>
      <x:c r="H19" s="21"/>
      <x:c r="I19" s="21" t="n">
        <x:v>46212</x:v>
      </x:c>
      <x:c r="J19" s="18" t="str">
        <x:v>Manager 5</x:v>
      </x:c>
      <x:c r="K19" s="18" t="str">
        <x:v>Jakarta</x:v>
      </x:c>
      <x:c r="L19" s="18" t="str">
        <x:v>Missing</x:v>
      </x:c>
      <x:c r="M19" s="18" t="str">
        <x:v>Received</x:v>
      </x:c>
      <x:c r="N19" s="18" t="str">
        <x:v>Received</x:v>
      </x:c>
      <x:c r="O19" s="18" t="str">
        <x:v>Received</x:v>
      </x:c>
      <x:c r="P19" s="18" t="str">
        <x:v>Received</x:v>
      </x:c>
    </x:row>
    <x:row r="20" ht="22" customHeight="1">
      <x:c r="A20" s="18" t="str">
        <x:v>EMP-0017</x:v>
      </x:c>
      <x:c r="B20" s="18" t="str">
        <x:v>Employee 17</x:v>
      </x:c>
      <x:c r="C20" s="18" t="str">
        <x:v>employee17@northstar.example</x:v>
      </x:c>
      <x:c r="D20" s="18" t="str">
        <x:v>Finance</x:v>
      </x:c>
      <x:c r="E20" s="18" t="str">
        <x:v>Administrator</x:v>
      </x:c>
      <x:c r="F20" s="18" t="str">
        <x:v>Contract</x:v>
      </x:c>
      <x:c r="G20" s="21" t="n">
        <x:v>46154</x:v>
      </x:c>
      <x:c r="H20" s="21" t="n">
        <x:v>46519</x:v>
      </x:c>
      <x:c r="I20" s="21" t="n">
        <x:v>46246</x:v>
      </x:c>
      <x:c r="J20" s="18" t="str">
        <x:v>Manager 6</x:v>
      </x:c>
      <x:c r="K20" s="18" t="str">
        <x:v>Surabaya</x:v>
      </x:c>
      <x:c r="L20" s="18" t="str">
        <x:v>Received</x:v>
      </x:c>
      <x:c r="M20" s="18" t="str">
        <x:v>Received</x:v>
      </x:c>
      <x:c r="N20" s="18" t="str">
        <x:v>Received</x:v>
      </x:c>
      <x:c r="O20" s="18" t="str">
        <x:v>Received</x:v>
      </x:c>
      <x:c r="P20" s="18" t="str">
        <x:v>Received</x:v>
      </x:c>
    </x:row>
    <x:row r="21" ht="22" customHeight="1">
      <x:c r="A21" s="18" t="str">
        <x:v>EMP-0018</x:v>
      </x:c>
      <x:c r="B21" s="18" t="str">
        <x:v>Employee 18</x:v>
      </x:c>
      <x:c r="C21" s="18" t="str">
        <x:v>employee18@northstar.example</x:v>
      </x:c>
      <x:c r="D21" s="18" t="str">
        <x:v>Admin Team</x:v>
      </x:c>
      <x:c r="E21" s="18" t="str">
        <x:v>Specialist</x:v>
      </x:c>
      <x:c r="F21" s="18" t="str">
        <x:v>Intern</x:v>
      </x:c>
      <x:c r="G21" s="21" t="n">
        <x:v>46188</x:v>
      </x:c>
      <x:c r="H21" s="21" t="n">
        <x:v>46553</x:v>
      </x:c>
      <x:c r="I21" s="21" t="n">
        <x:v>46280</x:v>
      </x:c>
      <x:c r="J21" s="18" t="str">
        <x:v>Manager 1</x:v>
      </x:c>
      <x:c r="K21" s="18" t="str">
        <x:v>Bandung</x:v>
      </x:c>
      <x:c r="L21" s="18" t="str">
        <x:v>Received</x:v>
      </x:c>
      <x:c r="M21" s="18" t="str">
        <x:v>Missing</x:v>
      </x:c>
      <x:c r="N21" s="18" t="str">
        <x:v>Received</x:v>
      </x:c>
      <x:c r="O21" s="18" t="str">
        <x:v>Received</x:v>
      </x:c>
      <x:c r="P21" s="18" t="str">
        <x:v>Received</x:v>
      </x:c>
    </x:row>
    <x:row r="22" ht="22" customHeight="1">
      <x:c r="A22" s="18" t="str">
        <x:v>EMP-0019</x:v>
      </x:c>
      <x:c r="B22" s="18" t="str">
        <x:v>Employee 19</x:v>
      </x:c>
      <x:c r="C22" s="18" t="str">
        <x:v>employee19@northstar.example</x:v>
      </x:c>
      <x:c r="D22" s="18" t="str">
        <x:v>Sales</x:v>
      </x:c>
      <x:c r="E22" s="18" t="str">
        <x:v>Assistant</x:v>
      </x:c>
      <x:c r="F22" s="18" t="str">
        <x:v>Permanent</x:v>
      </x:c>
      <x:c r="G22" s="21" t="n">
        <x:v>46040</x:v>
      </x:c>
      <x:c r="H22" s="21"/>
      <x:c r="I22" s="21" t="n">
        <x:v>46130</x:v>
      </x:c>
      <x:c r="J22" s="18" t="str">
        <x:v>Manager 2</x:v>
      </x:c>
      <x:c r="K22" s="18" t="str">
        <x:v>Remote</x:v>
      </x:c>
      <x:c r="L22" s="18" t="str">
        <x:v>Received</x:v>
      </x:c>
      <x:c r="M22" s="18" t="str">
        <x:v>Received</x:v>
      </x:c>
      <x:c r="N22" s="18" t="str">
        <x:v>Received</x:v>
      </x:c>
      <x:c r="O22" s="18" t="str">
        <x:v>Received</x:v>
      </x:c>
      <x:c r="P22" s="18" t="str">
        <x:v>Received</x:v>
      </x:c>
    </x:row>
    <x:row r="23" ht="22" customHeight="1">
      <x:c r="A23" s="18" t="str">
        <x:v>EMP-0020</x:v>
      </x:c>
      <x:c r="B23" s="18" t="str">
        <x:v>Employee 20</x:v>
      </x:c>
      <x:c r="C23" s="18" t="str">
        <x:v>employee20@northstar.example</x:v>
      </x:c>
      <x:c r="D23" s="18" t="str">
        <x:v>IT</x:v>
      </x:c>
      <x:c r="E23" s="18" t="str">
        <x:v>Coordinator</x:v>
      </x:c>
      <x:c r="F23" s="18" t="str">
        <x:v>Contract</x:v>
      </x:c>
      <x:c r="G23" s="21" t="n">
        <x:v>46054</x:v>
      </x:c>
      <x:c r="H23" s="21" t="n">
        <x:v>46419</x:v>
      </x:c>
      <x:c r="I23" s="21" t="n">
        <x:v>46143</x:v>
      </x:c>
      <x:c r="J23" s="18" t="str">
        <x:v>Manager 3</x:v>
      </x:c>
      <x:c r="K23" s="18" t="str">
        <x:v>Jakarta</x:v>
      </x:c>
      <x:c r="L23" s="18" t="str">
        <x:v>Received</x:v>
      </x:c>
      <x:c r="M23" s="18" t="str">
        <x:v>Received</x:v>
      </x:c>
      <x:c r="N23" s="18" t="str">
        <x:v>Missing</x:v>
      </x:c>
      <x:c r="O23" s="18" t="str">
        <x:v>Received</x:v>
      </x:c>
      <x:c r="P23" s="18" t="str">
        <x:v>Received</x:v>
      </x:c>
    </x:row>
    <x:row r="24" ht="22" customHeight="1">
      <x:c r="A24" s="18" t="str">
        <x:v>EMP-0021</x:v>
      </x:c>
      <x:c r="B24" s="18" t="str">
        <x:v>Employee 21</x:v>
      </x:c>
      <x:c r="C24" s="18" t="str">
        <x:v>employee21@northstar.example</x:v>
      </x:c>
      <x:c r="D24" s="18" t="str">
        <x:v>Operations</x:v>
      </x:c>
      <x:c r="E24" s="18" t="str">
        <x:v>Analyst</x:v>
      </x:c>
      <x:c r="F24" s="18" t="str">
        <x:v>Intern</x:v>
      </x:c>
      <x:c r="G24" s="21" t="n">
        <x:v>46085</x:v>
      </x:c>
      <x:c r="H24" s="21" t="n">
        <x:v>46450</x:v>
      </x:c>
      <x:c r="I24" s="21" t="n">
        <x:v>46177</x:v>
      </x:c>
      <x:c r="J24" s="18" t="str">
        <x:v>Manager 4</x:v>
      </x:c>
      <x:c r="K24" s="18" t="str">
        <x:v>Surabaya</x:v>
      </x:c>
      <x:c r="L24" s="18" t="str">
        <x:v>Received</x:v>
      </x:c>
      <x:c r="M24" s="18" t="str">
        <x:v>Received</x:v>
      </x:c>
      <x:c r="N24" s="18" t="str">
        <x:v>Received</x:v>
      </x:c>
      <x:c r="O24" s="18" t="str">
        <x:v>Received</x:v>
      </x:c>
      <x:c r="P24" s="18" t="str">
        <x:v>Received</x:v>
      </x:c>
    </x:row>
    <x:row r="25" ht="22" customHeight="1">
      <x:c r="A25" s="18" t="str">
        <x:v>EMP-0022</x:v>
      </x:c>
      <x:c r="B25" s="18" t="str">
        <x:v>Employee 22</x:v>
      </x:c>
      <x:c r="C25" s="18" t="str">
        <x:v>employee22@northstar.example</x:v>
      </x:c>
      <x:c r="D25" s="18" t="str">
        <x:v>Finance</x:v>
      </x:c>
      <x:c r="E25" s="18" t="str">
        <x:v>Administrator</x:v>
      </x:c>
      <x:c r="F25" s="18" t="str">
        <x:v>Permanent</x:v>
      </x:c>
      <x:c r="G25" s="21" t="n">
        <x:v>46119</x:v>
      </x:c>
      <x:c r="H25" s="21"/>
      <x:c r="I25" s="21" t="n">
        <x:v>46210</x:v>
      </x:c>
      <x:c r="J25" s="18" t="str">
        <x:v>Manager 5</x:v>
      </x:c>
      <x:c r="K25" s="18" t="str">
        <x:v>Bandung</x:v>
      </x:c>
      <x:c r="L25" s="18" t="str">
        <x:v>Received</x:v>
      </x:c>
      <x:c r="M25" s="18" t="str">
        <x:v>Received</x:v>
      </x:c>
      <x:c r="N25" s="18" t="str">
        <x:v>Received</x:v>
      </x:c>
      <x:c r="O25" s="18" t="str">
        <x:v>Missing</x:v>
      </x:c>
      <x:c r="P25" s="18" t="str">
        <x:v>Received</x:v>
      </x:c>
    </x:row>
    <x:row r="26" ht="22" customHeight="1">
      <x:c r="A26" s="18" t="str">
        <x:v>EMP-0023</x:v>
      </x:c>
      <x:c r="B26" s="18" t="str">
        <x:v>Employee 23</x:v>
      </x:c>
      <x:c r="C26" s="18" t="str">
        <x:v>employee23@northstar.example</x:v>
      </x:c>
      <x:c r="D26" s="18" t="str">
        <x:v>HR</x:v>
      </x:c>
      <x:c r="E26" s="18" t="str">
        <x:v>Specialist</x:v>
      </x:c>
      <x:c r="F26" s="18" t="str">
        <x:v>Contract</x:v>
      </x:c>
      <x:c r="G26" s="21" t="n">
        <x:v>46152</x:v>
      </x:c>
      <x:c r="H26" s="21" t="n">
        <x:v>46517</x:v>
      </x:c>
      <x:c r="I26" s="21" t="n">
        <x:v>46244</x:v>
      </x:c>
      <x:c r="J26" s="18" t="str">
        <x:v>Manager 6</x:v>
      </x:c>
      <x:c r="K26" s="18" t="str">
        <x:v>Remote</x:v>
      </x:c>
      <x:c r="L26" s="18" t="str">
        <x:v>Received</x:v>
      </x:c>
      <x:c r="M26" s="18" t="str">
        <x:v>Received</x:v>
      </x:c>
      <x:c r="N26" s="18" t="str">
        <x:v>Received</x:v>
      </x:c>
      <x:c r="O26" s="18" t="str">
        <x:v>Received</x:v>
      </x:c>
      <x:c r="P26" s="18" t="str">
        <x:v>Received</x:v>
      </x:c>
    </x:row>
    <x:row r="27" ht="22" customHeight="1">
      <x:c r="A27" s="18" t="str">
        <x:v>EMP-0024</x:v>
      </x:c>
      <x:c r="B27" s="18" t="str">
        <x:v>Employee 24</x:v>
      </x:c>
      <x:c r="C27" s="18" t="str">
        <x:v>employee24@northstar.example</x:v>
      </x:c>
      <x:c r="D27" s="18" t="str">
        <x:v>Sales</x:v>
      </x:c>
      <x:c r="E27" s="18" t="str">
        <x:v>Assistant</x:v>
      </x:c>
      <x:c r="F27" s="18" t="str">
        <x:v>Intern</x:v>
      </x:c>
      <x:c r="G27" s="21" t="n">
        <x:v>46186</x:v>
      </x:c>
      <x:c r="H27" s="21" t="n">
        <x:v>46551</x:v>
      </x:c>
      <x:c r="I27" s="21" t="n">
        <x:v>46278</x:v>
      </x:c>
      <x:c r="J27" s="18" t="str">
        <x:v>Manager 1</x:v>
      </x:c>
      <x:c r="K27" s="18" t="str">
        <x:v>Jakarta</x:v>
      </x:c>
      <x:c r="L27" s="18" t="str">
        <x:v>Missing</x:v>
      </x:c>
      <x:c r="M27" s="18" t="str">
        <x:v>Received</x:v>
      </x:c>
      <x:c r="N27" s="18" t="str">
        <x:v>Received</x:v>
      </x:c>
      <x:c r="O27" s="18" t="str">
        <x:v>Received</x:v>
      </x:c>
      <x:c r="P27" s="18" t="str">
        <x:v>Received</x:v>
      </x:c>
    </x:row>
    <x:row r="28" ht="22" customHeight="1">
      <x:c r="A28" s="18" t="str">
        <x:v>EMP-0025</x:v>
      </x:c>
      <x:c r="B28" s="18" t="str">
        <x:v>Employee 25</x:v>
      </x:c>
      <x:c r="C28" s="18" t="str">
        <x:v>employee25@northstar.example</x:v>
      </x:c>
      <x:c r="D28" s="18" t="str">
        <x:v>IT</x:v>
      </x:c>
      <x:c r="E28" s="18" t="str">
        <x:v>Coordinator</x:v>
      </x:c>
      <x:c r="F28" s="18" t="str">
        <x:v>Permanent</x:v>
      </x:c>
      <x:c r="G28" s="21" t="n">
        <x:v>46038</x:v>
      </x:c>
      <x:c r="H28" s="21" t="n">
        <x:v>45689</x:v>
      </x:c>
      <x:c r="I28" s="21" t="n">
        <x:v>46128</x:v>
      </x:c>
      <x:c r="J28" s="18" t="str">
        <x:v>Manager 2</x:v>
      </x:c>
      <x:c r="K28" s="18" t="str">
        <x:v>Surabaya</x:v>
      </x:c>
      <x:c r="L28" s="18" t="str">
        <x:v>Received</x:v>
      </x:c>
      <x:c r="M28" s="18" t="str">
        <x:v>Received</x:v>
      </x:c>
      <x:c r="N28" s="18" t="str">
        <x:v>Received</x:v>
      </x:c>
      <x:c r="O28" s="18" t="str">
        <x:v>Received</x:v>
      </x:c>
      <x:c r="P28" s="18" t="str">
        <x:v>Received</x:v>
      </x:c>
    </x:row>
    <x:row r="29" ht="22" customHeight="1">
      <x:c r="A29" s="18" t="str">
        <x:v>EMP-0026</x:v>
      </x:c>
      <x:c r="B29" s="18" t="str">
        <x:v>Employee 26</x:v>
      </x:c>
      <x:c r="C29" s="18" t="str">
        <x:v>employee26@northstar.example</x:v>
      </x:c>
      <x:c r="D29" s="18" t="str">
        <x:v>Operations</x:v>
      </x:c>
      <x:c r="E29" s="18" t="str">
        <x:v>Analyst</x:v>
      </x:c>
      <x:c r="F29" s="18" t="str">
        <x:v>Contract</x:v>
      </x:c>
      <x:c r="G29" s="21" t="n">
        <x:v>46072</x:v>
      </x:c>
      <x:c r="H29" s="21" t="n">
        <x:v>46437</x:v>
      </x:c>
      <x:c r="I29" s="21" t="n">
        <x:v>46161</x:v>
      </x:c>
      <x:c r="J29" s="18" t="str">
        <x:v>Manager 3</x:v>
      </x:c>
      <x:c r="K29" s="18" t="str">
        <x:v>Bandung</x:v>
      </x:c>
      <x:c r="L29" s="18" t="str">
        <x:v>Received</x:v>
      </x:c>
      <x:c r="M29" s="18" t="str">
        <x:v>Received</x:v>
      </x:c>
      <x:c r="N29" s="18" t="str">
        <x:v>Received</x:v>
      </x:c>
      <x:c r="O29" s="18" t="str">
        <x:v>Received</x:v>
      </x:c>
      <x:c r="P29" s="18" t="str">
        <x:v>Missing</x:v>
      </x:c>
    </x:row>
    <x:row r="30" ht="22" customHeight="1">
      <x:c r="A30" s="18" t="str">
        <x:v>EMP-0027</x:v>
      </x:c>
      <x:c r="B30" s="18" t="str">
        <x:v>Employee 27</x:v>
      </x:c>
      <x:c r="C30" s="18" t="str">
        <x:v>employee27@northstar.example</x:v>
      </x:c>
      <x:c r="D30" s="18" t="str">
        <x:v>Finance</x:v>
      </x:c>
      <x:c r="E30" s="18" t="str">
        <x:v>Administrator</x:v>
      </x:c>
      <x:c r="F30" s="18" t="str">
        <x:v>Intern</x:v>
      </x:c>
      <x:c r="G30" s="21" t="n">
        <x:v>46083</x:v>
      </x:c>
      <x:c r="H30" s="21" t="n">
        <x:v>46448</x:v>
      </x:c>
      <x:c r="I30" s="21" t="n">
        <x:v>46175</x:v>
      </x:c>
      <x:c r="J30" s="18" t="str">
        <x:v>Manager 4</x:v>
      </x:c>
      <x:c r="K30" s="18" t="str">
        <x:v>Remote</x:v>
      </x:c>
      <x:c r="L30" s="18" t="str">
        <x:v>Received</x:v>
      </x:c>
      <x:c r="M30" s="18" t="str">
        <x:v>Missing</x:v>
      </x:c>
      <x:c r="N30" s="18" t="str">
        <x:v>Received</x:v>
      </x:c>
      <x:c r="O30" s="18" t="str">
        <x:v>Received</x:v>
      </x:c>
      <x:c r="P30" s="18" t="str">
        <x:v>Received</x:v>
      </x:c>
    </x:row>
    <x:row r="31" ht="22" customHeight="1">
      <x:c r="A31" s="18" t="str">
        <x:v>EMP-0028</x:v>
      </x:c>
      <x:c r="B31" s="18" t="str">
        <x:v>Employee 28</x:v>
      </x:c>
      <x:c r="C31" s="18" t="str">
        <x:v>employee28@northstar.example</x:v>
      </x:c>
      <x:c r="D31" s="18" t="str">
        <x:v>HR</x:v>
      </x:c>
      <x:c r="E31" s="18" t="str">
        <x:v>Specialist</x:v>
      </x:c>
      <x:c r="F31" s="18" t="str">
        <x:v>Permanent</x:v>
      </x:c>
      <x:c r="G31" s="21" t="n">
        <x:v>46117</x:v>
      </x:c>
      <x:c r="H31" s="21"/>
      <x:c r="I31" s="21" t="n">
        <x:v>46208</x:v>
      </x:c>
      <x:c r="J31" s="18" t="str">
        <x:v>Manager 5</x:v>
      </x:c>
      <x:c r="K31" s="18" t="str">
        <x:v>Jakarta</x:v>
      </x:c>
      <x:c r="L31" s="18" t="str">
        <x:v>Received</x:v>
      </x:c>
      <x:c r="M31" s="18" t="str">
        <x:v>Received</x:v>
      </x:c>
      <x:c r="N31" s="18" t="str">
        <x:v>Received</x:v>
      </x:c>
      <x:c r="O31" s="18" t="str">
        <x:v>Received</x:v>
      </x:c>
      <x:c r="P31" s="18" t="str">
        <x:v>Received</x:v>
      </x:c>
    </x:row>
    <x:row r="32" ht="22" customHeight="1">
      <x:c r="A32" s="18" t="str">
        <x:v>EMP-0029</x:v>
      </x:c>
      <x:c r="B32" s="18" t="str">
        <x:v>Employee 29</x:v>
      </x:c>
      <x:c r="C32" s="18" t="str">
        <x:v>employee29@northstar.example</x:v>
      </x:c>
      <x:c r="D32" s="18" t="str">
        <x:v>Sales</x:v>
      </x:c>
      <x:c r="E32" s="18" t="str">
        <x:v>Assistant</x:v>
      </x:c>
      <x:c r="F32" s="18" t="str">
        <x:v>Contract</x:v>
      </x:c>
      <x:c r="G32" s="21" t="n">
        <x:v>46150</x:v>
      </x:c>
      <x:c r="H32" s="21" t="n">
        <x:v>46515</x:v>
      </x:c>
      <x:c r="I32" s="21" t="n">
        <x:v>46242</x:v>
      </x:c>
      <x:c r="J32" s="18" t="str">
        <x:v>Manager 6</x:v>
      </x:c>
      <x:c r="K32" s="18" t="str">
        <x:v>Surabaya</x:v>
      </x:c>
      <x:c r="L32" s="18" t="str">
        <x:v>Received</x:v>
      </x:c>
      <x:c r="M32" s="18" t="str">
        <x:v>Received</x:v>
      </x:c>
      <x:c r="N32" s="18" t="str">
        <x:v>Received</x:v>
      </x:c>
      <x:c r="O32" s="18" t="str">
        <x:v>Received</x:v>
      </x:c>
      <x:c r="P32" s="18" t="str">
        <x:v>Received</x:v>
      </x:c>
    </x:row>
    <x:row r="33" ht="22" customHeight="1">
      <x:c r="A33" s="18" t="str">
        <x:v>EMP-0030</x:v>
      </x:c>
      <x:c r="B33" s="18" t="str">
        <x:v>Employee 30</x:v>
      </x:c>
      <x:c r="C33" s="18" t="str">
        <x:v>employee30@northstar.example</x:v>
      </x:c>
      <x:c r="D33" s="18" t="str">
        <x:v>IT</x:v>
      </x:c>
      <x:c r="E33" s="18" t="str">
        <x:v>Coordinator</x:v>
      </x:c>
      <x:c r="F33" s="18" t="str">
        <x:v>Intern</x:v>
      </x:c>
      <x:c r="G33" s="21" t="n">
        <x:v>46184</x:v>
      </x:c>
      <x:c r="H33" s="21" t="n">
        <x:v>46549</x:v>
      </x:c>
      <x:c r="I33" s="21" t="n">
        <x:v>46276</x:v>
      </x:c>
      <x:c r="J33" s="18" t="str">
        <x:v>Manager 1</x:v>
      </x:c>
      <x:c r="K33" s="18" t="str">
        <x:v>Bandung</x:v>
      </x:c>
      <x:c r="L33" s="18" t="str">
        <x:v>Received</x:v>
      </x:c>
      <x:c r="M33" s="18" t="str">
        <x:v>Received</x:v>
      </x:c>
      <x:c r="N33" s="18" t="str">
        <x:v>Missing</x:v>
      </x:c>
      <x:c r="O33" s="18" t="str">
        <x:v>Received</x:v>
      </x:c>
      <x:c r="P33" s="18" t="str">
        <x:v>Received</x:v>
      </x:c>
    </x:row>
    <x:row r="34" ht="22" customHeight="1">
      <x:c r="A34" s="18" t="str">
        <x:v>EMP-0031</x:v>
      </x:c>
      <x:c r="B34" s="18" t="str">
        <x:v>Employee 31</x:v>
      </x:c>
      <x:c r="C34" s="18" t="str">
        <x:v>employee31@northstar.example</x:v>
      </x:c>
      <x:c r="D34" s="18" t="str">
        <x:v>Operations</x:v>
      </x:c>
      <x:c r="E34" s="18" t="str">
        <x:v>Analyst</x:v>
      </x:c>
      <x:c r="F34" s="18" t="str">
        <x:v>Permanent</x:v>
      </x:c>
      <x:c r="G34" s="21" t="n">
        <x:v>46036</x:v>
      </x:c>
      <x:c r="H34" s="21"/>
      <x:c r="I34" s="21" t="n">
        <x:v>46126</x:v>
      </x:c>
      <x:c r="J34" s="18" t="str">
        <x:v>Manager 2</x:v>
      </x:c>
      <x:c r="K34" s="18" t="str">
        <x:v>Remote</x:v>
      </x:c>
      <x:c r="L34" s="18" t="str">
        <x:v>Received</x:v>
      </x:c>
      <x:c r="M34" s="18" t="str">
        <x:v>Received</x:v>
      </x:c>
      <x:c r="N34" s="18" t="str">
        <x:v>Received</x:v>
      </x:c>
      <x:c r="O34" s="18" t="str">
        <x:v>Received</x:v>
      </x:c>
      <x:c r="P34" s="18" t="str">
        <x:v>Received</x:v>
      </x:c>
    </x:row>
    <x:row r="35" ht="22" customHeight="1">
      <x:c r="A35" s="18" t="str">
        <x:v>EMP-0031</x:v>
      </x:c>
      <x:c r="B35" s="18" t="str">
        <x:v>Employee 32</x:v>
      </x:c>
      <x:c r="C35" s="18" t="str">
        <x:v>employee32@northstar.example</x:v>
      </x:c>
      <x:c r="D35" s="18" t="str">
        <x:v>Finance</x:v>
      </x:c>
      <x:c r="E35" s="18" t="str">
        <x:v>Administrator</x:v>
      </x:c>
      <x:c r="F35" s="18" t="str">
        <x:v>Contract</x:v>
      </x:c>
      <x:c r="G35" s="21" t="n">
        <x:v>46070</x:v>
      </x:c>
      <x:c r="H35" s="21" t="n">
        <x:v>46435</x:v>
      </x:c>
      <x:c r="I35" s="21" t="n">
        <x:v>46159</x:v>
      </x:c>
      <x:c r="J35" s="18" t="str">
        <x:v>Manager 3</x:v>
      </x:c>
      <x:c r="K35" s="18" t="str">
        <x:v>Jakarta</x:v>
      </x:c>
      <x:c r="L35" s="18" t="str">
        <x:v>Missing</x:v>
      </x:c>
      <x:c r="M35" s="18" t="str">
        <x:v>Received</x:v>
      </x:c>
      <x:c r="N35" s="18" t="str">
        <x:v>Received</x:v>
      </x:c>
      <x:c r="O35" s="18" t="str">
        <x:v>Received</x:v>
      </x:c>
      <x:c r="P35" s="18" t="str">
        <x:v>Received</x:v>
      </x:c>
    </x:row>
    <x:row r="36" ht="22" customHeight="1">
      <x:c r="A36" s="18" t="str">
        <x:v>EMP-0033</x:v>
      </x:c>
      <x:c r="B36" s="18" t="str">
        <x:v>Employee 33</x:v>
      </x:c>
      <x:c r="C36" s="18" t="str">
        <x:v>employee33@northstar.example</x:v>
      </x:c>
      <x:c r="D36" s="18" t="str">
        <x:v>HR</x:v>
      </x:c>
      <x:c r="E36" s="18" t="str">
        <x:v>Specialist</x:v>
      </x:c>
      <x:c r="F36" s="18" t="str">
        <x:v>Intern</x:v>
      </x:c>
      <x:c r="G36" s="21" t="n">
        <x:v>46101</x:v>
      </x:c>
      <x:c r="H36" s="21" t="n">
        <x:v>46466</x:v>
      </x:c>
      <x:c r="I36" s="21" t="n">
        <x:v>46193</x:v>
      </x:c>
      <x:c r="J36" s="18" t="str">
        <x:v>Manager 4</x:v>
      </x:c>
      <x:c r="K36" s="18" t="str">
        <x:v>Surabaya</x:v>
      </x:c>
      <x:c r="L36" s="18" t="str">
        <x:v>Received</x:v>
      </x:c>
      <x:c r="M36" s="18" t="str">
        <x:v>Received</x:v>
      </x:c>
      <x:c r="N36" s="18" t="str">
        <x:v>Received</x:v>
      </x:c>
      <x:c r="O36" s="18" t="str">
        <x:v>Missing</x:v>
      </x:c>
      <x:c r="P36" s="18" t="str">
        <x:v>Received</x:v>
      </x:c>
    </x:row>
    <x:row r="37" ht="22" customHeight="1">
      <x:c r="A37" s="18" t="str">
        <x:v>EMP-0034</x:v>
      </x:c>
      <x:c r="B37" s="18" t="str">
        <x:v>Employee 34</x:v>
      </x:c>
      <x:c r="C37" s="18" t="str">
        <x:v>employee34@northstar.example</x:v>
      </x:c>
      <x:c r="D37" s="18" t="str">
        <x:v>Sales</x:v>
      </x:c>
      <x:c r="E37" s="18" t="str">
        <x:v>Assistant</x:v>
      </x:c>
      <x:c r="F37" s="18" t="str">
        <x:v>Permanent</x:v>
      </x:c>
      <x:c r="G37" s="21" t="n">
        <x:v>46115</x:v>
      </x:c>
      <x:c r="H37" s="21"/>
      <x:c r="I37" s="21" t="n">
        <x:v>46206</x:v>
      </x:c>
      <x:c r="J37" s="18" t="str">
        <x:v>Manager 5</x:v>
      </x:c>
      <x:c r="K37" s="18" t="str">
        <x:v>Bandung</x:v>
      </x:c>
      <x:c r="L37" s="18" t="str">
        <x:v>Received</x:v>
      </x:c>
      <x:c r="M37" s="18" t="str">
        <x:v>Received</x:v>
      </x:c>
      <x:c r="N37" s="18" t="str">
        <x:v>Received</x:v>
      </x:c>
      <x:c r="O37" s="18" t="str">
        <x:v>Received</x:v>
      </x:c>
      <x:c r="P37" s="18" t="str">
        <x:v>Received</x:v>
      </x:c>
    </x:row>
    <x:row r="38" ht="22" customHeight="1">
      <x:c r="A38" s="18" t="str">
        <x:v>EMP-0035</x:v>
      </x:c>
      <x:c r="B38" s="18" t="str">
        <x:v>Employee 35</x:v>
      </x:c>
      <x:c r="C38" s="18" t="str">
        <x:v>employee35@northstar.example</x:v>
      </x:c>
      <x:c r="D38" s="18" t="str">
        <x:v>IT</x:v>
      </x:c>
      <x:c r="E38" s="18" t="str">
        <x:v>Coordinator</x:v>
      </x:c>
      <x:c r="F38" s="18" t="str">
        <x:v>Contract</x:v>
      </x:c>
      <x:c r="G38" s="21" t="n">
        <x:v>46148</x:v>
      </x:c>
      <x:c r="H38" s="21" t="n">
        <x:v>46513</x:v>
      </x:c>
      <x:c r="I38" s="21" t="n">
        <x:v>46240</x:v>
      </x:c>
      <x:c r="J38" s="18" t="str">
        <x:v>Manager 6</x:v>
      </x:c>
      <x:c r="K38" s="18" t="str">
        <x:v>Remote</x:v>
      </x:c>
      <x:c r="L38" s="18" t="str">
        <x:v>Received</x:v>
      </x:c>
      <x:c r="M38" s="18" t="str">
        <x:v>Received</x:v>
      </x:c>
      <x:c r="N38" s="18" t="str">
        <x:v>Received</x:v>
      </x:c>
      <x:c r="O38" s="18" t="str">
        <x:v>Received</x:v>
      </x:c>
      <x:c r="P38" s="18" t="str">
        <x:v>Received</x:v>
      </x:c>
    </x:row>
    <x:row r="39" ht="22" customHeight="1">
      <x:c r="A39" s="18" t="str">
        <x:v>EMP-0036</x:v>
      </x:c>
      <x:c r="B39" s="18" t="str">
        <x:v>Employee 36</x:v>
      </x:c>
      <x:c r="C39" s="18" t="str">
        <x:v>employee36@northstar.example</x:v>
      </x:c>
      <x:c r="D39" s="18" t="str">
        <x:v>Operations</x:v>
      </x:c>
      <x:c r="E39" s="18" t="str">
        <x:v>Analyst</x:v>
      </x:c>
      <x:c r="F39" s="18" t="str">
        <x:v>Intern</x:v>
      </x:c>
      <x:c r="G39" s="21" t="n">
        <x:v>46182</x:v>
      </x:c>
      <x:c r="H39" s="21" t="n">
        <x:v>46547</x:v>
      </x:c>
      <x:c r="I39" s="21" t="n">
        <x:v>46274</x:v>
      </x:c>
      <x:c r="J39" s="18" t="str">
        <x:v>Manager 1</x:v>
      </x:c>
      <x:c r="K39" s="18" t="str">
        <x:v>Jakarta</x:v>
      </x:c>
      <x:c r="L39" s="18" t="str">
        <x:v>Received</x:v>
      </x:c>
      <x:c r="M39" s="18" t="str">
        <x:v>Missing</x:v>
      </x:c>
      <x:c r="N39" s="18" t="str">
        <x:v>Received</x:v>
      </x:c>
      <x:c r="O39" s="18" t="str">
        <x:v>Received</x:v>
      </x:c>
      <x:c r="P39" s="18" t="str">
        <x:v>Received</x:v>
      </x:c>
    </x:row>
    <x:row r="40" ht="22" customHeight="1">
      <x:c r="A40" s="18" t="str">
        <x:v>EMP-0037</x:v>
      </x:c>
      <x:c r="B40" s="18" t="str">
        <x:v>Employee 37</x:v>
      </x:c>
      <x:c r="C40" s="18" t="str">
        <x:v>employee37@northstar.example</x:v>
      </x:c>
      <x:c r="D40" s="18" t="str">
        <x:v>Finance</x:v>
      </x:c>
      <x:c r="E40" s="18" t="str">
        <x:v>Administrator</x:v>
      </x:c>
      <x:c r="F40" s="18" t="str">
        <x:v>Permanent</x:v>
      </x:c>
      <x:c r="G40" s="21" t="n">
        <x:v>46034</x:v>
      </x:c>
      <x:c r="H40" s="21"/>
      <x:c r="I40" s="21" t="n">
        <x:v>46124</x:v>
      </x:c>
      <x:c r="J40" s="18" t="str">
        <x:v>Manager 2</x:v>
      </x:c>
      <x:c r="K40" s="18" t="str">
        <x:v>Surabaya</x:v>
      </x:c>
      <x:c r="L40" s="18" t="str">
        <x:v>Received</x:v>
      </x:c>
      <x:c r="M40" s="18" t="str">
        <x:v>Received</x:v>
      </x:c>
      <x:c r="N40" s="18" t="str">
        <x:v>Received</x:v>
      </x:c>
      <x:c r="O40" s="18" t="str">
        <x:v>Received</x:v>
      </x:c>
      <x:c r="P40" s="18" t="str">
        <x:v>Received</x:v>
      </x:c>
    </x:row>
    <x:row r="41" ht="22" customHeight="1">
      <x:c r="A41" s="18" t="str">
        <x:v>EMP-0038</x:v>
      </x:c>
      <x:c r="B41" s="18" t="str">
        <x:v>Employee 38</x:v>
      </x:c>
      <x:c r="C41" s="18" t="str">
        <x:v>employee38@northstar.example</x:v>
      </x:c>
      <x:c r="D41" s="18" t="str">
        <x:v>HR</x:v>
      </x:c>
      <x:c r="E41" s="18" t="str">
        <x:v>Specialist</x:v>
      </x:c>
      <x:c r="F41" s="18" t="str">
        <x:v>Contract</x:v>
      </x:c>
      <x:c r="G41" s="21" t="n">
        <x:v>46068</x:v>
      </x:c>
      <x:c r="H41" s="21" t="n">
        <x:v>46433</x:v>
      </x:c>
      <x:c r="I41" s="21" t="n">
        <x:v>46157</x:v>
      </x:c>
      <x:c r="J41" s="18" t="str">
        <x:v>Manager 3</x:v>
      </x:c>
      <x:c r="K41" s="18" t="str">
        <x:v>Bandung</x:v>
      </x:c>
      <x:c r="L41" s="18" t="str">
        <x:v>Received</x:v>
      </x:c>
      <x:c r="M41" s="18" t="str">
        <x:v>Received</x:v>
      </x:c>
      <x:c r="N41" s="18" t="str">
        <x:v>Received</x:v>
      </x:c>
      <x:c r="O41" s="18" t="str">
        <x:v>Received</x:v>
      </x:c>
      <x:c r="P41" s="18" t="str">
        <x:v>Received</x:v>
      </x:c>
    </x:row>
    <x:row r="42" ht="22" customHeight="1">
      <x:c r="A42" s="18" t="str">
        <x:v>EMP-0039</x:v>
      </x:c>
      <x:c r="B42" s="18" t="str">
        <x:v>Employee 39</x:v>
      </x:c>
      <x:c r="C42" s="18" t="str">
        <x:v>employee39@northstar.example</x:v>
      </x:c>
      <x:c r="D42" s="18" t="str">
        <x:v>Sales</x:v>
      </x:c>
      <x:c r="E42" s="18" t="str">
        <x:v>Assistant</x:v>
      </x:c>
      <x:c r="F42" s="18" t="str">
        <x:v>Intern</x:v>
      </x:c>
      <x:c r="G42" s="21" t="n">
        <x:v>46099</x:v>
      </x:c>
      <x:c r="H42" s="21" t="n">
        <x:v>46464</x:v>
      </x:c>
      <x:c r="I42" s="21" t="n">
        <x:v>46191</x:v>
      </x:c>
      <x:c r="J42" s="18" t="str">
        <x:v>Manager 4</x:v>
      </x:c>
      <x:c r="K42" s="18" t="str">
        <x:v>Remote</x:v>
      </x:c>
      <x:c r="L42" s="18" t="str">
        <x:v>Received</x:v>
      </x:c>
      <x:c r="M42" s="18" t="str">
        <x:v>Received</x:v>
      </x:c>
      <x:c r="N42" s="18" t="str">
        <x:v>Received</x:v>
      </x:c>
      <x:c r="O42" s="18" t="str">
        <x:v>Received</x:v>
      </x:c>
      <x:c r="P42" s="18" t="str">
        <x:v>Missing</x:v>
      </x:c>
    </x:row>
    <x:row r="43" ht="22" customHeight="1">
      <x:c r="A43" s="19" t="str">
        <x:v>EMP-0040</x:v>
      </x:c>
      <x:c r="B43" s="19" t="str">
        <x:v>Employee 40</x:v>
      </x:c>
      <x:c r="C43" s="19" t="str">
        <x:v>employee40@northstar.example</x:v>
      </x:c>
      <x:c r="D43" s="19" t="str">
        <x:v>IT</x:v>
      </x:c>
      <x:c r="E43" s="19" t="str">
        <x:v>Coordinator</x:v>
      </x:c>
      <x:c r="F43" s="19" t="str">
        <x:v>Permanent</x:v>
      </x:c>
      <x:c r="G43" s="22" t="n">
        <x:v>46113</x:v>
      </x:c>
      <x:c r="H43" s="22"/>
      <x:c r="I43" s="22" t="n">
        <x:v>46204</x:v>
      </x:c>
      <x:c r="J43" s="19" t="str">
        <x:v>Manager 5</x:v>
      </x:c>
      <x:c r="K43" s="19" t="str">
        <x:v>Jakarta</x:v>
      </x:c>
      <x:c r="L43" s="19" t="str">
        <x:v>Missing</x:v>
      </x:c>
      <x:c r="M43" s="19" t="str">
        <x:v>Received</x:v>
      </x:c>
      <x:c r="N43" s="19" t="str">
        <x:v>Missing</x:v>
      </x:c>
      <x:c r="O43" s="19" t="str">
        <x:v>Received</x:v>
      </x:c>
      <x:c r="P43" s="19" t="str">
        <x:v>Received</x:v>
      </x:c>
    </x:row>
  </x:sheetData>
  <x:mergeCells>
    <x:mergeCell ref="A1:P1"/>
    <x:mergeCell ref="A2:P2"/>
  </x:mergeCells>
  <x:conditionalFormatting sqref="A4:P43">
    <x:cfRule type="expression" dxfId="0" priority="1">
      <x:formula>MOD(ROW(),2)=0</x:formula>
    </x:cfRule>
  </x:conditionalFormatting>
  <x:conditionalFormatting sqref="A4:A43">
    <x:cfRule type="duplicateValues" dxfId="1" priority="2"/>
  </x:conditionalFormatting>
  <x:conditionalFormatting sqref="L4:P43">
    <x:cfRule type="containsText" dxfId="2" priority="3" operator="containsText" text="Missing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36" customHeight="1">
      <x:c r="A1" s="3" t="str">
        <x:v>PROJ-006 | CONTROLLED HR REFERENCES</x:v>
      </x:c>
      <x:c r="B1" s="3"/>
      <x:c r="C1" s="3"/>
      <x:c r="D1" s="3"/>
      <x:c r="E1" s="3"/>
      <x:c r="F1" s="3"/>
    </x:row>
    <x:row r="2" ht="25" customHeight="1">
      <x:c r="A2" s="6" t="str">
        <x:v>Approved department, employment, location and document-status values</x:v>
      </x:c>
      <x:c r="B2" s="6"/>
      <x:c r="C2" s="6"/>
      <x:c r="D2" s="6"/>
      <x:c r="E2" s="6"/>
      <x:c r="F2" s="6"/>
    </x:row>
    <x:row r="4" ht="30" customHeight="1">
      <x:c r="A4" s="28" t="str">
        <x:v>DEPARTMENT KEY</x:v>
      </x:c>
      <x:c r="B4" s="28" t="str">
        <x:v>STANDARD DEPARTMENT</x:v>
      </x:c>
      <x:c r="D4" s="28" t="str">
        <x:v>EMPLOYMENT TYPE</x:v>
      </x:c>
      <x:c r="E4" s="28" t="str">
        <x:v>APPROVED VALUE</x:v>
      </x:c>
    </x:row>
    <x:row r="5">
      <x:c r="A5" s="30" t="str">
        <x:v>OPERATIONS</x:v>
      </x:c>
      <x:c r="B5" s="30" t="str">
        <x:v>Operations</x:v>
      </x:c>
      <x:c r="D5" s="30" t="str">
        <x:v>PERMANENT</x:v>
      </x:c>
      <x:c r="E5" s="30" t="str">
        <x:v>Permanent</x:v>
      </x:c>
    </x:row>
    <x:row r="6">
      <x:c r="A6" s="31" t="str">
        <x:v>FINANCE</x:v>
      </x:c>
      <x:c r="B6" s="31" t="str">
        <x:v>Finance</x:v>
      </x:c>
      <x:c r="D6" s="31" t="str">
        <x:v>CONTRACT</x:v>
      </x:c>
      <x:c r="E6" s="31" t="str">
        <x:v>Contract</x:v>
      </x:c>
    </x:row>
    <x:row r="7">
      <x:c r="A7" s="31" t="str">
        <x:v>HR</x:v>
      </x:c>
      <x:c r="B7" s="31" t="str">
        <x:v>HR</x:v>
      </x:c>
      <x:c r="D7" s="32" t="str">
        <x:v>INTERN</x:v>
      </x:c>
      <x:c r="E7" s="32" t="str">
        <x:v>Intern</x:v>
      </x:c>
    </x:row>
    <x:row r="8">
      <x:c r="A8" s="31" t="str">
        <x:v>SALES</x:v>
      </x:c>
      <x:c r="B8" s="31" t="str">
        <x:v>Sales</x:v>
      </x:c>
    </x:row>
    <x:row r="9">
      <x:c r="A9" s="31" t="str">
        <x:v>IT</x:v>
      </x:c>
      <x:c r="B9" s="31" t="str">
        <x:v>IT</x:v>
      </x:c>
    </x:row>
    <x:row r="10">
      <x:c r="A10" s="32" t="str">
        <x:v>ADMIN TEAM</x:v>
      </x:c>
      <x:c r="B10" s="34" t="str">
        <x:v>Needs Review</x:v>
      </x:c>
    </x:row>
    <x:row r="13" ht="30" customHeight="1">
      <x:c r="A13" s="28" t="str">
        <x:v>LOCATION KEY</x:v>
      </x:c>
      <x:c r="B13" s="28" t="str">
        <x:v>STANDARD LOCATION</x:v>
      </x:c>
      <x:c r="D13" s="28" t="str">
        <x:v>DOCUMENT STATUS</x:v>
      </x:c>
      <x:c r="E13" s="28" t="str">
        <x:v>APPROVED VALUE</x:v>
      </x:c>
    </x:row>
    <x:row r="14">
      <x:c r="A14" s="30" t="str">
        <x:v>JAKARTA</x:v>
      </x:c>
      <x:c r="B14" s="30" t="str">
        <x:v>Jakarta</x:v>
      </x:c>
      <x:c r="D14" s="30" t="str">
        <x:v>RECEIVED</x:v>
      </x:c>
      <x:c r="E14" s="30" t="str">
        <x:v>Received</x:v>
      </x:c>
    </x:row>
    <x:row r="15">
      <x:c r="A15" s="31" t="str">
        <x:v>SURABAYA</x:v>
      </x:c>
      <x:c r="B15" s="31" t="str">
        <x:v>Surabaya</x:v>
      </x:c>
      <x:c r="D15" s="32" t="str">
        <x:v>MISSING</x:v>
      </x:c>
      <x:c r="E15" s="34" t="str">
        <x:v>Missing</x:v>
      </x:c>
    </x:row>
    <x:row r="16">
      <x:c r="A16" s="31" t="str">
        <x:v>BANDUNG</x:v>
      </x:c>
      <x:c r="B16" s="31" t="str">
        <x:v>Bandung</x:v>
      </x:c>
    </x:row>
    <x:row r="17">
      <x:c r="A17" s="32" t="str">
        <x:v>REMOTE</x:v>
      </x:c>
      <x:c r="B17" s="32" t="str">
        <x:v>Remote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20" hidden="0" customWidth="1"/>
    <x:col min="5" max="5" width="27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44" hidden="0" customWidth="1"/>
  </x:cols>
  <x:sheetData>
    <x:row r="1" ht="36" customHeight="1">
      <x:c r="A1" s="3" t="str">
        <x:v>PROJ-006 | FORMULA-DRIVEN EMPLOYEE VALIDATION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</x:row>
    <x:row r="2" ht="25" customHeight="1">
      <x:c r="A2" s="6" t="str">
        <x:v>Source-linked employee master • document completeness • contract and onboarding controls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</x:row>
    <x:row r="3" ht="30" customHeight="1">
      <x:c r="A3" s="12" t="str">
        <x:v>Raw Row</x:v>
      </x:c>
      <x:c r="B3" s="12" t="str">
        <x:v>Employee ID</x:v>
      </x:c>
      <x:c r="C3" s="12" t="str">
        <x:v>Duplicate Count</x:v>
      </x:c>
      <x:c r="D3" s="12" t="str">
        <x:v>Full Name</x:v>
      </x:c>
      <x:c r="E3" s="12" t="str">
        <x:v>Work Email</x:v>
      </x:c>
      <x:c r="F3" s="12" t="str">
        <x:v>Department</x:v>
      </x:c>
      <x:c r="G3" s="12" t="str">
        <x:v>Job Title</x:v>
      </x:c>
      <x:c r="H3" s="12" t="str">
        <x:v>Employment Type</x:v>
      </x:c>
      <x:c r="I3" s="12" t="str">
        <x:v>Start Date</x:v>
      </x:c>
      <x:c r="J3" s="12" t="str">
        <x:v>Contract End</x:v>
      </x:c>
      <x:c r="K3" s="12" t="str">
        <x:v>Probation End</x:v>
      </x:c>
      <x:c r="L3" s="12" t="str">
        <x:v>Manager</x:v>
      </x:c>
      <x:c r="M3" s="12" t="str">
        <x:v>Work Location</x:v>
      </x:c>
      <x:c r="N3" s="28" t="str">
        <x:v>ID Doc</x:v>
      </x:c>
      <x:c r="O3" s="28" t="str">
        <x:v>Tax Doc</x:v>
      </x:c>
      <x:c r="P3" s="28" t="str">
        <x:v>Bank Form</x:v>
      </x:c>
      <x:c r="Q3" s="28" t="str">
        <x:v>Emergency Contact</x:v>
      </x:c>
      <x:c r="R3" s="28" t="str">
        <x:v>Policy Ack</x:v>
      </x:c>
      <x:c r="S3" s="40" t="str">
        <x:v>Email Check</x:v>
      </x:c>
      <x:c r="T3" s="40" t="str">
        <x:v>Department Check</x:v>
      </x:c>
      <x:c r="U3" s="40" t="str">
        <x:v>Contract Check</x:v>
      </x:c>
      <x:c r="V3" s="40" t="str">
        <x:v>Missing Docs</x:v>
      </x:c>
      <x:c r="W3" s="40" t="str">
        <x:v>Duplicate Check</x:v>
      </x:c>
      <x:c r="X3" s="44" t="str">
        <x:v>Issue Count</x:v>
      </x:c>
      <x:c r="Y3" s="44" t="str">
        <x:v>Review Status</x:v>
      </x:c>
      <x:c r="Z3" s="44" t="str">
        <x:v>Recommended Written Action</x:v>
      </x:c>
    </x:row>
    <x:row r="4" ht="22" customHeight="1">
      <x:c r="A4" s="244" t="n">
        <x:f>ROW('Raw Employees'!A4)</x:f>
        <x:v>4</x:v>
      </x:c>
      <x:c r="B4" s="244" t="str">
        <x:f>'Raw Employees'!A4</x:f>
        <x:v>EMP-0001</x:v>
      </x:c>
      <x:c r="C4" s="244" t="n">
        <x:f>COUNTIF('Raw Employees'!$A$4:$A$43,B4)</x:f>
        <x:v>1</x:v>
      </x:c>
      <x:c r="D4" s="244" t="str">
        <x:f>'Raw Employees'!B4</x:f>
        <x:v>Employee 01</x:v>
      </x:c>
      <x:c r="E4" s="244" t="str">
        <x:f>'Raw Employees'!C4</x:f>
        <x:v>employee1@northstar.example</x:v>
      </x:c>
      <x:c r="F4" s="244" t="str">
        <x:f>IFERROR(VLOOKUP(UPPER(TRIM('Raw Employees'!D4)),'References'!$A$5:$B$10,2,FALSE),"Needs Review")</x:f>
        <x:v>Operations</x:v>
      </x:c>
      <x:c r="G4" s="244" t="str">
        <x:f>'Raw Employees'!E4</x:f>
        <x:v>Analyst</x:v>
      </x:c>
      <x:c r="H4" s="244" t="str">
        <x:f>'Raw Employees'!F4</x:f>
        <x:v>Permanent</x:v>
      </x:c>
      <x:c r="I4" s="245" t="n">
        <x:f>'Raw Employees'!G4</x:f>
        <x:v>46026</x:v>
      </x:c>
      <x:c r="J4" s="245" t="str">
        <x:f>IF('Raw Employees'!H4="","",'Raw Employees'!H4)</x:f>
      </x:c>
      <x:c r="K4" s="245" t="n">
        <x:f>'Raw Employees'!I4</x:f>
        <x:v>46116</x:v>
      </x:c>
      <x:c r="L4" s="244" t="str">
        <x:f>'Raw Employees'!J4</x:f>
        <x:v>Manager 2</x:v>
      </x:c>
      <x:c r="M4" s="244" t="str">
        <x:f>'Raw Employees'!K4</x:f>
        <x:v>Surabaya</x:v>
      </x:c>
      <x:c r="N4" s="244" t="str">
        <x:f>'Raw Employees'!L4</x:f>
        <x:v>Received</x:v>
      </x:c>
      <x:c r="O4" s="244" t="str">
        <x:f>'Raw Employees'!M4</x:f>
        <x:v>Received</x:v>
      </x:c>
      <x:c r="P4" s="244" t="str">
        <x:f>'Raw Employees'!N4</x:f>
        <x:v>Received</x:v>
      </x:c>
      <x:c r="Q4" s="244" t="str">
        <x:f>'Raw Employees'!O4</x:f>
        <x:v>Received</x:v>
      </x:c>
      <x:c r="R4" s="244" t="str">
        <x:f>'Raw Employees'!P4</x:f>
        <x:v>Received</x:v>
      </x:c>
      <x:c r="S4" s="244" t="str">
        <x:f>IF(IFERROR(AND(LEN(E4)-LEN(SUBSTITUTE(E4,"@",""))=1,SEARCH("@",E4)&gt;1,ISNUMBER(SEARCH(".",E4,SEARCH("@",E4)+2)),RIGHT(E4,1)&lt;&gt;"."),FALSE),"OK","Invalid Email")</x:f>
        <x:v>OK</x:v>
      </x:c>
      <x:c r="T4" s="244" t="str">
        <x:f>IF(F4="Needs Review","Invalid Department","OK")</x:f>
        <x:v>OK</x:v>
      </x:c>
      <x:c r="U4" s="244" t="str">
        <x:f>IF(OR(AND(H4&lt;&gt;"Permanent",J4=""),AND(J4&lt;&gt;"",J4&lt;I4),AND(H4="Permanent",J4&lt;&gt;"")),"Invalid Contract End","OK")</x:f>
        <x:v>OK</x:v>
      </x:c>
      <x:c r="V4" s="244" t="n">
        <x:f>COUNTIF(N4:R4,"Missing")</x:f>
        <x:v>0</x:v>
      </x:c>
      <x:c r="W4" s="244" t="str">
        <x:f>IF(C4&gt;1,"Duplicate Employee ID","OK")</x:f>
        <x:v>OK</x:v>
      </x:c>
      <x:c r="X4" s="244" t="n">
        <x:f>IF(S4&lt;&gt;"OK",1,0)+IF(T4&lt;&gt;"OK",1,0)+IF(U4&lt;&gt;"OK",1,0)+V4+IF(W4&lt;&gt;"OK",1,0)</x:f>
        <x:v>0</x:v>
      </x:c>
      <x:c r="Y4" s="244" t="str">
        <x:f>IF(OR(S4&lt;&gt;"OK",W4&lt;&gt;"OK"),"High Priority Review",IF(X4&gt;0,"Review","Ready"))</x:f>
        <x:v>Ready</x:v>
      </x:c>
      <x:c r="Z4" s="244" t="str">
        <x:f>IF(S4&lt;&gt;"OK","Correct work email using approved source",IF(T4&lt;&gt;"OK","Confirm approved department",IF(U4&lt;&gt;"OK","Verify employment type and contract dates",IF(W4&lt;&gt;"OK","Compare duplicate employee records",IF(V4&gt;0,"Request missing documents by email or task","No action required")))))</x:f>
        <x:v>No action required</x:v>
      </x:c>
    </x:row>
    <x:row r="5" ht="22" customHeight="1">
      <x:c r="A5" s="246" t="n">
        <x:f>ROW('Raw Employees'!A5)</x:f>
        <x:v>5</x:v>
      </x:c>
      <x:c r="B5" s="246" t="str">
        <x:f>'Raw Employees'!A5</x:f>
        <x:v>EMP-0002</x:v>
      </x:c>
      <x:c r="C5" s="246" t="n">
        <x:f>COUNTIF('Raw Employees'!$A$4:$A$43,B5)</x:f>
        <x:v>1</x:v>
      </x:c>
      <x:c r="D5" s="246" t="str">
        <x:f>'Raw Employees'!B5</x:f>
        <x:v>Employee 02</x:v>
      </x:c>
      <x:c r="E5" s="246" t="str">
        <x:f>'Raw Employees'!C5</x:f>
        <x:v>employee2@northstar.example</x:v>
      </x:c>
      <x:c r="F5" s="246" t="str">
        <x:f>IFERROR(VLOOKUP(UPPER(TRIM('Raw Employees'!D5)),'References'!$A$5:$B$10,2,FALSE),"Needs Review")</x:f>
        <x:v>Finance</x:v>
      </x:c>
      <x:c r="G5" s="246" t="str">
        <x:f>'Raw Employees'!E5</x:f>
        <x:v>Administrator</x:v>
      </x:c>
      <x:c r="H5" s="246" t="str">
        <x:f>'Raw Employees'!F5</x:f>
        <x:v>Contract</x:v>
      </x:c>
      <x:c r="I5" s="247" t="n">
        <x:f>'Raw Employees'!G5</x:f>
        <x:v>46060</x:v>
      </x:c>
      <x:c r="J5" s="247" t="n">
        <x:f>IF('Raw Employees'!H5="","",'Raw Employees'!H5)</x:f>
        <x:v>46425</x:v>
      </x:c>
      <x:c r="K5" s="247" t="n">
        <x:f>'Raw Employees'!I5</x:f>
        <x:v>46149</x:v>
      </x:c>
      <x:c r="L5" s="246" t="str">
        <x:f>'Raw Employees'!J5</x:f>
        <x:v>Manager 3</x:v>
      </x:c>
      <x:c r="M5" s="246" t="str">
        <x:f>'Raw Employees'!K5</x:f>
        <x:v>Bandung</x:v>
      </x:c>
      <x:c r="N5" s="246" t="str">
        <x:f>'Raw Employees'!L5</x:f>
        <x:v>Received</x:v>
      </x:c>
      <x:c r="O5" s="246" t="str">
        <x:f>'Raw Employees'!M5</x:f>
        <x:v>Received</x:v>
      </x:c>
      <x:c r="P5" s="246" t="str">
        <x:f>'Raw Employees'!N5</x:f>
        <x:v>Received</x:v>
      </x:c>
      <x:c r="Q5" s="246" t="str">
        <x:f>'Raw Employees'!O5</x:f>
        <x:v>Received</x:v>
      </x:c>
      <x:c r="R5" s="246" t="str">
        <x:f>'Raw Employees'!P5</x:f>
        <x:v>Received</x:v>
      </x:c>
      <x:c r="S5" s="246" t="str">
        <x:f>IF(IFERROR(AND(LEN(E5)-LEN(SUBSTITUTE(E5,"@",""))=1,SEARCH("@",E5)&gt;1,ISNUMBER(SEARCH(".",E5,SEARCH("@",E5)+2)),RIGHT(E5,1)&lt;&gt;"."),FALSE),"OK","Invalid Email")</x:f>
        <x:v>OK</x:v>
      </x:c>
      <x:c r="T5" s="246" t="str">
        <x:f>IF(F5="Needs Review","Invalid Department","OK")</x:f>
        <x:v>OK</x:v>
      </x:c>
      <x:c r="U5" s="246" t="str">
        <x:f>IF(OR(AND(H5&lt;&gt;"Permanent",J5=""),AND(J5&lt;&gt;"",J5&lt;I5),AND(H5="Permanent",J5&lt;&gt;"")),"Invalid Contract End","OK")</x:f>
        <x:v>OK</x:v>
      </x:c>
      <x:c r="V5" s="246" t="n">
        <x:f>COUNTIF(N5:R5,"Missing")</x:f>
        <x:v>0</x:v>
      </x:c>
      <x:c r="W5" s="246" t="str">
        <x:f>IF(C5&gt;1,"Duplicate Employee ID","OK")</x:f>
        <x:v>OK</x:v>
      </x:c>
      <x:c r="X5" s="246" t="n">
        <x:f>IF(S5&lt;&gt;"OK",1,0)+IF(T5&lt;&gt;"OK",1,0)+IF(U5&lt;&gt;"OK",1,0)+V5+IF(W5&lt;&gt;"OK",1,0)</x:f>
        <x:v>0</x:v>
      </x:c>
      <x:c r="Y5" s="246" t="str">
        <x:f>IF(OR(S5&lt;&gt;"OK",W5&lt;&gt;"OK"),"High Priority Review",IF(X5&gt;0,"Review","Ready"))</x:f>
        <x:v>Ready</x:v>
      </x:c>
      <x:c r="Z5" s="246" t="str">
        <x:f>IF(S5&lt;&gt;"OK","Correct work email using approved source",IF(T5&lt;&gt;"OK","Confirm approved department",IF(U5&lt;&gt;"OK","Verify employment type and contract dates",IF(W5&lt;&gt;"OK","Compare duplicate employee records",IF(V5&gt;0,"Request missing documents by email or task","No action required")))))</x:f>
        <x:v>No action required</x:v>
      </x:c>
    </x:row>
    <x:row r="6" ht="22" customHeight="1">
      <x:c r="A6" s="246" t="n">
        <x:f>ROW('Raw Employees'!A6)</x:f>
        <x:v>6</x:v>
      </x:c>
      <x:c r="B6" s="246" t="str">
        <x:f>'Raw Employees'!A6</x:f>
        <x:v>EMP-0003</x:v>
      </x:c>
      <x:c r="C6" s="246" t="n">
        <x:f>COUNTIF('Raw Employees'!$A$4:$A$43,B6)</x:f>
        <x:v>1</x:v>
      </x:c>
      <x:c r="D6" s="246" t="str">
        <x:f>'Raw Employees'!B6</x:f>
        <x:v>Employee 03</x:v>
      </x:c>
      <x:c r="E6" s="246" t="str">
        <x:f>'Raw Employees'!C6</x:f>
        <x:v>employee3@northstar.example</x:v>
      </x:c>
      <x:c r="F6" s="246" t="str">
        <x:f>IFERROR(VLOOKUP(UPPER(TRIM('Raw Employees'!D6)),'References'!$A$5:$B$10,2,FALSE),"Needs Review")</x:f>
        <x:v>HR</x:v>
      </x:c>
      <x:c r="G6" s="246" t="str">
        <x:f>'Raw Employees'!E6</x:f>
        <x:v>Specialist</x:v>
      </x:c>
      <x:c r="H6" s="246" t="str">
        <x:f>'Raw Employees'!F6</x:f>
        <x:v>Intern</x:v>
      </x:c>
      <x:c r="I6" s="247" t="n">
        <x:f>'Raw Employees'!G6</x:f>
        <x:v>46091</x:v>
      </x:c>
      <x:c r="J6" s="247" t="n">
        <x:f>IF('Raw Employees'!H6="","",'Raw Employees'!H6)</x:f>
        <x:v>46456</x:v>
      </x:c>
      <x:c r="K6" s="247" t="n">
        <x:f>'Raw Employees'!I6</x:f>
        <x:v>46183</x:v>
      </x:c>
      <x:c r="L6" s="246" t="str">
        <x:f>'Raw Employees'!J6</x:f>
        <x:v>Manager 4</x:v>
      </x:c>
      <x:c r="M6" s="246" t="str">
        <x:f>'Raw Employees'!K6</x:f>
        <x:v>Remote</x:v>
      </x:c>
      <x:c r="N6" s="246" t="str">
        <x:f>'Raw Employees'!L6</x:f>
        <x:v>Received</x:v>
      </x:c>
      <x:c r="O6" s="246" t="str">
        <x:f>'Raw Employees'!M6</x:f>
        <x:v>Received</x:v>
      </x:c>
      <x:c r="P6" s="246" t="str">
        <x:f>'Raw Employees'!N6</x:f>
        <x:v>Received</x:v>
      </x:c>
      <x:c r="Q6" s="246" t="str">
        <x:f>'Raw Employees'!O6</x:f>
        <x:v>Received</x:v>
      </x:c>
      <x:c r="R6" s="246" t="str">
        <x:f>'Raw Employees'!P6</x:f>
        <x:v>Received</x:v>
      </x:c>
      <x:c r="S6" s="246" t="str">
        <x:f>IF(IFERROR(AND(LEN(E6)-LEN(SUBSTITUTE(E6,"@",""))=1,SEARCH("@",E6)&gt;1,ISNUMBER(SEARCH(".",E6,SEARCH("@",E6)+2)),RIGHT(E6,1)&lt;&gt;"."),FALSE),"OK","Invalid Email")</x:f>
        <x:v>OK</x:v>
      </x:c>
      <x:c r="T6" s="246" t="str">
        <x:f>IF(F6="Needs Review","Invalid Department","OK")</x:f>
        <x:v>OK</x:v>
      </x:c>
      <x:c r="U6" s="246" t="str">
        <x:f>IF(OR(AND(H6&lt;&gt;"Permanent",J6=""),AND(J6&lt;&gt;"",J6&lt;I6),AND(H6="Permanent",J6&lt;&gt;"")),"Invalid Contract End","OK")</x:f>
        <x:v>OK</x:v>
      </x:c>
      <x:c r="V6" s="246" t="n">
        <x:f>COUNTIF(N6:R6,"Missing")</x:f>
        <x:v>0</x:v>
      </x:c>
      <x:c r="W6" s="246" t="str">
        <x:f>IF(C6&gt;1,"Duplicate Employee ID","OK")</x:f>
        <x:v>OK</x:v>
      </x:c>
      <x:c r="X6" s="246" t="n">
        <x:f>IF(S6&lt;&gt;"OK",1,0)+IF(T6&lt;&gt;"OK",1,0)+IF(U6&lt;&gt;"OK",1,0)+V6+IF(W6&lt;&gt;"OK",1,0)</x:f>
        <x:v>0</x:v>
      </x:c>
      <x:c r="Y6" s="246" t="str">
        <x:f>IF(OR(S6&lt;&gt;"OK",W6&lt;&gt;"OK"),"High Priority Review",IF(X6&gt;0,"Review","Ready"))</x:f>
        <x:v>Ready</x:v>
      </x:c>
      <x:c r="Z6" s="246" t="str">
        <x:f>IF(S6&lt;&gt;"OK","Correct work email using approved source",IF(T6&lt;&gt;"OK","Confirm approved department",IF(U6&lt;&gt;"OK","Verify employment type and contract dates",IF(W6&lt;&gt;"OK","Compare duplicate employee records",IF(V6&gt;0,"Request missing documents by email or task","No action required")))))</x:f>
        <x:v>No action required</x:v>
      </x:c>
    </x:row>
    <x:row r="7" ht="22" customHeight="1">
      <x:c r="A7" s="246" t="n">
        <x:f>ROW('Raw Employees'!A7)</x:f>
        <x:v>7</x:v>
      </x:c>
      <x:c r="B7" s="246" t="str">
        <x:f>'Raw Employees'!A7</x:f>
        <x:v>EMP-0004</x:v>
      </x:c>
      <x:c r="C7" s="246" t="n">
        <x:f>COUNTIF('Raw Employees'!$A$4:$A$43,B7)</x:f>
        <x:v>1</x:v>
      </x:c>
      <x:c r="D7" s="246" t="str">
        <x:f>'Raw Employees'!B7</x:f>
        <x:v>Employee 04</x:v>
      </x:c>
      <x:c r="E7" s="246" t="str">
        <x:f>'Raw Employees'!C7</x:f>
        <x:v>employee4@northstar.example</x:v>
      </x:c>
      <x:c r="F7" s="246" t="str">
        <x:f>IFERROR(VLOOKUP(UPPER(TRIM('Raw Employees'!D7)),'References'!$A$5:$B$10,2,FALSE),"Needs Review")</x:f>
        <x:v>Sales</x:v>
      </x:c>
      <x:c r="G7" s="246" t="str">
        <x:f>'Raw Employees'!E7</x:f>
        <x:v>Assistant</x:v>
      </x:c>
      <x:c r="H7" s="246" t="str">
        <x:f>'Raw Employees'!F7</x:f>
        <x:v>Permanent</x:v>
      </x:c>
      <x:c r="I7" s="247" t="n">
        <x:f>'Raw Employees'!G7</x:f>
        <x:v>46125</x:v>
      </x:c>
      <x:c r="J7" s="247" t="str">
        <x:f>IF('Raw Employees'!H7="","",'Raw Employees'!H7)</x:f>
      </x:c>
      <x:c r="K7" s="247" t="n">
        <x:f>'Raw Employees'!I7</x:f>
        <x:v>46216</x:v>
      </x:c>
      <x:c r="L7" s="246" t="str">
        <x:f>'Raw Employees'!J7</x:f>
        <x:v>Manager 5</x:v>
      </x:c>
      <x:c r="M7" s="246" t="str">
        <x:f>'Raw Employees'!K7</x:f>
        <x:v>Jakarta</x:v>
      </x:c>
      <x:c r="N7" s="246" t="str">
        <x:f>'Raw Employees'!L7</x:f>
        <x:v>Received</x:v>
      </x:c>
      <x:c r="O7" s="246" t="str">
        <x:f>'Raw Employees'!M7</x:f>
        <x:v>Received</x:v>
      </x:c>
      <x:c r="P7" s="246" t="str">
        <x:f>'Raw Employees'!N7</x:f>
        <x:v>Received</x:v>
      </x:c>
      <x:c r="Q7" s="246" t="str">
        <x:f>'Raw Employees'!O7</x:f>
        <x:v>Received</x:v>
      </x:c>
      <x:c r="R7" s="246" t="str">
        <x:f>'Raw Employees'!P7</x:f>
        <x:v>Received</x:v>
      </x:c>
      <x:c r="S7" s="246" t="str">
        <x:f>IF(IFERROR(AND(LEN(E7)-LEN(SUBSTITUTE(E7,"@",""))=1,SEARCH("@",E7)&gt;1,ISNUMBER(SEARCH(".",E7,SEARCH("@",E7)+2)),RIGHT(E7,1)&lt;&gt;"."),FALSE),"OK","Invalid Email")</x:f>
        <x:v>OK</x:v>
      </x:c>
      <x:c r="T7" s="246" t="str">
        <x:f>IF(F7="Needs Review","Invalid Department","OK")</x:f>
        <x:v>OK</x:v>
      </x:c>
      <x:c r="U7" s="246" t="str">
        <x:f>IF(OR(AND(H7&lt;&gt;"Permanent",J7=""),AND(J7&lt;&gt;"",J7&lt;I7),AND(H7="Permanent",J7&lt;&gt;"")),"Invalid Contract End","OK")</x:f>
        <x:v>OK</x:v>
      </x:c>
      <x:c r="V7" s="246" t="n">
        <x:f>COUNTIF(N7:R7,"Missing")</x:f>
        <x:v>0</x:v>
      </x:c>
      <x:c r="W7" s="246" t="str">
        <x:f>IF(C7&gt;1,"Duplicate Employee ID","OK")</x:f>
        <x:v>OK</x:v>
      </x:c>
      <x:c r="X7" s="246" t="n">
        <x:f>IF(S7&lt;&gt;"OK",1,0)+IF(T7&lt;&gt;"OK",1,0)+IF(U7&lt;&gt;"OK",1,0)+V7+IF(W7&lt;&gt;"OK",1,0)</x:f>
        <x:v>0</x:v>
      </x:c>
      <x:c r="Y7" s="246" t="str">
        <x:f>IF(OR(S7&lt;&gt;"OK",W7&lt;&gt;"OK"),"High Priority Review",IF(X7&gt;0,"Review","Ready"))</x:f>
        <x:v>Ready</x:v>
      </x:c>
      <x:c r="Z7" s="246" t="str">
        <x:f>IF(S7&lt;&gt;"OK","Correct work email using approved source",IF(T7&lt;&gt;"OK","Confirm approved department",IF(U7&lt;&gt;"OK","Verify employment type and contract dates",IF(W7&lt;&gt;"OK","Compare duplicate employee records",IF(V7&gt;0,"Request missing documents by email or task","No action required")))))</x:f>
        <x:v>No action required</x:v>
      </x:c>
    </x:row>
    <x:row r="8" ht="22" customHeight="1">
      <x:c r="A8" s="246" t="n">
        <x:f>ROW('Raw Employees'!A8)</x:f>
        <x:v>8</x:v>
      </x:c>
      <x:c r="B8" s="246" t="str">
        <x:f>'Raw Employees'!A8</x:f>
        <x:v>EMP-0005</x:v>
      </x:c>
      <x:c r="C8" s="246" t="n">
        <x:f>COUNTIF('Raw Employees'!$A$4:$A$43,B8)</x:f>
        <x:v>1</x:v>
      </x:c>
      <x:c r="D8" s="246" t="str">
        <x:f>'Raw Employees'!B8</x:f>
        <x:v>Employee 05</x:v>
      </x:c>
      <x:c r="E8" s="246" t="str">
        <x:f>'Raw Employees'!C8</x:f>
        <x:v>employee5@northstar.example</x:v>
      </x:c>
      <x:c r="F8" s="246" t="str">
        <x:f>IFERROR(VLOOKUP(UPPER(TRIM('Raw Employees'!D8)),'References'!$A$5:$B$10,2,FALSE),"Needs Review")</x:f>
        <x:v>IT</x:v>
      </x:c>
      <x:c r="G8" s="246" t="str">
        <x:f>'Raw Employees'!E8</x:f>
        <x:v>Coordinator</x:v>
      </x:c>
      <x:c r="H8" s="246" t="str">
        <x:f>'Raw Employees'!F8</x:f>
        <x:v>Contract</x:v>
      </x:c>
      <x:c r="I8" s="247" t="n">
        <x:f>'Raw Employees'!G8</x:f>
        <x:v>46158</x:v>
      </x:c>
      <x:c r="J8" s="247" t="n">
        <x:f>IF('Raw Employees'!H8="","",'Raw Employees'!H8)</x:f>
        <x:v>46523</x:v>
      </x:c>
      <x:c r="K8" s="247" t="n">
        <x:f>'Raw Employees'!I8</x:f>
        <x:v>46250</x:v>
      </x:c>
      <x:c r="L8" s="246" t="str">
        <x:f>'Raw Employees'!J8</x:f>
        <x:v>Manager 6</x:v>
      </x:c>
      <x:c r="M8" s="246" t="str">
        <x:f>'Raw Employees'!K8</x:f>
        <x:v>Surabaya</x:v>
      </x:c>
      <x:c r="N8" s="246" t="str">
        <x:f>'Raw Employees'!L8</x:f>
        <x:v>Received</x:v>
      </x:c>
      <x:c r="O8" s="246" t="str">
        <x:f>'Raw Employees'!M8</x:f>
        <x:v>Received</x:v>
      </x:c>
      <x:c r="P8" s="246" t="str">
        <x:f>'Raw Employees'!N8</x:f>
        <x:v>Received</x:v>
      </x:c>
      <x:c r="Q8" s="246" t="str">
        <x:f>'Raw Employees'!O8</x:f>
        <x:v>Received</x:v>
      </x:c>
      <x:c r="R8" s="246" t="str">
        <x:f>'Raw Employees'!P8</x:f>
        <x:v>Received</x:v>
      </x:c>
      <x:c r="S8" s="246" t="str">
        <x:f>IF(IFERROR(AND(LEN(E8)-LEN(SUBSTITUTE(E8,"@",""))=1,SEARCH("@",E8)&gt;1,ISNUMBER(SEARCH(".",E8,SEARCH("@",E8)+2)),RIGHT(E8,1)&lt;&gt;"."),FALSE),"OK","Invalid Email")</x:f>
        <x:v>OK</x:v>
      </x:c>
      <x:c r="T8" s="246" t="str">
        <x:f>IF(F8="Needs Review","Invalid Department","OK")</x:f>
        <x:v>OK</x:v>
      </x:c>
      <x:c r="U8" s="246" t="str">
        <x:f>IF(OR(AND(H8&lt;&gt;"Permanent",J8=""),AND(J8&lt;&gt;"",J8&lt;I8),AND(H8="Permanent",J8&lt;&gt;"")),"Invalid Contract End","OK")</x:f>
        <x:v>OK</x:v>
      </x:c>
      <x:c r="V8" s="246" t="n">
        <x:f>COUNTIF(N8:R8,"Missing")</x:f>
        <x:v>0</x:v>
      </x:c>
      <x:c r="W8" s="246" t="str">
        <x:f>IF(C8&gt;1,"Duplicate Employee ID","OK")</x:f>
        <x:v>OK</x:v>
      </x:c>
      <x:c r="X8" s="246" t="n">
        <x:f>IF(S8&lt;&gt;"OK",1,0)+IF(T8&lt;&gt;"OK",1,0)+IF(U8&lt;&gt;"OK",1,0)+V8+IF(W8&lt;&gt;"OK",1,0)</x:f>
        <x:v>0</x:v>
      </x:c>
      <x:c r="Y8" s="246" t="str">
        <x:f>IF(OR(S8&lt;&gt;"OK",W8&lt;&gt;"OK"),"High Priority Review",IF(X8&gt;0,"Review","Ready"))</x:f>
        <x:v>Ready</x:v>
      </x:c>
      <x:c r="Z8" s="246" t="str">
        <x:f>IF(S8&lt;&gt;"OK","Correct work email using approved source",IF(T8&lt;&gt;"OK","Confirm approved department",IF(U8&lt;&gt;"OK","Verify employment type and contract dates",IF(W8&lt;&gt;"OK","Compare duplicate employee records",IF(V8&gt;0,"Request missing documents by email or task","No action required")))))</x:f>
        <x:v>No action required</x:v>
      </x:c>
    </x:row>
    <x:row r="9" ht="22" customHeight="1">
      <x:c r="A9" s="246" t="n">
        <x:f>ROW('Raw Employees'!A9)</x:f>
        <x:v>9</x:v>
      </x:c>
      <x:c r="B9" s="246" t="str">
        <x:f>'Raw Employees'!A9</x:f>
        <x:v>EMP-0006</x:v>
      </x:c>
      <x:c r="C9" s="246" t="n">
        <x:f>COUNTIF('Raw Employees'!$A$4:$A$43,B9)</x:f>
        <x:v>1</x:v>
      </x:c>
      <x:c r="D9" s="246" t="str">
        <x:f>'Raw Employees'!B9</x:f>
        <x:v>Employee 06</x:v>
      </x:c>
      <x:c r="E9" s="246" t="str">
        <x:f>'Raw Employees'!C9</x:f>
        <x:v>employee6@northstar.example</x:v>
      </x:c>
      <x:c r="F9" s="246" t="str">
        <x:f>IFERROR(VLOOKUP(UPPER(TRIM('Raw Employees'!D9)),'References'!$A$5:$B$10,2,FALSE),"Needs Review")</x:f>
        <x:v>Operations</x:v>
      </x:c>
      <x:c r="G9" s="246" t="str">
        <x:f>'Raw Employees'!E9</x:f>
        <x:v>Analyst</x:v>
      </x:c>
      <x:c r="H9" s="246" t="str">
        <x:f>'Raw Employees'!F9</x:f>
        <x:v>Intern</x:v>
      </x:c>
      <x:c r="I9" s="247" t="n">
        <x:f>'Raw Employees'!G9</x:f>
        <x:v>46192</x:v>
      </x:c>
      <x:c r="J9" s="247" t="n">
        <x:f>IF('Raw Employees'!H9="","",'Raw Employees'!H9)</x:f>
        <x:v>46557</x:v>
      </x:c>
      <x:c r="K9" s="247" t="n">
        <x:f>'Raw Employees'!I9</x:f>
        <x:v>46284</x:v>
      </x:c>
      <x:c r="L9" s="246" t="str">
        <x:f>'Raw Employees'!J9</x:f>
        <x:v>Manager 1</x:v>
      </x:c>
      <x:c r="M9" s="246" t="str">
        <x:f>'Raw Employees'!K9</x:f>
        <x:v>Bandung</x:v>
      </x:c>
      <x:c r="N9" s="246" t="str">
        <x:f>'Raw Employees'!L9</x:f>
        <x:v>Received</x:v>
      </x:c>
      <x:c r="O9" s="246" t="str">
        <x:f>'Raw Employees'!M9</x:f>
        <x:v>Received</x:v>
      </x:c>
      <x:c r="P9" s="246" t="str">
        <x:f>'Raw Employees'!N9</x:f>
        <x:v>Received</x:v>
      </x:c>
      <x:c r="Q9" s="246" t="str">
        <x:f>'Raw Employees'!O9</x:f>
        <x:v>Received</x:v>
      </x:c>
      <x:c r="R9" s="246" t="str">
        <x:f>'Raw Employees'!P9</x:f>
        <x:v>Received</x:v>
      </x:c>
      <x:c r="S9" s="246" t="str">
        <x:f>IF(IFERROR(AND(LEN(E9)-LEN(SUBSTITUTE(E9,"@",""))=1,SEARCH("@",E9)&gt;1,ISNUMBER(SEARCH(".",E9,SEARCH("@",E9)+2)),RIGHT(E9,1)&lt;&gt;"."),FALSE),"OK","Invalid Email")</x:f>
        <x:v>OK</x:v>
      </x:c>
      <x:c r="T9" s="246" t="str">
        <x:f>IF(F9="Needs Review","Invalid Department","OK")</x:f>
        <x:v>OK</x:v>
      </x:c>
      <x:c r="U9" s="246" t="str">
        <x:f>IF(OR(AND(H9&lt;&gt;"Permanent",J9=""),AND(J9&lt;&gt;"",J9&lt;I9),AND(H9="Permanent",J9&lt;&gt;"")),"Invalid Contract End","OK")</x:f>
        <x:v>OK</x:v>
      </x:c>
      <x:c r="V9" s="246" t="n">
        <x:f>COUNTIF(N9:R9,"Missing")</x:f>
        <x:v>0</x:v>
      </x:c>
      <x:c r="W9" s="246" t="str">
        <x:f>IF(C9&gt;1,"Duplicate Employee ID","OK")</x:f>
        <x:v>OK</x:v>
      </x:c>
      <x:c r="X9" s="246" t="n">
        <x:f>IF(S9&lt;&gt;"OK",1,0)+IF(T9&lt;&gt;"OK",1,0)+IF(U9&lt;&gt;"OK",1,0)+V9+IF(W9&lt;&gt;"OK",1,0)</x:f>
        <x:v>0</x:v>
      </x:c>
      <x:c r="Y9" s="246" t="str">
        <x:f>IF(OR(S9&lt;&gt;"OK",W9&lt;&gt;"OK"),"High Priority Review",IF(X9&gt;0,"Review","Ready"))</x:f>
        <x:v>Ready</x:v>
      </x:c>
      <x:c r="Z9" s="246" t="str">
        <x:f>IF(S9&lt;&gt;"OK","Correct work email using approved source",IF(T9&lt;&gt;"OK","Confirm approved department",IF(U9&lt;&gt;"OK","Verify employment type and contract dates",IF(W9&lt;&gt;"OK","Compare duplicate employee records",IF(V9&gt;0,"Request missing documents by email or task","No action required")))))</x:f>
        <x:v>No action required</x:v>
      </x:c>
    </x:row>
    <x:row r="10" ht="22" customHeight="1">
      <x:c r="A10" s="246" t="n">
        <x:f>ROW('Raw Employees'!A10)</x:f>
        <x:v>10</x:v>
      </x:c>
      <x:c r="B10" s="246" t="str">
        <x:f>'Raw Employees'!A10</x:f>
        <x:v>EMP-0007</x:v>
      </x:c>
      <x:c r="C10" s="246" t="n">
        <x:f>COUNTIF('Raw Employees'!$A$4:$A$43,B10)</x:f>
        <x:v>1</x:v>
      </x:c>
      <x:c r="D10" s="246" t="str">
        <x:f>'Raw Employees'!B10</x:f>
        <x:v>Employee 07</x:v>
      </x:c>
      <x:c r="E10" s="246" t="str">
        <x:f>'Raw Employees'!C10</x:f>
        <x:v>employee7@northstar.example</x:v>
      </x:c>
      <x:c r="F10" s="246" t="str">
        <x:f>IFERROR(VLOOKUP(UPPER(TRIM('Raw Employees'!D10)),'References'!$A$5:$B$10,2,FALSE),"Needs Review")</x:f>
        <x:v>Finance</x:v>
      </x:c>
      <x:c r="G10" s="246" t="str">
        <x:f>'Raw Employees'!E10</x:f>
        <x:v>Administrator</x:v>
      </x:c>
      <x:c r="H10" s="246" t="str">
        <x:f>'Raw Employees'!F10</x:f>
        <x:v>Permanent</x:v>
      </x:c>
      <x:c r="I10" s="247" t="n">
        <x:f>'Raw Employees'!G10</x:f>
        <x:v>46024</x:v>
      </x:c>
      <x:c r="J10" s="247" t="str">
        <x:f>IF('Raw Employees'!H10="","",'Raw Employees'!H10)</x:f>
      </x:c>
      <x:c r="K10" s="247" t="n">
        <x:f>'Raw Employees'!I10</x:f>
        <x:v>46114</x:v>
      </x:c>
      <x:c r="L10" s="246" t="str">
        <x:f>'Raw Employees'!J10</x:f>
        <x:v>Manager 2</x:v>
      </x:c>
      <x:c r="M10" s="246" t="str">
        <x:f>'Raw Employees'!K10</x:f>
        <x:v>Remote</x:v>
      </x:c>
      <x:c r="N10" s="246" t="str">
        <x:f>'Raw Employees'!L10</x:f>
        <x:v>Received</x:v>
      </x:c>
      <x:c r="O10" s="246" t="str">
        <x:f>'Raw Employees'!M10</x:f>
        <x:v>Received</x:v>
      </x:c>
      <x:c r="P10" s="246" t="str">
        <x:f>'Raw Employees'!N10</x:f>
        <x:v>Received</x:v>
      </x:c>
      <x:c r="Q10" s="246" t="str">
        <x:f>'Raw Employees'!O10</x:f>
        <x:v>Received</x:v>
      </x:c>
      <x:c r="R10" s="246" t="str">
        <x:f>'Raw Employees'!P10</x:f>
        <x:v>Received</x:v>
      </x:c>
      <x:c r="S10" s="246" t="str">
        <x:f>IF(IFERROR(AND(LEN(E10)-LEN(SUBSTITUTE(E10,"@",""))=1,SEARCH("@",E10)&gt;1,ISNUMBER(SEARCH(".",E10,SEARCH("@",E10)+2)),RIGHT(E10,1)&lt;&gt;"."),FALSE),"OK","Invalid Email")</x:f>
        <x:v>OK</x:v>
      </x:c>
      <x:c r="T10" s="246" t="str">
        <x:f>IF(F10="Needs Review","Invalid Department","OK")</x:f>
        <x:v>OK</x:v>
      </x:c>
      <x:c r="U10" s="246" t="str">
        <x:f>IF(OR(AND(H10&lt;&gt;"Permanent",J10=""),AND(J10&lt;&gt;"",J10&lt;I10),AND(H10="Permanent",J10&lt;&gt;"")),"Invalid Contract End","OK")</x:f>
        <x:v>OK</x:v>
      </x:c>
      <x:c r="V10" s="246" t="n">
        <x:f>COUNTIF(N10:R10,"Missing")</x:f>
        <x:v>0</x:v>
      </x:c>
      <x:c r="W10" s="246" t="str">
        <x:f>IF(C10&gt;1,"Duplicate Employee ID","OK")</x:f>
        <x:v>OK</x:v>
      </x:c>
      <x:c r="X10" s="246" t="n">
        <x:f>IF(S10&lt;&gt;"OK",1,0)+IF(T10&lt;&gt;"OK",1,0)+IF(U10&lt;&gt;"OK",1,0)+V10+IF(W10&lt;&gt;"OK",1,0)</x:f>
        <x:v>0</x:v>
      </x:c>
      <x:c r="Y10" s="246" t="str">
        <x:f>IF(OR(S10&lt;&gt;"OK",W10&lt;&gt;"OK"),"High Priority Review",IF(X10&gt;0,"Review","Ready"))</x:f>
        <x:v>Ready</x:v>
      </x:c>
      <x:c r="Z10" s="246" t="str">
        <x:f>IF(S10&lt;&gt;"OK","Correct work email using approved source",IF(T10&lt;&gt;"OK","Confirm approved department",IF(U10&lt;&gt;"OK","Verify employment type and contract dates",IF(W10&lt;&gt;"OK","Compare duplicate employee records",IF(V10&gt;0,"Request missing documents by email or task","No action required")))))</x:f>
        <x:v>No action required</x:v>
      </x:c>
    </x:row>
    <x:row r="11" ht="22" customHeight="1">
      <x:c r="A11" s="248" t="n">
        <x:f>ROW('Raw Employees'!A11)</x:f>
        <x:v>11</x:v>
      </x:c>
      <x:c r="B11" s="248" t="str">
        <x:f>'Raw Employees'!A11</x:f>
        <x:v>EMP-0008</x:v>
      </x:c>
      <x:c r="C11" s="248" t="n">
        <x:f>COUNTIF('Raw Employees'!$A$4:$A$43,B11)</x:f>
        <x:v>1</x:v>
      </x:c>
      <x:c r="D11" s="248" t="str">
        <x:f>'Raw Employees'!B11</x:f>
        <x:v>Employee 08</x:v>
      </x:c>
      <x:c r="E11" s="248" t="str">
        <x:f>'Raw Employees'!C11</x:f>
        <x:v>employee8@northstar.example</x:v>
      </x:c>
      <x:c r="F11" s="248" t="str">
        <x:f>IFERROR(VLOOKUP(UPPER(TRIM('Raw Employees'!D11)),'References'!$A$5:$B$10,2,FALSE),"Needs Review")</x:f>
        <x:v>HR</x:v>
      </x:c>
      <x:c r="G11" s="248" t="str">
        <x:f>'Raw Employees'!E11</x:f>
        <x:v>Specialist</x:v>
      </x:c>
      <x:c r="H11" s="248" t="str">
        <x:f>'Raw Employees'!F11</x:f>
        <x:v>Contract</x:v>
      </x:c>
      <x:c r="I11" s="249" t="n">
        <x:f>'Raw Employees'!G11</x:f>
        <x:v>46058</x:v>
      </x:c>
      <x:c r="J11" s="249" t="n">
        <x:f>IF('Raw Employees'!H11="","",'Raw Employees'!H11)</x:f>
        <x:v>46423</x:v>
      </x:c>
      <x:c r="K11" s="249" t="n">
        <x:f>'Raw Employees'!I11</x:f>
        <x:v>46147</x:v>
      </x:c>
      <x:c r="L11" s="248" t="str">
        <x:f>'Raw Employees'!J11</x:f>
        <x:v>Manager 3</x:v>
      </x:c>
      <x:c r="M11" s="248" t="str">
        <x:f>'Raw Employees'!K11</x:f>
        <x:v>Jakarta</x:v>
      </x:c>
      <x:c r="N11" s="248" t="str">
        <x:f>'Raw Employees'!L11</x:f>
        <x:v>Missing</x:v>
      </x:c>
      <x:c r="O11" s="248" t="str">
        <x:f>'Raw Employees'!M11</x:f>
        <x:v>Received</x:v>
      </x:c>
      <x:c r="P11" s="248" t="str">
        <x:f>'Raw Employees'!N11</x:f>
        <x:v>Received</x:v>
      </x:c>
      <x:c r="Q11" s="248" t="str">
        <x:f>'Raw Employees'!O11</x:f>
        <x:v>Received</x:v>
      </x:c>
      <x:c r="R11" s="248" t="str">
        <x:f>'Raw Employees'!P11</x:f>
        <x:v>Received</x:v>
      </x:c>
      <x:c r="S11" s="248" t="str">
        <x:f>IF(IFERROR(AND(LEN(E11)-LEN(SUBSTITUTE(E11,"@",""))=1,SEARCH("@",E11)&gt;1,ISNUMBER(SEARCH(".",E11,SEARCH("@",E11)+2)),RIGHT(E11,1)&lt;&gt;"."),FALSE),"OK","Invalid Email")</x:f>
        <x:v>OK</x:v>
      </x:c>
      <x:c r="T11" s="248" t="str">
        <x:f>IF(F11="Needs Review","Invalid Department","OK")</x:f>
        <x:v>OK</x:v>
      </x:c>
      <x:c r="U11" s="248" t="str">
        <x:f>IF(OR(AND(H11&lt;&gt;"Permanent",J11=""),AND(J11&lt;&gt;"",J11&lt;I11),AND(H11="Permanent",J11&lt;&gt;"")),"Invalid Contract End","OK")</x:f>
        <x:v>OK</x:v>
      </x:c>
      <x:c r="V11" s="248" t="n">
        <x:f>COUNTIF(N11:R11,"Missing")</x:f>
        <x:v>1</x:v>
      </x:c>
      <x:c r="W11" s="248" t="str">
        <x:f>IF(C11&gt;1,"Duplicate Employee ID","OK")</x:f>
        <x:v>OK</x:v>
      </x:c>
      <x:c r="X11" s="248" t="n">
        <x:f>IF(S11&lt;&gt;"OK",1,0)+IF(T11&lt;&gt;"OK",1,0)+IF(U11&lt;&gt;"OK",1,0)+V11+IF(W11&lt;&gt;"OK",1,0)</x:f>
        <x:v>1</x:v>
      </x:c>
      <x:c r="Y11" s="248" t="str">
        <x:f>IF(OR(S11&lt;&gt;"OK",W11&lt;&gt;"OK"),"High Priority Review",IF(X11&gt;0,"Review","Ready"))</x:f>
        <x:v>Review</x:v>
      </x:c>
      <x:c r="Z11" s="248" t="str">
        <x:f>IF(S11&lt;&gt;"OK","Correct work email using approved source",IF(T11&lt;&gt;"OK","Confirm approved department",IF(U11&lt;&gt;"OK","Verify employment type and contract dates",IF(W11&lt;&gt;"OK","Compare duplicate employee records",IF(V11&gt;0,"Request missing documents by email or task","No action required")))))</x:f>
        <x:v>Request missing documents by email or task</x:v>
      </x:c>
    </x:row>
    <x:row r="12" ht="22" customHeight="1">
      <x:c r="A12" s="250" t="n">
        <x:f>ROW('Raw Employees'!A12)</x:f>
        <x:v>12</x:v>
      </x:c>
      <x:c r="B12" s="250" t="str">
        <x:f>'Raw Employees'!A12</x:f>
        <x:v>EMP-0009</x:v>
      </x:c>
      <x:c r="C12" s="250" t="n">
        <x:f>COUNTIF('Raw Employees'!$A$4:$A$43,B12)</x:f>
        <x:v>1</x:v>
      </x:c>
      <x:c r="D12" s="250" t="str">
        <x:f>'Raw Employees'!B12</x:f>
        <x:v>Employee 09</x:v>
      </x:c>
      <x:c r="E12" s="250" t="str">
        <x:f>'Raw Employees'!C12</x:f>
        <x:v>employee9.example</x:v>
      </x:c>
      <x:c r="F12" s="250" t="str">
        <x:f>IFERROR(VLOOKUP(UPPER(TRIM('Raw Employees'!D12)),'References'!$A$5:$B$10,2,FALSE),"Needs Review")</x:f>
        <x:v>Sales</x:v>
      </x:c>
      <x:c r="G12" s="250" t="str">
        <x:f>'Raw Employees'!E12</x:f>
        <x:v>Assistant</x:v>
      </x:c>
      <x:c r="H12" s="250" t="str">
        <x:f>'Raw Employees'!F12</x:f>
        <x:v>Intern</x:v>
      </x:c>
      <x:c r="I12" s="251" t="n">
        <x:f>'Raw Employees'!G12</x:f>
        <x:v>46089</x:v>
      </x:c>
      <x:c r="J12" s="251" t="n">
        <x:f>IF('Raw Employees'!H12="","",'Raw Employees'!H12)</x:f>
        <x:v>46454</x:v>
      </x:c>
      <x:c r="K12" s="251" t="n">
        <x:f>'Raw Employees'!I12</x:f>
        <x:v>46181</x:v>
      </x:c>
      <x:c r="L12" s="250" t="str">
        <x:f>'Raw Employees'!J12</x:f>
        <x:v>Manager 4</x:v>
      </x:c>
      <x:c r="M12" s="250" t="str">
        <x:f>'Raw Employees'!K12</x:f>
        <x:v>Surabaya</x:v>
      </x:c>
      <x:c r="N12" s="250" t="str">
        <x:f>'Raw Employees'!L12</x:f>
        <x:v>Received</x:v>
      </x:c>
      <x:c r="O12" s="250" t="str">
        <x:f>'Raw Employees'!M12</x:f>
        <x:v>Missing</x:v>
      </x:c>
      <x:c r="P12" s="250" t="str">
        <x:f>'Raw Employees'!N12</x:f>
        <x:v>Received</x:v>
      </x:c>
      <x:c r="Q12" s="250" t="str">
        <x:f>'Raw Employees'!O12</x:f>
        <x:v>Received</x:v>
      </x:c>
      <x:c r="R12" s="250" t="str">
        <x:f>'Raw Employees'!P12</x:f>
        <x:v>Received</x:v>
      </x:c>
      <x:c r="S12" s="250" t="str">
        <x:f>IF(IFERROR(AND(LEN(E12)-LEN(SUBSTITUTE(E12,"@",""))=1,SEARCH("@",E12)&gt;1,ISNUMBER(SEARCH(".",E12,SEARCH("@",E12)+2)),RIGHT(E12,1)&lt;&gt;"."),FALSE),"OK","Invalid Email")</x:f>
        <x:v>Invalid Email</x:v>
      </x:c>
      <x:c r="T12" s="250" t="str">
        <x:f>IF(F12="Needs Review","Invalid Department","OK")</x:f>
        <x:v>OK</x:v>
      </x:c>
      <x:c r="U12" s="250" t="str">
        <x:f>IF(OR(AND(H12&lt;&gt;"Permanent",J12=""),AND(J12&lt;&gt;"",J12&lt;I12),AND(H12="Permanent",J12&lt;&gt;"")),"Invalid Contract End","OK")</x:f>
        <x:v>OK</x:v>
      </x:c>
      <x:c r="V12" s="250" t="n">
        <x:f>COUNTIF(N12:R12,"Missing")</x:f>
        <x:v>1</x:v>
      </x:c>
      <x:c r="W12" s="250" t="str">
        <x:f>IF(C12&gt;1,"Duplicate Employee ID","OK")</x:f>
        <x:v>OK</x:v>
      </x:c>
      <x:c r="X12" s="250" t="n">
        <x:f>IF(S12&lt;&gt;"OK",1,0)+IF(T12&lt;&gt;"OK",1,0)+IF(U12&lt;&gt;"OK",1,0)+V12+IF(W12&lt;&gt;"OK",1,0)</x:f>
        <x:v>2</x:v>
      </x:c>
      <x:c r="Y12" s="250" t="str">
        <x:f>IF(OR(S12&lt;&gt;"OK",W12&lt;&gt;"OK"),"High Priority Review",IF(X12&gt;0,"Review","Ready"))</x:f>
        <x:v>High Priority Review</x:v>
      </x:c>
      <x:c r="Z12" s="250" t="str">
        <x:f>IF(S12&lt;&gt;"OK","Correct work email using approved source",IF(T12&lt;&gt;"OK","Confirm approved department",IF(U12&lt;&gt;"OK","Verify employment type and contract dates",IF(W12&lt;&gt;"OK","Compare duplicate employee records",IF(V12&gt;0,"Request missing documents by email or task","No action required")))))</x:f>
        <x:v>Correct work email using approved source</x:v>
      </x:c>
    </x:row>
    <x:row r="13" ht="22" customHeight="1">
      <x:c r="A13" s="248" t="n">
        <x:f>ROW('Raw Employees'!A13)</x:f>
        <x:v>13</x:v>
      </x:c>
      <x:c r="B13" s="248" t="str">
        <x:f>'Raw Employees'!A13</x:f>
        <x:v>EMP-0010</x:v>
      </x:c>
      <x:c r="C13" s="248" t="n">
        <x:f>COUNTIF('Raw Employees'!$A$4:$A$43,B13)</x:f>
        <x:v>1</x:v>
      </x:c>
      <x:c r="D13" s="248" t="str">
        <x:f>'Raw Employees'!B13</x:f>
        <x:v>Employee 10</x:v>
      </x:c>
      <x:c r="E13" s="248" t="str">
        <x:f>'Raw Employees'!C13</x:f>
        <x:v>employee10@northstar.example</x:v>
      </x:c>
      <x:c r="F13" s="248" t="str">
        <x:f>IFERROR(VLOOKUP(UPPER(TRIM('Raw Employees'!D13)),'References'!$A$5:$B$10,2,FALSE),"Needs Review")</x:f>
        <x:v>IT</x:v>
      </x:c>
      <x:c r="G13" s="248" t="str">
        <x:f>'Raw Employees'!E13</x:f>
        <x:v>Coordinator</x:v>
      </x:c>
      <x:c r="H13" s="248" t="str">
        <x:f>'Raw Employees'!F13</x:f>
        <x:v>Permanent</x:v>
      </x:c>
      <x:c r="I13" s="249" t="n">
        <x:f>'Raw Employees'!G13</x:f>
        <x:v>46123</x:v>
      </x:c>
      <x:c r="J13" s="249" t="str">
        <x:f>IF('Raw Employees'!H13="","",'Raw Employees'!H13)</x:f>
      </x:c>
      <x:c r="K13" s="249" t="n">
        <x:f>'Raw Employees'!I13</x:f>
        <x:v>46214</x:v>
      </x:c>
      <x:c r="L13" s="248" t="str">
        <x:f>'Raw Employees'!J13</x:f>
        <x:v>Manager 5</x:v>
      </x:c>
      <x:c r="M13" s="248" t="str">
        <x:f>'Raw Employees'!K13</x:f>
        <x:v>Bandung</x:v>
      </x:c>
      <x:c r="N13" s="248" t="str">
        <x:f>'Raw Employees'!L13</x:f>
        <x:v>Received</x:v>
      </x:c>
      <x:c r="O13" s="248" t="str">
        <x:f>'Raw Employees'!M13</x:f>
        <x:v>Received</x:v>
      </x:c>
      <x:c r="P13" s="248" t="str">
        <x:f>'Raw Employees'!N13</x:f>
        <x:v>Missing</x:v>
      </x:c>
      <x:c r="Q13" s="248" t="str">
        <x:f>'Raw Employees'!O13</x:f>
        <x:v>Received</x:v>
      </x:c>
      <x:c r="R13" s="248" t="str">
        <x:f>'Raw Employees'!P13</x:f>
        <x:v>Received</x:v>
      </x:c>
      <x:c r="S13" s="248" t="str">
        <x:f>IF(IFERROR(AND(LEN(E13)-LEN(SUBSTITUTE(E13,"@",""))=1,SEARCH("@",E13)&gt;1,ISNUMBER(SEARCH(".",E13,SEARCH("@",E13)+2)),RIGHT(E13,1)&lt;&gt;"."),FALSE),"OK","Invalid Email")</x:f>
        <x:v>OK</x:v>
      </x:c>
      <x:c r="T13" s="248" t="str">
        <x:f>IF(F13="Needs Review","Invalid Department","OK")</x:f>
        <x:v>OK</x:v>
      </x:c>
      <x:c r="U13" s="248" t="str">
        <x:f>IF(OR(AND(H13&lt;&gt;"Permanent",J13=""),AND(J13&lt;&gt;"",J13&lt;I13),AND(H13="Permanent",J13&lt;&gt;"")),"Invalid Contract End","OK")</x:f>
        <x:v>OK</x:v>
      </x:c>
      <x:c r="V13" s="248" t="n">
        <x:f>COUNTIF(N13:R13,"Missing")</x:f>
        <x:v>1</x:v>
      </x:c>
      <x:c r="W13" s="248" t="str">
        <x:f>IF(C13&gt;1,"Duplicate Employee ID","OK")</x:f>
        <x:v>OK</x:v>
      </x:c>
      <x:c r="X13" s="248" t="n">
        <x:f>IF(S13&lt;&gt;"OK",1,0)+IF(T13&lt;&gt;"OK",1,0)+IF(U13&lt;&gt;"OK",1,0)+V13+IF(W13&lt;&gt;"OK",1,0)</x:f>
        <x:v>1</x:v>
      </x:c>
      <x:c r="Y13" s="248" t="str">
        <x:f>IF(OR(S13&lt;&gt;"OK",W13&lt;&gt;"OK"),"High Priority Review",IF(X13&gt;0,"Review","Ready"))</x:f>
        <x:v>Review</x:v>
      </x:c>
      <x:c r="Z13" s="248" t="str">
        <x:f>IF(S13&lt;&gt;"OK","Correct work email using approved source",IF(T13&lt;&gt;"OK","Confirm approved department",IF(U13&lt;&gt;"OK","Verify employment type and contract dates",IF(W13&lt;&gt;"OK","Compare duplicate employee records",IF(V13&gt;0,"Request missing documents by email or task","No action required")))))</x:f>
        <x:v>Request missing documents by email or task</x:v>
      </x:c>
    </x:row>
    <x:row r="14" ht="22" customHeight="1">
      <x:c r="A14" s="248" t="n">
        <x:f>ROW('Raw Employees'!A14)</x:f>
        <x:v>14</x:v>
      </x:c>
      <x:c r="B14" s="248" t="str">
        <x:f>'Raw Employees'!A14</x:f>
        <x:v>EMP-0011</x:v>
      </x:c>
      <x:c r="C14" s="248" t="n">
        <x:f>COUNTIF('Raw Employees'!$A$4:$A$43,B14)</x:f>
        <x:v>1</x:v>
      </x:c>
      <x:c r="D14" s="248" t="str">
        <x:f>'Raw Employees'!B14</x:f>
        <x:v>Employee 11</x:v>
      </x:c>
      <x:c r="E14" s="248" t="str">
        <x:f>'Raw Employees'!C14</x:f>
        <x:v>employee11@northstar.example</x:v>
      </x:c>
      <x:c r="F14" s="248" t="str">
        <x:f>IFERROR(VLOOKUP(UPPER(TRIM('Raw Employees'!D14)),'References'!$A$5:$B$10,2,FALSE),"Needs Review")</x:f>
        <x:v>Operations</x:v>
      </x:c>
      <x:c r="G14" s="248" t="str">
        <x:f>'Raw Employees'!E14</x:f>
        <x:v>Analyst</x:v>
      </x:c>
      <x:c r="H14" s="248" t="str">
        <x:f>'Raw Employees'!F14</x:f>
        <x:v>Contract</x:v>
      </x:c>
      <x:c r="I14" s="249" t="n">
        <x:f>'Raw Employees'!G14</x:f>
        <x:v>46156</x:v>
      </x:c>
      <x:c r="J14" s="249" t="n">
        <x:f>IF('Raw Employees'!H14="","",'Raw Employees'!H14)</x:f>
        <x:v>46521</x:v>
      </x:c>
      <x:c r="K14" s="249" t="n">
        <x:f>'Raw Employees'!I14</x:f>
        <x:v>46248</x:v>
      </x:c>
      <x:c r="L14" s="248" t="str">
        <x:f>'Raw Employees'!J14</x:f>
        <x:v>Manager 6</x:v>
      </x:c>
      <x:c r="M14" s="248" t="str">
        <x:f>'Raw Employees'!K14</x:f>
        <x:v>Remote</x:v>
      </x:c>
      <x:c r="N14" s="248" t="str">
        <x:f>'Raw Employees'!L14</x:f>
        <x:v>Received</x:v>
      </x:c>
      <x:c r="O14" s="248" t="str">
        <x:f>'Raw Employees'!M14</x:f>
        <x:v>Received</x:v>
      </x:c>
      <x:c r="P14" s="248" t="str">
        <x:f>'Raw Employees'!N14</x:f>
        <x:v>Received</x:v>
      </x:c>
      <x:c r="Q14" s="248" t="str">
        <x:f>'Raw Employees'!O14</x:f>
        <x:v>Missing</x:v>
      </x:c>
      <x:c r="R14" s="248" t="str">
        <x:f>'Raw Employees'!P14</x:f>
        <x:v>Received</x:v>
      </x:c>
      <x:c r="S14" s="248" t="str">
        <x:f>IF(IFERROR(AND(LEN(E14)-LEN(SUBSTITUTE(E14,"@",""))=1,SEARCH("@",E14)&gt;1,ISNUMBER(SEARCH(".",E14,SEARCH("@",E14)+2)),RIGHT(E14,1)&lt;&gt;"."),FALSE),"OK","Invalid Email")</x:f>
        <x:v>OK</x:v>
      </x:c>
      <x:c r="T14" s="248" t="str">
        <x:f>IF(F14="Needs Review","Invalid Department","OK")</x:f>
        <x:v>OK</x:v>
      </x:c>
      <x:c r="U14" s="248" t="str">
        <x:f>IF(OR(AND(H14&lt;&gt;"Permanent",J14=""),AND(J14&lt;&gt;"",J14&lt;I14),AND(H14="Permanent",J14&lt;&gt;"")),"Invalid Contract End","OK")</x:f>
        <x:v>OK</x:v>
      </x:c>
      <x:c r="V14" s="248" t="n">
        <x:f>COUNTIF(N14:R14,"Missing")</x:f>
        <x:v>1</x:v>
      </x:c>
      <x:c r="W14" s="248" t="str">
        <x:f>IF(C14&gt;1,"Duplicate Employee ID","OK")</x:f>
        <x:v>OK</x:v>
      </x:c>
      <x:c r="X14" s="248" t="n">
        <x:f>IF(S14&lt;&gt;"OK",1,0)+IF(T14&lt;&gt;"OK",1,0)+IF(U14&lt;&gt;"OK",1,0)+V14+IF(W14&lt;&gt;"OK",1,0)</x:f>
        <x:v>1</x:v>
      </x:c>
      <x:c r="Y14" s="248" t="str">
        <x:f>IF(OR(S14&lt;&gt;"OK",W14&lt;&gt;"OK"),"High Priority Review",IF(X14&gt;0,"Review","Ready"))</x:f>
        <x:v>Review</x:v>
      </x:c>
      <x:c r="Z14" s="248" t="str">
        <x:f>IF(S14&lt;&gt;"OK","Correct work email using approved source",IF(T14&lt;&gt;"OK","Confirm approved department",IF(U14&lt;&gt;"OK","Verify employment type and contract dates",IF(W14&lt;&gt;"OK","Compare duplicate employee records",IF(V14&gt;0,"Request missing documents by email or task","No action required")))))</x:f>
        <x:v>Request missing documents by email or task</x:v>
      </x:c>
    </x:row>
    <x:row r="15" ht="22" customHeight="1">
      <x:c r="A15" s="250" t="n">
        <x:f>ROW('Raw Employees'!A15)</x:f>
        <x:v>15</x:v>
      </x:c>
      <x:c r="B15" s="250" t="str">
        <x:f>'Raw Employees'!A15</x:f>
        <x:v>EMP-0012</x:v>
      </x:c>
      <x:c r="C15" s="250" t="n">
        <x:f>COUNTIF('Raw Employees'!$A$4:$A$43,B15)</x:f>
        <x:v>2</x:v>
      </x:c>
      <x:c r="D15" s="250" t="str">
        <x:f>'Raw Employees'!B15</x:f>
        <x:v>Employee 12</x:v>
      </x:c>
      <x:c r="E15" s="250" t="str">
        <x:f>'Raw Employees'!C15</x:f>
        <x:v>employee12@northstar.example</x:v>
      </x:c>
      <x:c r="F15" s="250" t="str">
        <x:f>IFERROR(VLOOKUP(UPPER(TRIM('Raw Employees'!D15)),'References'!$A$5:$B$10,2,FALSE),"Needs Review")</x:f>
        <x:v>Finance</x:v>
      </x:c>
      <x:c r="G15" s="250" t="str">
        <x:f>'Raw Employees'!E15</x:f>
        <x:v>Administrator</x:v>
      </x:c>
      <x:c r="H15" s="250" t="str">
        <x:f>'Raw Employees'!F15</x:f>
        <x:v>Intern</x:v>
      </x:c>
      <x:c r="I15" s="251" t="n">
        <x:f>'Raw Employees'!G15</x:f>
        <x:v>46190</x:v>
      </x:c>
      <x:c r="J15" s="251" t="n">
        <x:f>IF('Raw Employees'!H15="","",'Raw Employees'!H15)</x:f>
        <x:v>46555</x:v>
      </x:c>
      <x:c r="K15" s="251" t="n">
        <x:f>'Raw Employees'!I15</x:f>
        <x:v>46282</x:v>
      </x:c>
      <x:c r="L15" s="250" t="str">
        <x:f>'Raw Employees'!J15</x:f>
        <x:v>Manager 1</x:v>
      </x:c>
      <x:c r="M15" s="250" t="str">
        <x:f>'Raw Employees'!K15</x:f>
        <x:v>Jakarta</x:v>
      </x:c>
      <x:c r="N15" s="250" t="str">
        <x:f>'Raw Employees'!L15</x:f>
        <x:v>Received</x:v>
      </x:c>
      <x:c r="O15" s="250" t="str">
        <x:f>'Raw Employees'!M15</x:f>
        <x:v>Received</x:v>
      </x:c>
      <x:c r="P15" s="250" t="str">
        <x:f>'Raw Employees'!N15</x:f>
        <x:v>Received</x:v>
      </x:c>
      <x:c r="Q15" s="250" t="str">
        <x:f>'Raw Employees'!O15</x:f>
        <x:v>Received</x:v>
      </x:c>
      <x:c r="R15" s="250" t="str">
        <x:f>'Raw Employees'!P15</x:f>
        <x:v>Received</x:v>
      </x:c>
      <x:c r="S15" s="250" t="str">
        <x:f>IF(IFERROR(AND(LEN(E15)-LEN(SUBSTITUTE(E15,"@",""))=1,SEARCH("@",E15)&gt;1,ISNUMBER(SEARCH(".",E15,SEARCH("@",E15)+2)),RIGHT(E15,1)&lt;&gt;"."),FALSE),"OK","Invalid Email")</x:f>
        <x:v>OK</x:v>
      </x:c>
      <x:c r="T15" s="250" t="str">
        <x:f>IF(F15="Needs Review","Invalid Department","OK")</x:f>
        <x:v>OK</x:v>
      </x:c>
      <x:c r="U15" s="250" t="str">
        <x:f>IF(OR(AND(H15&lt;&gt;"Permanent",J15=""),AND(J15&lt;&gt;"",J15&lt;I15),AND(H15="Permanent",J15&lt;&gt;"")),"Invalid Contract End","OK")</x:f>
        <x:v>OK</x:v>
      </x:c>
      <x:c r="V15" s="250" t="n">
        <x:f>COUNTIF(N15:R15,"Missing")</x:f>
        <x:v>0</x:v>
      </x:c>
      <x:c r="W15" s="250" t="str">
        <x:f>IF(C15&gt;1,"Duplicate Employee ID","OK")</x:f>
        <x:v>Duplicate Employee ID</x:v>
      </x:c>
      <x:c r="X15" s="250" t="n">
        <x:f>IF(S15&lt;&gt;"OK",1,0)+IF(T15&lt;&gt;"OK",1,0)+IF(U15&lt;&gt;"OK",1,0)+V15+IF(W15&lt;&gt;"OK",1,0)</x:f>
        <x:v>1</x:v>
      </x:c>
      <x:c r="Y15" s="250" t="str">
        <x:f>IF(OR(S15&lt;&gt;"OK",W15&lt;&gt;"OK"),"High Priority Review",IF(X15&gt;0,"Review","Ready"))</x:f>
        <x:v>High Priority Review</x:v>
      </x:c>
      <x:c r="Z15" s="250" t="str">
        <x:f>IF(S15&lt;&gt;"OK","Correct work email using approved source",IF(T15&lt;&gt;"OK","Confirm approved department",IF(U15&lt;&gt;"OK","Verify employment type and contract dates",IF(W15&lt;&gt;"OK","Compare duplicate employee records",IF(V15&gt;0,"Request missing documents by email or task","No action required")))))</x:f>
        <x:v>Compare duplicate employee records</x:v>
      </x:c>
    </x:row>
    <x:row r="16" ht="22" customHeight="1">
      <x:c r="A16" s="250" t="n">
        <x:f>ROW('Raw Employees'!A16)</x:f>
        <x:v>16</x:v>
      </x:c>
      <x:c r="B16" s="250" t="str">
        <x:f>'Raw Employees'!A16</x:f>
        <x:v>EMP-0012</x:v>
      </x:c>
      <x:c r="C16" s="250" t="n">
        <x:f>COUNTIF('Raw Employees'!$A$4:$A$43,B16)</x:f>
        <x:v>2</x:v>
      </x:c>
      <x:c r="D16" s="250" t="str">
        <x:f>'Raw Employees'!B16</x:f>
        <x:v>Employee 13</x:v>
      </x:c>
      <x:c r="E16" s="250" t="str">
        <x:f>'Raw Employees'!C16</x:f>
        <x:v>employee13@northstar.example</x:v>
      </x:c>
      <x:c r="F16" s="250" t="str">
        <x:f>IFERROR(VLOOKUP(UPPER(TRIM('Raw Employees'!D16)),'References'!$A$5:$B$10,2,FALSE),"Needs Review")</x:f>
        <x:v>HR</x:v>
      </x:c>
      <x:c r="G16" s="250" t="str">
        <x:f>'Raw Employees'!E16</x:f>
        <x:v>Specialist</x:v>
      </x:c>
      <x:c r="H16" s="250" t="str">
        <x:f>'Raw Employees'!F16</x:f>
        <x:v>Permanent</x:v>
      </x:c>
      <x:c r="I16" s="251" t="n">
        <x:f>'Raw Employees'!G16</x:f>
        <x:v>46042</x:v>
      </x:c>
      <x:c r="J16" s="251" t="str">
        <x:f>IF('Raw Employees'!H16="","",'Raw Employees'!H16)</x:f>
      </x:c>
      <x:c r="K16" s="251" t="n">
        <x:f>'Raw Employees'!I16</x:f>
        <x:v>46132</x:v>
      </x:c>
      <x:c r="L16" s="250" t="str">
        <x:f>'Raw Employees'!J16</x:f>
        <x:v>Manager 2</x:v>
      </x:c>
      <x:c r="M16" s="250" t="str">
        <x:f>'Raw Employees'!K16</x:f>
        <x:v>Surabaya</x:v>
      </x:c>
      <x:c r="N16" s="250" t="str">
        <x:f>'Raw Employees'!L16</x:f>
        <x:v>Received</x:v>
      </x:c>
      <x:c r="O16" s="250" t="str">
        <x:f>'Raw Employees'!M16</x:f>
        <x:v>Received</x:v>
      </x:c>
      <x:c r="P16" s="250" t="str">
        <x:f>'Raw Employees'!N16</x:f>
        <x:v>Received</x:v>
      </x:c>
      <x:c r="Q16" s="250" t="str">
        <x:f>'Raw Employees'!O16</x:f>
        <x:v>Received</x:v>
      </x:c>
      <x:c r="R16" s="250" t="str">
        <x:f>'Raw Employees'!P16</x:f>
        <x:v>Missing</x:v>
      </x:c>
      <x:c r="S16" s="250" t="str">
        <x:f>IF(IFERROR(AND(LEN(E16)-LEN(SUBSTITUTE(E16,"@",""))=1,SEARCH("@",E16)&gt;1,ISNUMBER(SEARCH(".",E16,SEARCH("@",E16)+2)),RIGHT(E16,1)&lt;&gt;"."),FALSE),"OK","Invalid Email")</x:f>
        <x:v>OK</x:v>
      </x:c>
      <x:c r="T16" s="250" t="str">
        <x:f>IF(F16="Needs Review","Invalid Department","OK")</x:f>
        <x:v>OK</x:v>
      </x:c>
      <x:c r="U16" s="250" t="str">
        <x:f>IF(OR(AND(H16&lt;&gt;"Permanent",J16=""),AND(J16&lt;&gt;"",J16&lt;I16),AND(H16="Permanent",J16&lt;&gt;"")),"Invalid Contract End","OK")</x:f>
        <x:v>OK</x:v>
      </x:c>
      <x:c r="V16" s="250" t="n">
        <x:f>COUNTIF(N16:R16,"Missing")</x:f>
        <x:v>1</x:v>
      </x:c>
      <x:c r="W16" s="250" t="str">
        <x:f>IF(C16&gt;1,"Duplicate Employee ID","OK")</x:f>
        <x:v>Duplicate Employee ID</x:v>
      </x:c>
      <x:c r="X16" s="250" t="n">
        <x:f>IF(S16&lt;&gt;"OK",1,0)+IF(T16&lt;&gt;"OK",1,0)+IF(U16&lt;&gt;"OK",1,0)+V16+IF(W16&lt;&gt;"OK",1,0)</x:f>
        <x:v>2</x:v>
      </x:c>
      <x:c r="Y16" s="250" t="str">
        <x:f>IF(OR(S16&lt;&gt;"OK",W16&lt;&gt;"OK"),"High Priority Review",IF(X16&gt;0,"Review","Ready"))</x:f>
        <x:v>High Priority Review</x:v>
      </x:c>
      <x:c r="Z16" s="250" t="str">
        <x:f>IF(S16&lt;&gt;"OK","Correct work email using approved source",IF(T16&lt;&gt;"OK","Confirm approved department",IF(U16&lt;&gt;"OK","Verify employment type and contract dates",IF(W16&lt;&gt;"OK","Compare duplicate employee records",IF(V16&gt;0,"Request missing documents by email or task","No action required")))))</x:f>
        <x:v>Compare duplicate employee records</x:v>
      </x:c>
    </x:row>
    <x:row r="17" ht="22" customHeight="1">
      <x:c r="A17" s="246" t="n">
        <x:f>ROW('Raw Employees'!A17)</x:f>
        <x:v>17</x:v>
      </x:c>
      <x:c r="B17" s="246" t="str">
        <x:f>'Raw Employees'!A17</x:f>
        <x:v>EMP-0014</x:v>
      </x:c>
      <x:c r="C17" s="246" t="n">
        <x:f>COUNTIF('Raw Employees'!$A$4:$A$43,B17)</x:f>
        <x:v>1</x:v>
      </x:c>
      <x:c r="D17" s="246" t="str">
        <x:f>'Raw Employees'!B17</x:f>
        <x:v>Employee 14</x:v>
      </x:c>
      <x:c r="E17" s="246" t="str">
        <x:f>'Raw Employees'!C17</x:f>
        <x:v>employee14@northstar.example</x:v>
      </x:c>
      <x:c r="F17" s="246" t="str">
        <x:f>IFERROR(VLOOKUP(UPPER(TRIM('Raw Employees'!D17)),'References'!$A$5:$B$10,2,FALSE),"Needs Review")</x:f>
        <x:v>Sales</x:v>
      </x:c>
      <x:c r="G17" s="246" t="str">
        <x:f>'Raw Employees'!E17</x:f>
        <x:v>Assistant</x:v>
      </x:c>
      <x:c r="H17" s="246" t="str">
        <x:f>'Raw Employees'!F17</x:f>
        <x:v>Contract</x:v>
      </x:c>
      <x:c r="I17" s="247" t="n">
        <x:f>'Raw Employees'!G17</x:f>
        <x:v>46056</x:v>
      </x:c>
      <x:c r="J17" s="247" t="n">
        <x:f>IF('Raw Employees'!H17="","",'Raw Employees'!H17)</x:f>
        <x:v>46421</x:v>
      </x:c>
      <x:c r="K17" s="247" t="n">
        <x:f>'Raw Employees'!I17</x:f>
        <x:v>46145</x:v>
      </x:c>
      <x:c r="L17" s="246" t="str">
        <x:f>'Raw Employees'!J17</x:f>
        <x:v>Manager 3</x:v>
      </x:c>
      <x:c r="M17" s="246" t="str">
        <x:f>'Raw Employees'!K17</x:f>
        <x:v>Bandung</x:v>
      </x:c>
      <x:c r="N17" s="246" t="str">
        <x:f>'Raw Employees'!L17</x:f>
        <x:v>Received</x:v>
      </x:c>
      <x:c r="O17" s="246" t="str">
        <x:f>'Raw Employees'!M17</x:f>
        <x:v>Received</x:v>
      </x:c>
      <x:c r="P17" s="246" t="str">
        <x:f>'Raw Employees'!N17</x:f>
        <x:v>Received</x:v>
      </x:c>
      <x:c r="Q17" s="246" t="str">
        <x:f>'Raw Employees'!O17</x:f>
        <x:v>Received</x:v>
      </x:c>
      <x:c r="R17" s="246" t="str">
        <x:f>'Raw Employees'!P17</x:f>
        <x:v>Received</x:v>
      </x:c>
      <x:c r="S17" s="246" t="str">
        <x:f>IF(IFERROR(AND(LEN(E17)-LEN(SUBSTITUTE(E17,"@",""))=1,SEARCH("@",E17)&gt;1,ISNUMBER(SEARCH(".",E17,SEARCH("@",E17)+2)),RIGHT(E17,1)&lt;&gt;"."),FALSE),"OK","Invalid Email")</x:f>
        <x:v>OK</x:v>
      </x:c>
      <x:c r="T17" s="246" t="str">
        <x:f>IF(F17="Needs Review","Invalid Department","OK")</x:f>
        <x:v>OK</x:v>
      </x:c>
      <x:c r="U17" s="246" t="str">
        <x:f>IF(OR(AND(H17&lt;&gt;"Permanent",J17=""),AND(J17&lt;&gt;"",J17&lt;I17),AND(H17="Permanent",J17&lt;&gt;"")),"Invalid Contract End","OK")</x:f>
        <x:v>OK</x:v>
      </x:c>
      <x:c r="V17" s="246" t="n">
        <x:f>COUNTIF(N17:R17,"Missing")</x:f>
        <x:v>0</x:v>
      </x:c>
      <x:c r="W17" s="246" t="str">
        <x:f>IF(C17&gt;1,"Duplicate Employee ID","OK")</x:f>
        <x:v>OK</x:v>
      </x:c>
      <x:c r="X17" s="246" t="n">
        <x:f>IF(S17&lt;&gt;"OK",1,0)+IF(T17&lt;&gt;"OK",1,0)+IF(U17&lt;&gt;"OK",1,0)+V17+IF(W17&lt;&gt;"OK",1,0)</x:f>
        <x:v>0</x:v>
      </x:c>
      <x:c r="Y17" s="246" t="str">
        <x:f>IF(OR(S17&lt;&gt;"OK",W17&lt;&gt;"OK"),"High Priority Review",IF(X17&gt;0,"Review","Ready"))</x:f>
        <x:v>Ready</x:v>
      </x:c>
      <x:c r="Z17" s="246" t="str">
        <x:f>IF(S17&lt;&gt;"OK","Correct work email using approved source",IF(T17&lt;&gt;"OK","Confirm approved department",IF(U17&lt;&gt;"OK","Verify employment type and contract dates",IF(W17&lt;&gt;"OK","Compare duplicate employee records",IF(V17&gt;0,"Request missing documents by email or task","No action required")))))</x:f>
        <x:v>No action required</x:v>
      </x:c>
    </x:row>
    <x:row r="18" ht="22" customHeight="1">
      <x:c r="A18" s="246" t="n">
        <x:f>ROW('Raw Employees'!A18)</x:f>
        <x:v>18</x:v>
      </x:c>
      <x:c r="B18" s="246" t="str">
        <x:f>'Raw Employees'!A18</x:f>
        <x:v>EMP-0015</x:v>
      </x:c>
      <x:c r="C18" s="246" t="n">
        <x:f>COUNTIF('Raw Employees'!$A$4:$A$43,B18)</x:f>
        <x:v>1</x:v>
      </x:c>
      <x:c r="D18" s="246" t="str">
        <x:f>'Raw Employees'!B18</x:f>
        <x:v>Employee 15</x:v>
      </x:c>
      <x:c r="E18" s="246" t="str">
        <x:f>'Raw Employees'!C18</x:f>
        <x:v>employee15@northstar.example</x:v>
      </x:c>
      <x:c r="F18" s="246" t="str">
        <x:f>IFERROR(VLOOKUP(UPPER(TRIM('Raw Employees'!D18)),'References'!$A$5:$B$10,2,FALSE),"Needs Review")</x:f>
        <x:v>IT</x:v>
      </x:c>
      <x:c r="G18" s="246" t="str">
        <x:f>'Raw Employees'!E18</x:f>
        <x:v>Coordinator</x:v>
      </x:c>
      <x:c r="H18" s="246" t="str">
        <x:f>'Raw Employees'!F18</x:f>
        <x:v>Intern</x:v>
      </x:c>
      <x:c r="I18" s="247" t="n">
        <x:f>'Raw Employees'!G18</x:f>
        <x:v>46087</x:v>
      </x:c>
      <x:c r="J18" s="247" t="n">
        <x:f>IF('Raw Employees'!H18="","",'Raw Employees'!H18)</x:f>
        <x:v>46452</x:v>
      </x:c>
      <x:c r="K18" s="247" t="n">
        <x:f>'Raw Employees'!I18</x:f>
        <x:v>46179</x:v>
      </x:c>
      <x:c r="L18" s="246" t="str">
        <x:f>'Raw Employees'!J18</x:f>
        <x:v>Manager 4</x:v>
      </x:c>
      <x:c r="M18" s="246" t="str">
        <x:f>'Raw Employees'!K18</x:f>
        <x:v>Remote</x:v>
      </x:c>
      <x:c r="N18" s="246" t="str">
        <x:f>'Raw Employees'!L18</x:f>
        <x:v>Received</x:v>
      </x:c>
      <x:c r="O18" s="246" t="str">
        <x:f>'Raw Employees'!M18</x:f>
        <x:v>Received</x:v>
      </x:c>
      <x:c r="P18" s="246" t="str">
        <x:f>'Raw Employees'!N18</x:f>
        <x:v>Received</x:v>
      </x:c>
      <x:c r="Q18" s="246" t="str">
        <x:f>'Raw Employees'!O18</x:f>
        <x:v>Received</x:v>
      </x:c>
      <x:c r="R18" s="246" t="str">
        <x:f>'Raw Employees'!P18</x:f>
        <x:v>Received</x:v>
      </x:c>
      <x:c r="S18" s="246" t="str">
        <x:f>IF(IFERROR(AND(LEN(E18)-LEN(SUBSTITUTE(E18,"@",""))=1,SEARCH("@",E18)&gt;1,ISNUMBER(SEARCH(".",E18,SEARCH("@",E18)+2)),RIGHT(E18,1)&lt;&gt;"."),FALSE),"OK","Invalid Email")</x:f>
        <x:v>OK</x:v>
      </x:c>
      <x:c r="T18" s="246" t="str">
        <x:f>IF(F18="Needs Review","Invalid Department","OK")</x:f>
        <x:v>OK</x:v>
      </x:c>
      <x:c r="U18" s="246" t="str">
        <x:f>IF(OR(AND(H18&lt;&gt;"Permanent",J18=""),AND(J18&lt;&gt;"",J18&lt;I18),AND(H18="Permanent",J18&lt;&gt;"")),"Invalid Contract End","OK")</x:f>
        <x:v>OK</x:v>
      </x:c>
      <x:c r="V18" s="246" t="n">
        <x:f>COUNTIF(N18:R18,"Missing")</x:f>
        <x:v>0</x:v>
      </x:c>
      <x:c r="W18" s="246" t="str">
        <x:f>IF(C18&gt;1,"Duplicate Employee ID","OK")</x:f>
        <x:v>OK</x:v>
      </x:c>
      <x:c r="X18" s="246" t="n">
        <x:f>IF(S18&lt;&gt;"OK",1,0)+IF(T18&lt;&gt;"OK",1,0)+IF(U18&lt;&gt;"OK",1,0)+V18+IF(W18&lt;&gt;"OK",1,0)</x:f>
        <x:v>0</x:v>
      </x:c>
      <x:c r="Y18" s="246" t="str">
        <x:f>IF(OR(S18&lt;&gt;"OK",W18&lt;&gt;"OK"),"High Priority Review",IF(X18&gt;0,"Review","Ready"))</x:f>
        <x:v>Ready</x:v>
      </x:c>
      <x:c r="Z18" s="246" t="str">
        <x:f>IF(S18&lt;&gt;"OK","Correct work email using approved source",IF(T18&lt;&gt;"OK","Confirm approved department",IF(U18&lt;&gt;"OK","Verify employment type and contract dates",IF(W18&lt;&gt;"OK","Compare duplicate employee records",IF(V18&gt;0,"Request missing documents by email or task","No action required")))))</x:f>
        <x:v>No action required</x:v>
      </x:c>
    </x:row>
    <x:row r="19" ht="22" customHeight="1">
      <x:c r="A19" s="248" t="n">
        <x:f>ROW('Raw Employees'!A19)</x:f>
        <x:v>19</x:v>
      </x:c>
      <x:c r="B19" s="248" t="str">
        <x:f>'Raw Employees'!A19</x:f>
        <x:v>EMP-0016</x:v>
      </x:c>
      <x:c r="C19" s="248" t="n">
        <x:f>COUNTIF('Raw Employees'!$A$4:$A$43,B19)</x:f>
        <x:v>1</x:v>
      </x:c>
      <x:c r="D19" s="248" t="str">
        <x:f>'Raw Employees'!B19</x:f>
        <x:v>Employee 16</x:v>
      </x:c>
      <x:c r="E19" s="248" t="str">
        <x:f>'Raw Employees'!C19</x:f>
        <x:v>employee16@northstar.example</x:v>
      </x:c>
      <x:c r="F19" s="248" t="str">
        <x:f>IFERROR(VLOOKUP(UPPER(TRIM('Raw Employees'!D19)),'References'!$A$5:$B$10,2,FALSE),"Needs Review")</x:f>
        <x:v>Operations</x:v>
      </x:c>
      <x:c r="G19" s="248" t="str">
        <x:f>'Raw Employees'!E19</x:f>
        <x:v>Analyst</x:v>
      </x:c>
      <x:c r="H19" s="248" t="str">
        <x:f>'Raw Employees'!F19</x:f>
        <x:v>Permanent</x:v>
      </x:c>
      <x:c r="I19" s="249" t="n">
        <x:f>'Raw Employees'!G19</x:f>
        <x:v>46121</x:v>
      </x:c>
      <x:c r="J19" s="249" t="str">
        <x:f>IF('Raw Employees'!H19="","",'Raw Employees'!H19)</x:f>
      </x:c>
      <x:c r="K19" s="249" t="n">
        <x:f>'Raw Employees'!I19</x:f>
        <x:v>46212</x:v>
      </x:c>
      <x:c r="L19" s="248" t="str">
        <x:f>'Raw Employees'!J19</x:f>
        <x:v>Manager 5</x:v>
      </x:c>
      <x:c r="M19" s="248" t="str">
        <x:f>'Raw Employees'!K19</x:f>
        <x:v>Jakarta</x:v>
      </x:c>
      <x:c r="N19" s="248" t="str">
        <x:f>'Raw Employees'!L19</x:f>
        <x:v>Missing</x:v>
      </x:c>
      <x:c r="O19" s="248" t="str">
        <x:f>'Raw Employees'!M19</x:f>
        <x:v>Received</x:v>
      </x:c>
      <x:c r="P19" s="248" t="str">
        <x:f>'Raw Employees'!N19</x:f>
        <x:v>Received</x:v>
      </x:c>
      <x:c r="Q19" s="248" t="str">
        <x:f>'Raw Employees'!O19</x:f>
        <x:v>Received</x:v>
      </x:c>
      <x:c r="R19" s="248" t="str">
        <x:f>'Raw Employees'!P19</x:f>
        <x:v>Received</x:v>
      </x:c>
      <x:c r="S19" s="248" t="str">
        <x:f>IF(IFERROR(AND(LEN(E19)-LEN(SUBSTITUTE(E19,"@",""))=1,SEARCH("@",E19)&gt;1,ISNUMBER(SEARCH(".",E19,SEARCH("@",E19)+2)),RIGHT(E19,1)&lt;&gt;"."),FALSE),"OK","Invalid Email")</x:f>
        <x:v>OK</x:v>
      </x:c>
      <x:c r="T19" s="248" t="str">
        <x:f>IF(F19="Needs Review","Invalid Department","OK")</x:f>
        <x:v>OK</x:v>
      </x:c>
      <x:c r="U19" s="248" t="str">
        <x:f>IF(OR(AND(H19&lt;&gt;"Permanent",J19=""),AND(J19&lt;&gt;"",J19&lt;I19),AND(H19="Permanent",J19&lt;&gt;"")),"Invalid Contract End","OK")</x:f>
        <x:v>OK</x:v>
      </x:c>
      <x:c r="V19" s="248" t="n">
        <x:f>COUNTIF(N19:R19,"Missing")</x:f>
        <x:v>1</x:v>
      </x:c>
      <x:c r="W19" s="248" t="str">
        <x:f>IF(C19&gt;1,"Duplicate Employee ID","OK")</x:f>
        <x:v>OK</x:v>
      </x:c>
      <x:c r="X19" s="248" t="n">
        <x:f>IF(S19&lt;&gt;"OK",1,0)+IF(T19&lt;&gt;"OK",1,0)+IF(U19&lt;&gt;"OK",1,0)+V19+IF(W19&lt;&gt;"OK",1,0)</x:f>
        <x:v>1</x:v>
      </x:c>
      <x:c r="Y19" s="248" t="str">
        <x:f>IF(OR(S19&lt;&gt;"OK",W19&lt;&gt;"OK"),"High Priority Review",IF(X19&gt;0,"Review","Ready"))</x:f>
        <x:v>Review</x:v>
      </x:c>
      <x:c r="Z19" s="248" t="str">
        <x:f>IF(S19&lt;&gt;"OK","Correct work email using approved source",IF(T19&lt;&gt;"OK","Confirm approved department",IF(U19&lt;&gt;"OK","Verify employment type and contract dates",IF(W19&lt;&gt;"OK","Compare duplicate employee records",IF(V19&gt;0,"Request missing documents by email or task","No action required")))))</x:f>
        <x:v>Request missing documents by email or task</x:v>
      </x:c>
    </x:row>
    <x:row r="20" ht="22" customHeight="1">
      <x:c r="A20" s="246" t="n">
        <x:f>ROW('Raw Employees'!A20)</x:f>
        <x:v>20</x:v>
      </x:c>
      <x:c r="B20" s="246" t="str">
        <x:f>'Raw Employees'!A20</x:f>
        <x:v>EMP-0017</x:v>
      </x:c>
      <x:c r="C20" s="246" t="n">
        <x:f>COUNTIF('Raw Employees'!$A$4:$A$43,B20)</x:f>
        <x:v>1</x:v>
      </x:c>
      <x:c r="D20" s="246" t="str">
        <x:f>'Raw Employees'!B20</x:f>
        <x:v>Employee 17</x:v>
      </x:c>
      <x:c r="E20" s="246" t="str">
        <x:f>'Raw Employees'!C20</x:f>
        <x:v>employee17@northstar.example</x:v>
      </x:c>
      <x:c r="F20" s="246" t="str">
        <x:f>IFERROR(VLOOKUP(UPPER(TRIM('Raw Employees'!D20)),'References'!$A$5:$B$10,2,FALSE),"Needs Review")</x:f>
        <x:v>Finance</x:v>
      </x:c>
      <x:c r="G20" s="246" t="str">
        <x:f>'Raw Employees'!E20</x:f>
        <x:v>Administrator</x:v>
      </x:c>
      <x:c r="H20" s="246" t="str">
        <x:f>'Raw Employees'!F20</x:f>
        <x:v>Contract</x:v>
      </x:c>
      <x:c r="I20" s="247" t="n">
        <x:f>'Raw Employees'!G20</x:f>
        <x:v>46154</x:v>
      </x:c>
      <x:c r="J20" s="247" t="n">
        <x:f>IF('Raw Employees'!H20="","",'Raw Employees'!H20)</x:f>
        <x:v>46519</x:v>
      </x:c>
      <x:c r="K20" s="247" t="n">
        <x:f>'Raw Employees'!I20</x:f>
        <x:v>46246</x:v>
      </x:c>
      <x:c r="L20" s="246" t="str">
        <x:f>'Raw Employees'!J20</x:f>
        <x:v>Manager 6</x:v>
      </x:c>
      <x:c r="M20" s="246" t="str">
        <x:f>'Raw Employees'!K20</x:f>
        <x:v>Surabaya</x:v>
      </x:c>
      <x:c r="N20" s="246" t="str">
        <x:f>'Raw Employees'!L20</x:f>
        <x:v>Received</x:v>
      </x:c>
      <x:c r="O20" s="246" t="str">
        <x:f>'Raw Employees'!M20</x:f>
        <x:v>Received</x:v>
      </x:c>
      <x:c r="P20" s="246" t="str">
        <x:f>'Raw Employees'!N20</x:f>
        <x:v>Received</x:v>
      </x:c>
      <x:c r="Q20" s="246" t="str">
        <x:f>'Raw Employees'!O20</x:f>
        <x:v>Received</x:v>
      </x:c>
      <x:c r="R20" s="246" t="str">
        <x:f>'Raw Employees'!P20</x:f>
        <x:v>Received</x:v>
      </x:c>
      <x:c r="S20" s="246" t="str">
        <x:f>IF(IFERROR(AND(LEN(E20)-LEN(SUBSTITUTE(E20,"@",""))=1,SEARCH("@",E20)&gt;1,ISNUMBER(SEARCH(".",E20,SEARCH("@",E20)+2)),RIGHT(E20,1)&lt;&gt;"."),FALSE),"OK","Invalid Email")</x:f>
        <x:v>OK</x:v>
      </x:c>
      <x:c r="T20" s="246" t="str">
        <x:f>IF(F20="Needs Review","Invalid Department","OK")</x:f>
        <x:v>OK</x:v>
      </x:c>
      <x:c r="U20" s="246" t="str">
        <x:f>IF(OR(AND(H20&lt;&gt;"Permanent",J20=""),AND(J20&lt;&gt;"",J20&lt;I20),AND(H20="Permanent",J20&lt;&gt;"")),"Invalid Contract End","OK")</x:f>
        <x:v>OK</x:v>
      </x:c>
      <x:c r="V20" s="246" t="n">
        <x:f>COUNTIF(N20:R20,"Missing")</x:f>
        <x:v>0</x:v>
      </x:c>
      <x:c r="W20" s="246" t="str">
        <x:f>IF(C20&gt;1,"Duplicate Employee ID","OK")</x:f>
        <x:v>OK</x:v>
      </x:c>
      <x:c r="X20" s="246" t="n">
        <x:f>IF(S20&lt;&gt;"OK",1,0)+IF(T20&lt;&gt;"OK",1,0)+IF(U20&lt;&gt;"OK",1,0)+V20+IF(W20&lt;&gt;"OK",1,0)</x:f>
        <x:v>0</x:v>
      </x:c>
      <x:c r="Y20" s="246" t="str">
        <x:f>IF(OR(S20&lt;&gt;"OK",W20&lt;&gt;"OK"),"High Priority Review",IF(X20&gt;0,"Review","Ready"))</x:f>
        <x:v>Ready</x:v>
      </x:c>
      <x:c r="Z20" s="246" t="str">
        <x:f>IF(S20&lt;&gt;"OK","Correct work email using approved source",IF(T20&lt;&gt;"OK","Confirm approved department",IF(U20&lt;&gt;"OK","Verify employment type and contract dates",IF(W20&lt;&gt;"OK","Compare duplicate employee records",IF(V20&gt;0,"Request missing documents by email or task","No action required")))))</x:f>
        <x:v>No action required</x:v>
      </x:c>
    </x:row>
    <x:row r="21" ht="22" customHeight="1">
      <x:c r="A21" s="248" t="n">
        <x:f>ROW('Raw Employees'!A21)</x:f>
        <x:v>21</x:v>
      </x:c>
      <x:c r="B21" s="248" t="str">
        <x:f>'Raw Employees'!A21</x:f>
        <x:v>EMP-0018</x:v>
      </x:c>
      <x:c r="C21" s="248" t="n">
        <x:f>COUNTIF('Raw Employees'!$A$4:$A$43,B21)</x:f>
        <x:v>1</x:v>
      </x:c>
      <x:c r="D21" s="248" t="str">
        <x:f>'Raw Employees'!B21</x:f>
        <x:v>Employee 18</x:v>
      </x:c>
      <x:c r="E21" s="248" t="str">
        <x:f>'Raw Employees'!C21</x:f>
        <x:v>employee18@northstar.example</x:v>
      </x:c>
      <x:c r="F21" s="248" t="str">
        <x:f>IFERROR(VLOOKUP(UPPER(TRIM('Raw Employees'!D21)),'References'!$A$5:$B$10,2,FALSE),"Needs Review")</x:f>
        <x:v>Needs Review</x:v>
      </x:c>
      <x:c r="G21" s="248" t="str">
        <x:f>'Raw Employees'!E21</x:f>
        <x:v>Specialist</x:v>
      </x:c>
      <x:c r="H21" s="248" t="str">
        <x:f>'Raw Employees'!F21</x:f>
        <x:v>Intern</x:v>
      </x:c>
      <x:c r="I21" s="249" t="n">
        <x:f>'Raw Employees'!G21</x:f>
        <x:v>46188</x:v>
      </x:c>
      <x:c r="J21" s="249" t="n">
        <x:f>IF('Raw Employees'!H21="","",'Raw Employees'!H21)</x:f>
        <x:v>46553</x:v>
      </x:c>
      <x:c r="K21" s="249" t="n">
        <x:f>'Raw Employees'!I21</x:f>
        <x:v>46280</x:v>
      </x:c>
      <x:c r="L21" s="248" t="str">
        <x:f>'Raw Employees'!J21</x:f>
        <x:v>Manager 1</x:v>
      </x:c>
      <x:c r="M21" s="248" t="str">
        <x:f>'Raw Employees'!K21</x:f>
        <x:v>Bandung</x:v>
      </x:c>
      <x:c r="N21" s="248" t="str">
        <x:f>'Raw Employees'!L21</x:f>
        <x:v>Received</x:v>
      </x:c>
      <x:c r="O21" s="248" t="str">
        <x:f>'Raw Employees'!M21</x:f>
        <x:v>Missing</x:v>
      </x:c>
      <x:c r="P21" s="248" t="str">
        <x:f>'Raw Employees'!N21</x:f>
        <x:v>Received</x:v>
      </x:c>
      <x:c r="Q21" s="248" t="str">
        <x:f>'Raw Employees'!O21</x:f>
        <x:v>Received</x:v>
      </x:c>
      <x:c r="R21" s="248" t="str">
        <x:f>'Raw Employees'!P21</x:f>
        <x:v>Received</x:v>
      </x:c>
      <x:c r="S21" s="248" t="str">
        <x:f>IF(IFERROR(AND(LEN(E21)-LEN(SUBSTITUTE(E21,"@",""))=1,SEARCH("@",E21)&gt;1,ISNUMBER(SEARCH(".",E21,SEARCH("@",E21)+2)),RIGHT(E21,1)&lt;&gt;"."),FALSE),"OK","Invalid Email")</x:f>
        <x:v>OK</x:v>
      </x:c>
      <x:c r="T21" s="248" t="str">
        <x:f>IF(F21="Needs Review","Invalid Department","OK")</x:f>
        <x:v>Invalid Department</x:v>
      </x:c>
      <x:c r="U21" s="248" t="str">
        <x:f>IF(OR(AND(H21&lt;&gt;"Permanent",J21=""),AND(J21&lt;&gt;"",J21&lt;I21),AND(H21="Permanent",J21&lt;&gt;"")),"Invalid Contract End","OK")</x:f>
        <x:v>OK</x:v>
      </x:c>
      <x:c r="V21" s="248" t="n">
        <x:f>COUNTIF(N21:R21,"Missing")</x:f>
        <x:v>1</x:v>
      </x:c>
      <x:c r="W21" s="248" t="str">
        <x:f>IF(C21&gt;1,"Duplicate Employee ID","OK")</x:f>
        <x:v>OK</x:v>
      </x:c>
      <x:c r="X21" s="248" t="n">
        <x:f>IF(S21&lt;&gt;"OK",1,0)+IF(T21&lt;&gt;"OK",1,0)+IF(U21&lt;&gt;"OK",1,0)+V21+IF(W21&lt;&gt;"OK",1,0)</x:f>
        <x:v>2</x:v>
      </x:c>
      <x:c r="Y21" s="248" t="str">
        <x:f>IF(OR(S21&lt;&gt;"OK",W21&lt;&gt;"OK"),"High Priority Review",IF(X21&gt;0,"Review","Ready"))</x:f>
        <x:v>Review</x:v>
      </x:c>
      <x:c r="Z21" s="248" t="str">
        <x:f>IF(S21&lt;&gt;"OK","Correct work email using approved source",IF(T21&lt;&gt;"OK","Confirm approved department",IF(U21&lt;&gt;"OK","Verify employment type and contract dates",IF(W21&lt;&gt;"OK","Compare duplicate employee records",IF(V21&gt;0,"Request missing documents by email or task","No action required")))))</x:f>
        <x:v>Confirm approved department</x:v>
      </x:c>
    </x:row>
    <x:row r="22" ht="22" customHeight="1">
      <x:c r="A22" s="246" t="n">
        <x:f>ROW('Raw Employees'!A22)</x:f>
        <x:v>22</x:v>
      </x:c>
      <x:c r="B22" s="246" t="str">
        <x:f>'Raw Employees'!A22</x:f>
        <x:v>EMP-0019</x:v>
      </x:c>
      <x:c r="C22" s="246" t="n">
        <x:f>COUNTIF('Raw Employees'!$A$4:$A$43,B22)</x:f>
        <x:v>1</x:v>
      </x:c>
      <x:c r="D22" s="246" t="str">
        <x:f>'Raw Employees'!B22</x:f>
        <x:v>Employee 19</x:v>
      </x:c>
      <x:c r="E22" s="246" t="str">
        <x:f>'Raw Employees'!C22</x:f>
        <x:v>employee19@northstar.example</x:v>
      </x:c>
      <x:c r="F22" s="246" t="str">
        <x:f>IFERROR(VLOOKUP(UPPER(TRIM('Raw Employees'!D22)),'References'!$A$5:$B$10,2,FALSE),"Needs Review")</x:f>
        <x:v>Sales</x:v>
      </x:c>
      <x:c r="G22" s="246" t="str">
        <x:f>'Raw Employees'!E22</x:f>
        <x:v>Assistant</x:v>
      </x:c>
      <x:c r="H22" s="246" t="str">
        <x:f>'Raw Employees'!F22</x:f>
        <x:v>Permanent</x:v>
      </x:c>
      <x:c r="I22" s="247" t="n">
        <x:f>'Raw Employees'!G22</x:f>
        <x:v>46040</x:v>
      </x:c>
      <x:c r="J22" s="247" t="str">
        <x:f>IF('Raw Employees'!H22="","",'Raw Employees'!H22)</x:f>
      </x:c>
      <x:c r="K22" s="247" t="n">
        <x:f>'Raw Employees'!I22</x:f>
        <x:v>46130</x:v>
      </x:c>
      <x:c r="L22" s="246" t="str">
        <x:f>'Raw Employees'!J22</x:f>
        <x:v>Manager 2</x:v>
      </x:c>
      <x:c r="M22" s="246" t="str">
        <x:f>'Raw Employees'!K22</x:f>
        <x:v>Remote</x:v>
      </x:c>
      <x:c r="N22" s="246" t="str">
        <x:f>'Raw Employees'!L22</x:f>
        <x:v>Received</x:v>
      </x:c>
      <x:c r="O22" s="246" t="str">
        <x:f>'Raw Employees'!M22</x:f>
        <x:v>Received</x:v>
      </x:c>
      <x:c r="P22" s="246" t="str">
        <x:f>'Raw Employees'!N22</x:f>
        <x:v>Received</x:v>
      </x:c>
      <x:c r="Q22" s="246" t="str">
        <x:f>'Raw Employees'!O22</x:f>
        <x:v>Received</x:v>
      </x:c>
      <x:c r="R22" s="246" t="str">
        <x:f>'Raw Employees'!P22</x:f>
        <x:v>Received</x:v>
      </x:c>
      <x:c r="S22" s="246" t="str">
        <x:f>IF(IFERROR(AND(LEN(E22)-LEN(SUBSTITUTE(E22,"@",""))=1,SEARCH("@",E22)&gt;1,ISNUMBER(SEARCH(".",E22,SEARCH("@",E22)+2)),RIGHT(E22,1)&lt;&gt;"."),FALSE),"OK","Invalid Email")</x:f>
        <x:v>OK</x:v>
      </x:c>
      <x:c r="T22" s="246" t="str">
        <x:f>IF(F22="Needs Review","Invalid Department","OK")</x:f>
        <x:v>OK</x:v>
      </x:c>
      <x:c r="U22" s="246" t="str">
        <x:f>IF(OR(AND(H22&lt;&gt;"Permanent",J22=""),AND(J22&lt;&gt;"",J22&lt;I22),AND(H22="Permanent",J22&lt;&gt;"")),"Invalid Contract End","OK")</x:f>
        <x:v>OK</x:v>
      </x:c>
      <x:c r="V22" s="246" t="n">
        <x:f>COUNTIF(N22:R22,"Missing")</x:f>
        <x:v>0</x:v>
      </x:c>
      <x:c r="W22" s="246" t="str">
        <x:f>IF(C22&gt;1,"Duplicate Employee ID","OK")</x:f>
        <x:v>OK</x:v>
      </x:c>
      <x:c r="X22" s="246" t="n">
        <x:f>IF(S22&lt;&gt;"OK",1,0)+IF(T22&lt;&gt;"OK",1,0)+IF(U22&lt;&gt;"OK",1,0)+V22+IF(W22&lt;&gt;"OK",1,0)</x:f>
        <x:v>0</x:v>
      </x:c>
      <x:c r="Y22" s="246" t="str">
        <x:f>IF(OR(S22&lt;&gt;"OK",W22&lt;&gt;"OK"),"High Priority Review",IF(X22&gt;0,"Review","Ready"))</x:f>
        <x:v>Ready</x:v>
      </x:c>
      <x:c r="Z22" s="246" t="str">
        <x:f>IF(S22&lt;&gt;"OK","Correct work email using approved source",IF(T22&lt;&gt;"OK","Confirm approved department",IF(U22&lt;&gt;"OK","Verify employment type and contract dates",IF(W22&lt;&gt;"OK","Compare duplicate employee records",IF(V22&gt;0,"Request missing documents by email or task","No action required")))))</x:f>
        <x:v>No action required</x:v>
      </x:c>
    </x:row>
    <x:row r="23" ht="22" customHeight="1">
      <x:c r="A23" s="248" t="n">
        <x:f>ROW('Raw Employees'!A23)</x:f>
        <x:v>23</x:v>
      </x:c>
      <x:c r="B23" s="248" t="str">
        <x:f>'Raw Employees'!A23</x:f>
        <x:v>EMP-0020</x:v>
      </x:c>
      <x:c r="C23" s="248" t="n">
        <x:f>COUNTIF('Raw Employees'!$A$4:$A$43,B23)</x:f>
        <x:v>1</x:v>
      </x:c>
      <x:c r="D23" s="248" t="str">
        <x:f>'Raw Employees'!B23</x:f>
        <x:v>Employee 20</x:v>
      </x:c>
      <x:c r="E23" s="248" t="str">
        <x:f>'Raw Employees'!C23</x:f>
        <x:v>employee20@northstar.example</x:v>
      </x:c>
      <x:c r="F23" s="248" t="str">
        <x:f>IFERROR(VLOOKUP(UPPER(TRIM('Raw Employees'!D23)),'References'!$A$5:$B$10,2,FALSE),"Needs Review")</x:f>
        <x:v>IT</x:v>
      </x:c>
      <x:c r="G23" s="248" t="str">
        <x:f>'Raw Employees'!E23</x:f>
        <x:v>Coordinator</x:v>
      </x:c>
      <x:c r="H23" s="248" t="str">
        <x:f>'Raw Employees'!F23</x:f>
        <x:v>Contract</x:v>
      </x:c>
      <x:c r="I23" s="249" t="n">
        <x:f>'Raw Employees'!G23</x:f>
        <x:v>46054</x:v>
      </x:c>
      <x:c r="J23" s="249" t="n">
        <x:f>IF('Raw Employees'!H23="","",'Raw Employees'!H23)</x:f>
        <x:v>46419</x:v>
      </x:c>
      <x:c r="K23" s="249" t="n">
        <x:f>'Raw Employees'!I23</x:f>
        <x:v>46143</x:v>
      </x:c>
      <x:c r="L23" s="248" t="str">
        <x:f>'Raw Employees'!J23</x:f>
        <x:v>Manager 3</x:v>
      </x:c>
      <x:c r="M23" s="248" t="str">
        <x:f>'Raw Employees'!K23</x:f>
        <x:v>Jakarta</x:v>
      </x:c>
      <x:c r="N23" s="248" t="str">
        <x:f>'Raw Employees'!L23</x:f>
        <x:v>Received</x:v>
      </x:c>
      <x:c r="O23" s="248" t="str">
        <x:f>'Raw Employees'!M23</x:f>
        <x:v>Received</x:v>
      </x:c>
      <x:c r="P23" s="248" t="str">
        <x:f>'Raw Employees'!N23</x:f>
        <x:v>Missing</x:v>
      </x:c>
      <x:c r="Q23" s="248" t="str">
        <x:f>'Raw Employees'!O23</x:f>
        <x:v>Received</x:v>
      </x:c>
      <x:c r="R23" s="248" t="str">
        <x:f>'Raw Employees'!P23</x:f>
        <x:v>Received</x:v>
      </x:c>
      <x:c r="S23" s="248" t="str">
        <x:f>IF(IFERROR(AND(LEN(E23)-LEN(SUBSTITUTE(E23,"@",""))=1,SEARCH("@",E23)&gt;1,ISNUMBER(SEARCH(".",E23,SEARCH("@",E23)+2)),RIGHT(E23,1)&lt;&gt;"."),FALSE),"OK","Invalid Email")</x:f>
        <x:v>OK</x:v>
      </x:c>
      <x:c r="T23" s="248" t="str">
        <x:f>IF(F23="Needs Review","Invalid Department","OK")</x:f>
        <x:v>OK</x:v>
      </x:c>
      <x:c r="U23" s="248" t="str">
        <x:f>IF(OR(AND(H23&lt;&gt;"Permanent",J23=""),AND(J23&lt;&gt;"",J23&lt;I23),AND(H23="Permanent",J23&lt;&gt;"")),"Invalid Contract End","OK")</x:f>
        <x:v>OK</x:v>
      </x:c>
      <x:c r="V23" s="248" t="n">
        <x:f>COUNTIF(N23:R23,"Missing")</x:f>
        <x:v>1</x:v>
      </x:c>
      <x:c r="W23" s="248" t="str">
        <x:f>IF(C23&gt;1,"Duplicate Employee ID","OK")</x:f>
        <x:v>OK</x:v>
      </x:c>
      <x:c r="X23" s="248" t="n">
        <x:f>IF(S23&lt;&gt;"OK",1,0)+IF(T23&lt;&gt;"OK",1,0)+IF(U23&lt;&gt;"OK",1,0)+V23+IF(W23&lt;&gt;"OK",1,0)</x:f>
        <x:v>1</x:v>
      </x:c>
      <x:c r="Y23" s="248" t="str">
        <x:f>IF(OR(S23&lt;&gt;"OK",W23&lt;&gt;"OK"),"High Priority Review",IF(X23&gt;0,"Review","Ready"))</x:f>
        <x:v>Review</x:v>
      </x:c>
      <x:c r="Z23" s="248" t="str">
        <x:f>IF(S23&lt;&gt;"OK","Correct work email using approved source",IF(T23&lt;&gt;"OK","Confirm approved department",IF(U23&lt;&gt;"OK","Verify employment type and contract dates",IF(W23&lt;&gt;"OK","Compare duplicate employee records",IF(V23&gt;0,"Request missing documents by email or task","No action required")))))</x:f>
        <x:v>Request missing documents by email or task</x:v>
      </x:c>
    </x:row>
    <x:row r="24" ht="22" customHeight="1">
      <x:c r="A24" s="246" t="n">
        <x:f>ROW('Raw Employees'!A24)</x:f>
        <x:v>24</x:v>
      </x:c>
      <x:c r="B24" s="246" t="str">
        <x:f>'Raw Employees'!A24</x:f>
        <x:v>EMP-0021</x:v>
      </x:c>
      <x:c r="C24" s="246" t="n">
        <x:f>COUNTIF('Raw Employees'!$A$4:$A$43,B24)</x:f>
        <x:v>1</x:v>
      </x:c>
      <x:c r="D24" s="246" t="str">
        <x:f>'Raw Employees'!B24</x:f>
        <x:v>Employee 21</x:v>
      </x:c>
      <x:c r="E24" s="246" t="str">
        <x:f>'Raw Employees'!C24</x:f>
        <x:v>employee21@northstar.example</x:v>
      </x:c>
      <x:c r="F24" s="246" t="str">
        <x:f>IFERROR(VLOOKUP(UPPER(TRIM('Raw Employees'!D24)),'References'!$A$5:$B$10,2,FALSE),"Needs Review")</x:f>
        <x:v>Operations</x:v>
      </x:c>
      <x:c r="G24" s="246" t="str">
        <x:f>'Raw Employees'!E24</x:f>
        <x:v>Analyst</x:v>
      </x:c>
      <x:c r="H24" s="246" t="str">
        <x:f>'Raw Employees'!F24</x:f>
        <x:v>Intern</x:v>
      </x:c>
      <x:c r="I24" s="247" t="n">
        <x:f>'Raw Employees'!G24</x:f>
        <x:v>46085</x:v>
      </x:c>
      <x:c r="J24" s="247" t="n">
        <x:f>IF('Raw Employees'!H24="","",'Raw Employees'!H24)</x:f>
        <x:v>46450</x:v>
      </x:c>
      <x:c r="K24" s="247" t="n">
        <x:f>'Raw Employees'!I24</x:f>
        <x:v>46177</x:v>
      </x:c>
      <x:c r="L24" s="246" t="str">
        <x:f>'Raw Employees'!J24</x:f>
        <x:v>Manager 4</x:v>
      </x:c>
      <x:c r="M24" s="246" t="str">
        <x:f>'Raw Employees'!K24</x:f>
        <x:v>Surabaya</x:v>
      </x:c>
      <x:c r="N24" s="246" t="str">
        <x:f>'Raw Employees'!L24</x:f>
        <x:v>Received</x:v>
      </x:c>
      <x:c r="O24" s="246" t="str">
        <x:f>'Raw Employees'!M24</x:f>
        <x:v>Received</x:v>
      </x:c>
      <x:c r="P24" s="246" t="str">
        <x:f>'Raw Employees'!N24</x:f>
        <x:v>Received</x:v>
      </x:c>
      <x:c r="Q24" s="246" t="str">
        <x:f>'Raw Employees'!O24</x:f>
        <x:v>Received</x:v>
      </x:c>
      <x:c r="R24" s="246" t="str">
        <x:f>'Raw Employees'!P24</x:f>
        <x:v>Received</x:v>
      </x:c>
      <x:c r="S24" s="246" t="str">
        <x:f>IF(IFERROR(AND(LEN(E24)-LEN(SUBSTITUTE(E24,"@",""))=1,SEARCH("@",E24)&gt;1,ISNUMBER(SEARCH(".",E24,SEARCH("@",E24)+2)),RIGHT(E24,1)&lt;&gt;"."),FALSE),"OK","Invalid Email")</x:f>
        <x:v>OK</x:v>
      </x:c>
      <x:c r="T24" s="246" t="str">
        <x:f>IF(F24="Needs Review","Invalid Department","OK")</x:f>
        <x:v>OK</x:v>
      </x:c>
      <x:c r="U24" s="246" t="str">
        <x:f>IF(OR(AND(H24&lt;&gt;"Permanent",J24=""),AND(J24&lt;&gt;"",J24&lt;I24),AND(H24="Permanent",J24&lt;&gt;"")),"Invalid Contract End","OK")</x:f>
        <x:v>OK</x:v>
      </x:c>
      <x:c r="V24" s="246" t="n">
        <x:f>COUNTIF(N24:R24,"Missing")</x:f>
        <x:v>0</x:v>
      </x:c>
      <x:c r="W24" s="246" t="str">
        <x:f>IF(C24&gt;1,"Duplicate Employee ID","OK")</x:f>
        <x:v>OK</x:v>
      </x:c>
      <x:c r="X24" s="246" t="n">
        <x:f>IF(S24&lt;&gt;"OK",1,0)+IF(T24&lt;&gt;"OK",1,0)+IF(U24&lt;&gt;"OK",1,0)+V24+IF(W24&lt;&gt;"OK",1,0)</x:f>
        <x:v>0</x:v>
      </x:c>
      <x:c r="Y24" s="246" t="str">
        <x:f>IF(OR(S24&lt;&gt;"OK",W24&lt;&gt;"OK"),"High Priority Review",IF(X24&gt;0,"Review","Ready"))</x:f>
        <x:v>Ready</x:v>
      </x:c>
      <x:c r="Z24" s="246" t="str">
        <x:f>IF(S24&lt;&gt;"OK","Correct work email using approved source",IF(T24&lt;&gt;"OK","Confirm approved department",IF(U24&lt;&gt;"OK","Verify employment type and contract dates",IF(W24&lt;&gt;"OK","Compare duplicate employee records",IF(V24&gt;0,"Request missing documents by email or task","No action required")))))</x:f>
        <x:v>No action required</x:v>
      </x:c>
    </x:row>
    <x:row r="25" ht="22" customHeight="1">
      <x:c r="A25" s="248" t="n">
        <x:f>ROW('Raw Employees'!A25)</x:f>
        <x:v>25</x:v>
      </x:c>
      <x:c r="B25" s="248" t="str">
        <x:f>'Raw Employees'!A25</x:f>
        <x:v>EMP-0022</x:v>
      </x:c>
      <x:c r="C25" s="248" t="n">
        <x:f>COUNTIF('Raw Employees'!$A$4:$A$43,B25)</x:f>
        <x:v>1</x:v>
      </x:c>
      <x:c r="D25" s="248" t="str">
        <x:f>'Raw Employees'!B25</x:f>
        <x:v>Employee 22</x:v>
      </x:c>
      <x:c r="E25" s="248" t="str">
        <x:f>'Raw Employees'!C25</x:f>
        <x:v>employee22@northstar.example</x:v>
      </x:c>
      <x:c r="F25" s="248" t="str">
        <x:f>IFERROR(VLOOKUP(UPPER(TRIM('Raw Employees'!D25)),'References'!$A$5:$B$10,2,FALSE),"Needs Review")</x:f>
        <x:v>Finance</x:v>
      </x:c>
      <x:c r="G25" s="248" t="str">
        <x:f>'Raw Employees'!E25</x:f>
        <x:v>Administrator</x:v>
      </x:c>
      <x:c r="H25" s="248" t="str">
        <x:f>'Raw Employees'!F25</x:f>
        <x:v>Permanent</x:v>
      </x:c>
      <x:c r="I25" s="249" t="n">
        <x:f>'Raw Employees'!G25</x:f>
        <x:v>46119</x:v>
      </x:c>
      <x:c r="J25" s="249" t="str">
        <x:f>IF('Raw Employees'!H25="","",'Raw Employees'!H25)</x:f>
      </x:c>
      <x:c r="K25" s="249" t="n">
        <x:f>'Raw Employees'!I25</x:f>
        <x:v>46210</x:v>
      </x:c>
      <x:c r="L25" s="248" t="str">
        <x:f>'Raw Employees'!J25</x:f>
        <x:v>Manager 5</x:v>
      </x:c>
      <x:c r="M25" s="248" t="str">
        <x:f>'Raw Employees'!K25</x:f>
        <x:v>Bandung</x:v>
      </x:c>
      <x:c r="N25" s="248" t="str">
        <x:f>'Raw Employees'!L25</x:f>
        <x:v>Received</x:v>
      </x:c>
      <x:c r="O25" s="248" t="str">
        <x:f>'Raw Employees'!M25</x:f>
        <x:v>Received</x:v>
      </x:c>
      <x:c r="P25" s="248" t="str">
        <x:f>'Raw Employees'!N25</x:f>
        <x:v>Received</x:v>
      </x:c>
      <x:c r="Q25" s="248" t="str">
        <x:f>'Raw Employees'!O25</x:f>
        <x:v>Missing</x:v>
      </x:c>
      <x:c r="R25" s="248" t="str">
        <x:f>'Raw Employees'!P25</x:f>
        <x:v>Received</x:v>
      </x:c>
      <x:c r="S25" s="248" t="str">
        <x:f>IF(IFERROR(AND(LEN(E25)-LEN(SUBSTITUTE(E25,"@",""))=1,SEARCH("@",E25)&gt;1,ISNUMBER(SEARCH(".",E25,SEARCH("@",E25)+2)),RIGHT(E25,1)&lt;&gt;"."),FALSE),"OK","Invalid Email")</x:f>
        <x:v>OK</x:v>
      </x:c>
      <x:c r="T25" s="248" t="str">
        <x:f>IF(F25="Needs Review","Invalid Department","OK")</x:f>
        <x:v>OK</x:v>
      </x:c>
      <x:c r="U25" s="248" t="str">
        <x:f>IF(OR(AND(H25&lt;&gt;"Permanent",J25=""),AND(J25&lt;&gt;"",J25&lt;I25),AND(H25="Permanent",J25&lt;&gt;"")),"Invalid Contract End","OK")</x:f>
        <x:v>OK</x:v>
      </x:c>
      <x:c r="V25" s="248" t="n">
        <x:f>COUNTIF(N25:R25,"Missing")</x:f>
        <x:v>1</x:v>
      </x:c>
      <x:c r="W25" s="248" t="str">
        <x:f>IF(C25&gt;1,"Duplicate Employee ID","OK")</x:f>
        <x:v>OK</x:v>
      </x:c>
      <x:c r="X25" s="248" t="n">
        <x:f>IF(S25&lt;&gt;"OK",1,0)+IF(T25&lt;&gt;"OK",1,0)+IF(U25&lt;&gt;"OK",1,0)+V25+IF(W25&lt;&gt;"OK",1,0)</x:f>
        <x:v>1</x:v>
      </x:c>
      <x:c r="Y25" s="248" t="str">
        <x:f>IF(OR(S25&lt;&gt;"OK",W25&lt;&gt;"OK"),"High Priority Review",IF(X25&gt;0,"Review","Ready"))</x:f>
        <x:v>Review</x:v>
      </x:c>
      <x:c r="Z25" s="248" t="str">
        <x:f>IF(S25&lt;&gt;"OK","Correct work email using approved source",IF(T25&lt;&gt;"OK","Confirm approved department",IF(U25&lt;&gt;"OK","Verify employment type and contract dates",IF(W25&lt;&gt;"OK","Compare duplicate employee records",IF(V25&gt;0,"Request missing documents by email or task","No action required")))))</x:f>
        <x:v>Request missing documents by email or task</x:v>
      </x:c>
    </x:row>
    <x:row r="26" ht="22" customHeight="1">
      <x:c r="A26" s="246" t="n">
        <x:f>ROW('Raw Employees'!A26)</x:f>
        <x:v>26</x:v>
      </x:c>
      <x:c r="B26" s="246" t="str">
        <x:f>'Raw Employees'!A26</x:f>
        <x:v>EMP-0023</x:v>
      </x:c>
      <x:c r="C26" s="246" t="n">
        <x:f>COUNTIF('Raw Employees'!$A$4:$A$43,B26)</x:f>
        <x:v>1</x:v>
      </x:c>
      <x:c r="D26" s="246" t="str">
        <x:f>'Raw Employees'!B26</x:f>
        <x:v>Employee 23</x:v>
      </x:c>
      <x:c r="E26" s="246" t="str">
        <x:f>'Raw Employees'!C26</x:f>
        <x:v>employee23@northstar.example</x:v>
      </x:c>
      <x:c r="F26" s="246" t="str">
        <x:f>IFERROR(VLOOKUP(UPPER(TRIM('Raw Employees'!D26)),'References'!$A$5:$B$10,2,FALSE),"Needs Review")</x:f>
        <x:v>HR</x:v>
      </x:c>
      <x:c r="G26" s="246" t="str">
        <x:f>'Raw Employees'!E26</x:f>
        <x:v>Specialist</x:v>
      </x:c>
      <x:c r="H26" s="246" t="str">
        <x:f>'Raw Employees'!F26</x:f>
        <x:v>Contract</x:v>
      </x:c>
      <x:c r="I26" s="247" t="n">
        <x:f>'Raw Employees'!G26</x:f>
        <x:v>46152</x:v>
      </x:c>
      <x:c r="J26" s="247" t="n">
        <x:f>IF('Raw Employees'!H26="","",'Raw Employees'!H26)</x:f>
        <x:v>46517</x:v>
      </x:c>
      <x:c r="K26" s="247" t="n">
        <x:f>'Raw Employees'!I26</x:f>
        <x:v>46244</x:v>
      </x:c>
      <x:c r="L26" s="246" t="str">
        <x:f>'Raw Employees'!J26</x:f>
        <x:v>Manager 6</x:v>
      </x:c>
      <x:c r="M26" s="246" t="str">
        <x:f>'Raw Employees'!K26</x:f>
        <x:v>Remote</x:v>
      </x:c>
      <x:c r="N26" s="246" t="str">
        <x:f>'Raw Employees'!L26</x:f>
        <x:v>Received</x:v>
      </x:c>
      <x:c r="O26" s="246" t="str">
        <x:f>'Raw Employees'!M26</x:f>
        <x:v>Received</x:v>
      </x:c>
      <x:c r="P26" s="246" t="str">
        <x:f>'Raw Employees'!N26</x:f>
        <x:v>Received</x:v>
      </x:c>
      <x:c r="Q26" s="246" t="str">
        <x:f>'Raw Employees'!O26</x:f>
        <x:v>Received</x:v>
      </x:c>
      <x:c r="R26" s="246" t="str">
        <x:f>'Raw Employees'!P26</x:f>
        <x:v>Received</x:v>
      </x:c>
      <x:c r="S26" s="246" t="str">
        <x:f>IF(IFERROR(AND(LEN(E26)-LEN(SUBSTITUTE(E26,"@",""))=1,SEARCH("@",E26)&gt;1,ISNUMBER(SEARCH(".",E26,SEARCH("@",E26)+2)),RIGHT(E26,1)&lt;&gt;"."),FALSE),"OK","Invalid Email")</x:f>
        <x:v>OK</x:v>
      </x:c>
      <x:c r="T26" s="246" t="str">
        <x:f>IF(F26="Needs Review","Invalid Department","OK")</x:f>
        <x:v>OK</x:v>
      </x:c>
      <x:c r="U26" s="246" t="str">
        <x:f>IF(OR(AND(H26&lt;&gt;"Permanent",J26=""),AND(J26&lt;&gt;"",J26&lt;I26),AND(H26="Permanent",J26&lt;&gt;"")),"Invalid Contract End","OK")</x:f>
        <x:v>OK</x:v>
      </x:c>
      <x:c r="V26" s="246" t="n">
        <x:f>COUNTIF(N26:R26,"Missing")</x:f>
        <x:v>0</x:v>
      </x:c>
      <x:c r="W26" s="246" t="str">
        <x:f>IF(C26&gt;1,"Duplicate Employee ID","OK")</x:f>
        <x:v>OK</x:v>
      </x:c>
      <x:c r="X26" s="246" t="n">
        <x:f>IF(S26&lt;&gt;"OK",1,0)+IF(T26&lt;&gt;"OK",1,0)+IF(U26&lt;&gt;"OK",1,0)+V26+IF(W26&lt;&gt;"OK",1,0)</x:f>
        <x:v>0</x:v>
      </x:c>
      <x:c r="Y26" s="246" t="str">
        <x:f>IF(OR(S26&lt;&gt;"OK",W26&lt;&gt;"OK"),"High Priority Review",IF(X26&gt;0,"Review","Ready"))</x:f>
        <x:v>Ready</x:v>
      </x:c>
      <x:c r="Z26" s="246" t="str">
        <x:f>IF(S26&lt;&gt;"OK","Correct work email using approved source",IF(T26&lt;&gt;"OK","Confirm approved department",IF(U26&lt;&gt;"OK","Verify employment type and contract dates",IF(W26&lt;&gt;"OK","Compare duplicate employee records",IF(V26&gt;0,"Request missing documents by email or task","No action required")))))</x:f>
        <x:v>No action required</x:v>
      </x:c>
    </x:row>
    <x:row r="27" ht="22" customHeight="1">
      <x:c r="A27" s="248" t="n">
        <x:f>ROW('Raw Employees'!A27)</x:f>
        <x:v>27</x:v>
      </x:c>
      <x:c r="B27" s="248" t="str">
        <x:f>'Raw Employees'!A27</x:f>
        <x:v>EMP-0024</x:v>
      </x:c>
      <x:c r="C27" s="248" t="n">
        <x:f>COUNTIF('Raw Employees'!$A$4:$A$43,B27)</x:f>
        <x:v>1</x:v>
      </x:c>
      <x:c r="D27" s="248" t="str">
        <x:f>'Raw Employees'!B27</x:f>
        <x:v>Employee 24</x:v>
      </x:c>
      <x:c r="E27" s="248" t="str">
        <x:f>'Raw Employees'!C27</x:f>
        <x:v>employee24@northstar.example</x:v>
      </x:c>
      <x:c r="F27" s="248" t="str">
        <x:f>IFERROR(VLOOKUP(UPPER(TRIM('Raw Employees'!D27)),'References'!$A$5:$B$10,2,FALSE),"Needs Review")</x:f>
        <x:v>Sales</x:v>
      </x:c>
      <x:c r="G27" s="248" t="str">
        <x:f>'Raw Employees'!E27</x:f>
        <x:v>Assistant</x:v>
      </x:c>
      <x:c r="H27" s="248" t="str">
        <x:f>'Raw Employees'!F27</x:f>
        <x:v>Intern</x:v>
      </x:c>
      <x:c r="I27" s="249" t="n">
        <x:f>'Raw Employees'!G27</x:f>
        <x:v>46186</x:v>
      </x:c>
      <x:c r="J27" s="249" t="n">
        <x:f>IF('Raw Employees'!H27="","",'Raw Employees'!H27)</x:f>
        <x:v>46551</x:v>
      </x:c>
      <x:c r="K27" s="249" t="n">
        <x:f>'Raw Employees'!I27</x:f>
        <x:v>46278</x:v>
      </x:c>
      <x:c r="L27" s="248" t="str">
        <x:f>'Raw Employees'!J27</x:f>
        <x:v>Manager 1</x:v>
      </x:c>
      <x:c r="M27" s="248" t="str">
        <x:f>'Raw Employees'!K27</x:f>
        <x:v>Jakarta</x:v>
      </x:c>
      <x:c r="N27" s="248" t="str">
        <x:f>'Raw Employees'!L27</x:f>
        <x:v>Missing</x:v>
      </x:c>
      <x:c r="O27" s="248" t="str">
        <x:f>'Raw Employees'!M27</x:f>
        <x:v>Received</x:v>
      </x:c>
      <x:c r="P27" s="248" t="str">
        <x:f>'Raw Employees'!N27</x:f>
        <x:v>Received</x:v>
      </x:c>
      <x:c r="Q27" s="248" t="str">
        <x:f>'Raw Employees'!O27</x:f>
        <x:v>Received</x:v>
      </x:c>
      <x:c r="R27" s="248" t="str">
        <x:f>'Raw Employees'!P27</x:f>
        <x:v>Received</x:v>
      </x:c>
      <x:c r="S27" s="248" t="str">
        <x:f>IF(IFERROR(AND(LEN(E27)-LEN(SUBSTITUTE(E27,"@",""))=1,SEARCH("@",E27)&gt;1,ISNUMBER(SEARCH(".",E27,SEARCH("@",E27)+2)),RIGHT(E27,1)&lt;&gt;"."),FALSE),"OK","Invalid Email")</x:f>
        <x:v>OK</x:v>
      </x:c>
      <x:c r="T27" s="248" t="str">
        <x:f>IF(F27="Needs Review","Invalid Department","OK")</x:f>
        <x:v>OK</x:v>
      </x:c>
      <x:c r="U27" s="248" t="str">
        <x:f>IF(OR(AND(H27&lt;&gt;"Permanent",J27=""),AND(J27&lt;&gt;"",J27&lt;I27),AND(H27="Permanent",J27&lt;&gt;"")),"Invalid Contract End","OK")</x:f>
        <x:v>OK</x:v>
      </x:c>
      <x:c r="V27" s="248" t="n">
        <x:f>COUNTIF(N27:R27,"Missing")</x:f>
        <x:v>1</x:v>
      </x:c>
      <x:c r="W27" s="248" t="str">
        <x:f>IF(C27&gt;1,"Duplicate Employee ID","OK")</x:f>
        <x:v>OK</x:v>
      </x:c>
      <x:c r="X27" s="248" t="n">
        <x:f>IF(S27&lt;&gt;"OK",1,0)+IF(T27&lt;&gt;"OK",1,0)+IF(U27&lt;&gt;"OK",1,0)+V27+IF(W27&lt;&gt;"OK",1,0)</x:f>
        <x:v>1</x:v>
      </x:c>
      <x:c r="Y27" s="248" t="str">
        <x:f>IF(OR(S27&lt;&gt;"OK",W27&lt;&gt;"OK"),"High Priority Review",IF(X27&gt;0,"Review","Ready"))</x:f>
        <x:v>Review</x:v>
      </x:c>
      <x:c r="Z27" s="248" t="str">
        <x:f>IF(S27&lt;&gt;"OK","Correct work email using approved source",IF(T27&lt;&gt;"OK","Confirm approved department",IF(U27&lt;&gt;"OK","Verify employment type and contract dates",IF(W27&lt;&gt;"OK","Compare duplicate employee records",IF(V27&gt;0,"Request missing documents by email or task","No action required")))))</x:f>
        <x:v>Request missing documents by email or task</x:v>
      </x:c>
    </x:row>
    <x:row r="28" ht="22" customHeight="1">
      <x:c r="A28" s="248" t="n">
        <x:f>ROW('Raw Employees'!A28)</x:f>
        <x:v>28</x:v>
      </x:c>
      <x:c r="B28" s="248" t="str">
        <x:f>'Raw Employees'!A28</x:f>
        <x:v>EMP-0025</x:v>
      </x:c>
      <x:c r="C28" s="248" t="n">
        <x:f>COUNTIF('Raw Employees'!$A$4:$A$43,B28)</x:f>
        <x:v>1</x:v>
      </x:c>
      <x:c r="D28" s="248" t="str">
        <x:f>'Raw Employees'!B28</x:f>
        <x:v>Employee 25</x:v>
      </x:c>
      <x:c r="E28" s="248" t="str">
        <x:f>'Raw Employees'!C28</x:f>
        <x:v>employee25@northstar.example</x:v>
      </x:c>
      <x:c r="F28" s="248" t="str">
        <x:f>IFERROR(VLOOKUP(UPPER(TRIM('Raw Employees'!D28)),'References'!$A$5:$B$10,2,FALSE),"Needs Review")</x:f>
        <x:v>IT</x:v>
      </x:c>
      <x:c r="G28" s="248" t="str">
        <x:f>'Raw Employees'!E28</x:f>
        <x:v>Coordinator</x:v>
      </x:c>
      <x:c r="H28" s="248" t="str">
        <x:f>'Raw Employees'!F28</x:f>
        <x:v>Permanent</x:v>
      </x:c>
      <x:c r="I28" s="249" t="n">
        <x:f>'Raw Employees'!G28</x:f>
        <x:v>46038</x:v>
      </x:c>
      <x:c r="J28" s="249" t="n">
        <x:f>IF('Raw Employees'!H28="","",'Raw Employees'!H28)</x:f>
        <x:v>45689</x:v>
      </x:c>
      <x:c r="K28" s="249" t="n">
        <x:f>'Raw Employees'!I28</x:f>
        <x:v>46128</x:v>
      </x:c>
      <x:c r="L28" s="248" t="str">
        <x:f>'Raw Employees'!J28</x:f>
        <x:v>Manager 2</x:v>
      </x:c>
      <x:c r="M28" s="248" t="str">
        <x:f>'Raw Employees'!K28</x:f>
        <x:v>Surabaya</x:v>
      </x:c>
      <x:c r="N28" s="248" t="str">
        <x:f>'Raw Employees'!L28</x:f>
        <x:v>Received</x:v>
      </x:c>
      <x:c r="O28" s="248" t="str">
        <x:f>'Raw Employees'!M28</x:f>
        <x:v>Received</x:v>
      </x:c>
      <x:c r="P28" s="248" t="str">
        <x:f>'Raw Employees'!N28</x:f>
        <x:v>Received</x:v>
      </x:c>
      <x:c r="Q28" s="248" t="str">
        <x:f>'Raw Employees'!O28</x:f>
        <x:v>Received</x:v>
      </x:c>
      <x:c r="R28" s="248" t="str">
        <x:f>'Raw Employees'!P28</x:f>
        <x:v>Received</x:v>
      </x:c>
      <x:c r="S28" s="248" t="str">
        <x:f>IF(IFERROR(AND(LEN(E28)-LEN(SUBSTITUTE(E28,"@",""))=1,SEARCH("@",E28)&gt;1,ISNUMBER(SEARCH(".",E28,SEARCH("@",E28)+2)),RIGHT(E28,1)&lt;&gt;"."),FALSE),"OK","Invalid Email")</x:f>
        <x:v>OK</x:v>
      </x:c>
      <x:c r="T28" s="248" t="str">
        <x:f>IF(F28="Needs Review","Invalid Department","OK")</x:f>
        <x:v>OK</x:v>
      </x:c>
      <x:c r="U28" s="248" t="str">
        <x:f>IF(OR(AND(H28&lt;&gt;"Permanent",J28=""),AND(J28&lt;&gt;"",J28&lt;I28),AND(H28="Permanent",J28&lt;&gt;"")),"Invalid Contract End","OK")</x:f>
        <x:v>Invalid Contract End</x:v>
      </x:c>
      <x:c r="V28" s="248" t="n">
        <x:f>COUNTIF(N28:R28,"Missing")</x:f>
        <x:v>0</x:v>
      </x:c>
      <x:c r="W28" s="248" t="str">
        <x:f>IF(C28&gt;1,"Duplicate Employee ID","OK")</x:f>
        <x:v>OK</x:v>
      </x:c>
      <x:c r="X28" s="248" t="n">
        <x:f>IF(S28&lt;&gt;"OK",1,0)+IF(T28&lt;&gt;"OK",1,0)+IF(U28&lt;&gt;"OK",1,0)+V28+IF(W28&lt;&gt;"OK",1,0)</x:f>
        <x:v>1</x:v>
      </x:c>
      <x:c r="Y28" s="248" t="str">
        <x:f>IF(OR(S28&lt;&gt;"OK",W28&lt;&gt;"OK"),"High Priority Review",IF(X28&gt;0,"Review","Ready"))</x:f>
        <x:v>Review</x:v>
      </x:c>
      <x:c r="Z28" s="248" t="str">
        <x:f>IF(S28&lt;&gt;"OK","Correct work email using approved source",IF(T28&lt;&gt;"OK","Confirm approved department",IF(U28&lt;&gt;"OK","Verify employment type and contract dates",IF(W28&lt;&gt;"OK","Compare duplicate employee records",IF(V28&gt;0,"Request missing documents by email or task","No action required")))))</x:f>
        <x:v>Verify employment type and contract dates</x:v>
      </x:c>
    </x:row>
    <x:row r="29" ht="22" customHeight="1">
      <x:c r="A29" s="248" t="n">
        <x:f>ROW('Raw Employees'!A29)</x:f>
        <x:v>29</x:v>
      </x:c>
      <x:c r="B29" s="248" t="str">
        <x:f>'Raw Employees'!A29</x:f>
        <x:v>EMP-0026</x:v>
      </x:c>
      <x:c r="C29" s="248" t="n">
        <x:f>COUNTIF('Raw Employees'!$A$4:$A$43,B29)</x:f>
        <x:v>1</x:v>
      </x:c>
      <x:c r="D29" s="248" t="str">
        <x:f>'Raw Employees'!B29</x:f>
        <x:v>Employee 26</x:v>
      </x:c>
      <x:c r="E29" s="248" t="str">
        <x:f>'Raw Employees'!C29</x:f>
        <x:v>employee26@northstar.example</x:v>
      </x:c>
      <x:c r="F29" s="248" t="str">
        <x:f>IFERROR(VLOOKUP(UPPER(TRIM('Raw Employees'!D29)),'References'!$A$5:$B$10,2,FALSE),"Needs Review")</x:f>
        <x:v>Operations</x:v>
      </x:c>
      <x:c r="G29" s="248" t="str">
        <x:f>'Raw Employees'!E29</x:f>
        <x:v>Analyst</x:v>
      </x:c>
      <x:c r="H29" s="248" t="str">
        <x:f>'Raw Employees'!F29</x:f>
        <x:v>Contract</x:v>
      </x:c>
      <x:c r="I29" s="249" t="n">
        <x:f>'Raw Employees'!G29</x:f>
        <x:v>46072</x:v>
      </x:c>
      <x:c r="J29" s="249" t="n">
        <x:f>IF('Raw Employees'!H29="","",'Raw Employees'!H29)</x:f>
        <x:v>46437</x:v>
      </x:c>
      <x:c r="K29" s="249" t="n">
        <x:f>'Raw Employees'!I29</x:f>
        <x:v>46161</x:v>
      </x:c>
      <x:c r="L29" s="248" t="str">
        <x:f>'Raw Employees'!J29</x:f>
        <x:v>Manager 3</x:v>
      </x:c>
      <x:c r="M29" s="248" t="str">
        <x:f>'Raw Employees'!K29</x:f>
        <x:v>Bandung</x:v>
      </x:c>
      <x:c r="N29" s="248" t="str">
        <x:f>'Raw Employees'!L29</x:f>
        <x:v>Received</x:v>
      </x:c>
      <x:c r="O29" s="248" t="str">
        <x:f>'Raw Employees'!M29</x:f>
        <x:v>Received</x:v>
      </x:c>
      <x:c r="P29" s="248" t="str">
        <x:f>'Raw Employees'!N29</x:f>
        <x:v>Received</x:v>
      </x:c>
      <x:c r="Q29" s="248" t="str">
        <x:f>'Raw Employees'!O29</x:f>
        <x:v>Received</x:v>
      </x:c>
      <x:c r="R29" s="248" t="str">
        <x:f>'Raw Employees'!P29</x:f>
        <x:v>Missing</x:v>
      </x:c>
      <x:c r="S29" s="248" t="str">
        <x:f>IF(IFERROR(AND(LEN(E29)-LEN(SUBSTITUTE(E29,"@",""))=1,SEARCH("@",E29)&gt;1,ISNUMBER(SEARCH(".",E29,SEARCH("@",E29)+2)),RIGHT(E29,1)&lt;&gt;"."),FALSE),"OK","Invalid Email")</x:f>
        <x:v>OK</x:v>
      </x:c>
      <x:c r="T29" s="248" t="str">
        <x:f>IF(F29="Needs Review","Invalid Department","OK")</x:f>
        <x:v>OK</x:v>
      </x:c>
      <x:c r="U29" s="248" t="str">
        <x:f>IF(OR(AND(H29&lt;&gt;"Permanent",J29=""),AND(J29&lt;&gt;"",J29&lt;I29),AND(H29="Permanent",J29&lt;&gt;"")),"Invalid Contract End","OK")</x:f>
        <x:v>OK</x:v>
      </x:c>
      <x:c r="V29" s="248" t="n">
        <x:f>COUNTIF(N29:R29,"Missing")</x:f>
        <x:v>1</x:v>
      </x:c>
      <x:c r="W29" s="248" t="str">
        <x:f>IF(C29&gt;1,"Duplicate Employee ID","OK")</x:f>
        <x:v>OK</x:v>
      </x:c>
      <x:c r="X29" s="248" t="n">
        <x:f>IF(S29&lt;&gt;"OK",1,0)+IF(T29&lt;&gt;"OK",1,0)+IF(U29&lt;&gt;"OK",1,0)+V29+IF(W29&lt;&gt;"OK",1,0)</x:f>
        <x:v>1</x:v>
      </x:c>
      <x:c r="Y29" s="248" t="str">
        <x:f>IF(OR(S29&lt;&gt;"OK",W29&lt;&gt;"OK"),"High Priority Review",IF(X29&gt;0,"Review","Ready"))</x:f>
        <x:v>Review</x:v>
      </x:c>
      <x:c r="Z29" s="248" t="str">
        <x:f>IF(S29&lt;&gt;"OK","Correct work email using approved source",IF(T29&lt;&gt;"OK","Confirm approved department",IF(U29&lt;&gt;"OK","Verify employment type and contract dates",IF(W29&lt;&gt;"OK","Compare duplicate employee records",IF(V29&gt;0,"Request missing documents by email or task","No action required")))))</x:f>
        <x:v>Request missing documents by email or task</x:v>
      </x:c>
    </x:row>
    <x:row r="30" ht="22" customHeight="1">
      <x:c r="A30" s="248" t="n">
        <x:f>ROW('Raw Employees'!A30)</x:f>
        <x:v>30</x:v>
      </x:c>
      <x:c r="B30" s="248" t="str">
        <x:f>'Raw Employees'!A30</x:f>
        <x:v>EMP-0027</x:v>
      </x:c>
      <x:c r="C30" s="248" t="n">
        <x:f>COUNTIF('Raw Employees'!$A$4:$A$43,B30)</x:f>
        <x:v>1</x:v>
      </x:c>
      <x:c r="D30" s="248" t="str">
        <x:f>'Raw Employees'!B30</x:f>
        <x:v>Employee 27</x:v>
      </x:c>
      <x:c r="E30" s="248" t="str">
        <x:f>'Raw Employees'!C30</x:f>
        <x:v>employee27@northstar.example</x:v>
      </x:c>
      <x:c r="F30" s="248" t="str">
        <x:f>IFERROR(VLOOKUP(UPPER(TRIM('Raw Employees'!D30)),'References'!$A$5:$B$10,2,FALSE),"Needs Review")</x:f>
        <x:v>Finance</x:v>
      </x:c>
      <x:c r="G30" s="248" t="str">
        <x:f>'Raw Employees'!E30</x:f>
        <x:v>Administrator</x:v>
      </x:c>
      <x:c r="H30" s="248" t="str">
        <x:f>'Raw Employees'!F30</x:f>
        <x:v>Intern</x:v>
      </x:c>
      <x:c r="I30" s="249" t="n">
        <x:f>'Raw Employees'!G30</x:f>
        <x:v>46083</x:v>
      </x:c>
      <x:c r="J30" s="249" t="n">
        <x:f>IF('Raw Employees'!H30="","",'Raw Employees'!H30)</x:f>
        <x:v>46448</x:v>
      </x:c>
      <x:c r="K30" s="249" t="n">
        <x:f>'Raw Employees'!I30</x:f>
        <x:v>46175</x:v>
      </x:c>
      <x:c r="L30" s="248" t="str">
        <x:f>'Raw Employees'!J30</x:f>
        <x:v>Manager 4</x:v>
      </x:c>
      <x:c r="M30" s="248" t="str">
        <x:f>'Raw Employees'!K30</x:f>
        <x:v>Remote</x:v>
      </x:c>
      <x:c r="N30" s="248" t="str">
        <x:f>'Raw Employees'!L30</x:f>
        <x:v>Received</x:v>
      </x:c>
      <x:c r="O30" s="248" t="str">
        <x:f>'Raw Employees'!M30</x:f>
        <x:v>Missing</x:v>
      </x:c>
      <x:c r="P30" s="248" t="str">
        <x:f>'Raw Employees'!N30</x:f>
        <x:v>Received</x:v>
      </x:c>
      <x:c r="Q30" s="248" t="str">
        <x:f>'Raw Employees'!O30</x:f>
        <x:v>Received</x:v>
      </x:c>
      <x:c r="R30" s="248" t="str">
        <x:f>'Raw Employees'!P30</x:f>
        <x:v>Received</x:v>
      </x:c>
      <x:c r="S30" s="248" t="str">
        <x:f>IF(IFERROR(AND(LEN(E30)-LEN(SUBSTITUTE(E30,"@",""))=1,SEARCH("@",E30)&gt;1,ISNUMBER(SEARCH(".",E30,SEARCH("@",E30)+2)),RIGHT(E30,1)&lt;&gt;"."),FALSE),"OK","Invalid Email")</x:f>
        <x:v>OK</x:v>
      </x:c>
      <x:c r="T30" s="248" t="str">
        <x:f>IF(F30="Needs Review","Invalid Department","OK")</x:f>
        <x:v>OK</x:v>
      </x:c>
      <x:c r="U30" s="248" t="str">
        <x:f>IF(OR(AND(H30&lt;&gt;"Permanent",J30=""),AND(J30&lt;&gt;"",J30&lt;I30),AND(H30="Permanent",J30&lt;&gt;"")),"Invalid Contract End","OK")</x:f>
        <x:v>OK</x:v>
      </x:c>
      <x:c r="V30" s="248" t="n">
        <x:f>COUNTIF(N30:R30,"Missing")</x:f>
        <x:v>1</x:v>
      </x:c>
      <x:c r="W30" s="248" t="str">
        <x:f>IF(C30&gt;1,"Duplicate Employee ID","OK")</x:f>
        <x:v>OK</x:v>
      </x:c>
      <x:c r="X30" s="248" t="n">
        <x:f>IF(S30&lt;&gt;"OK",1,0)+IF(T30&lt;&gt;"OK",1,0)+IF(U30&lt;&gt;"OK",1,0)+V30+IF(W30&lt;&gt;"OK",1,0)</x:f>
        <x:v>1</x:v>
      </x:c>
      <x:c r="Y30" s="248" t="str">
        <x:f>IF(OR(S30&lt;&gt;"OK",W30&lt;&gt;"OK"),"High Priority Review",IF(X30&gt;0,"Review","Ready"))</x:f>
        <x:v>Review</x:v>
      </x:c>
      <x:c r="Z30" s="248" t="str">
        <x:f>IF(S30&lt;&gt;"OK","Correct work email using approved source",IF(T30&lt;&gt;"OK","Confirm approved department",IF(U30&lt;&gt;"OK","Verify employment type and contract dates",IF(W30&lt;&gt;"OK","Compare duplicate employee records",IF(V30&gt;0,"Request missing documents by email or task","No action required")))))</x:f>
        <x:v>Request missing documents by email or task</x:v>
      </x:c>
    </x:row>
    <x:row r="31" ht="22" customHeight="1">
      <x:c r="A31" s="246" t="n">
        <x:f>ROW('Raw Employees'!A31)</x:f>
        <x:v>31</x:v>
      </x:c>
      <x:c r="B31" s="246" t="str">
        <x:f>'Raw Employees'!A31</x:f>
        <x:v>EMP-0028</x:v>
      </x:c>
      <x:c r="C31" s="246" t="n">
        <x:f>COUNTIF('Raw Employees'!$A$4:$A$43,B31)</x:f>
        <x:v>1</x:v>
      </x:c>
      <x:c r="D31" s="246" t="str">
        <x:f>'Raw Employees'!B31</x:f>
        <x:v>Employee 28</x:v>
      </x:c>
      <x:c r="E31" s="246" t="str">
        <x:f>'Raw Employees'!C31</x:f>
        <x:v>employee28@northstar.example</x:v>
      </x:c>
      <x:c r="F31" s="246" t="str">
        <x:f>IFERROR(VLOOKUP(UPPER(TRIM('Raw Employees'!D31)),'References'!$A$5:$B$10,2,FALSE),"Needs Review")</x:f>
        <x:v>HR</x:v>
      </x:c>
      <x:c r="G31" s="246" t="str">
        <x:f>'Raw Employees'!E31</x:f>
        <x:v>Specialist</x:v>
      </x:c>
      <x:c r="H31" s="246" t="str">
        <x:f>'Raw Employees'!F31</x:f>
        <x:v>Permanent</x:v>
      </x:c>
      <x:c r="I31" s="247" t="n">
        <x:f>'Raw Employees'!G31</x:f>
        <x:v>46117</x:v>
      </x:c>
      <x:c r="J31" s="247" t="str">
        <x:f>IF('Raw Employees'!H31="","",'Raw Employees'!H31)</x:f>
      </x:c>
      <x:c r="K31" s="247" t="n">
        <x:f>'Raw Employees'!I31</x:f>
        <x:v>46208</x:v>
      </x:c>
      <x:c r="L31" s="246" t="str">
        <x:f>'Raw Employees'!J31</x:f>
        <x:v>Manager 5</x:v>
      </x:c>
      <x:c r="M31" s="246" t="str">
        <x:f>'Raw Employees'!K31</x:f>
        <x:v>Jakarta</x:v>
      </x:c>
      <x:c r="N31" s="246" t="str">
        <x:f>'Raw Employees'!L31</x:f>
        <x:v>Received</x:v>
      </x:c>
      <x:c r="O31" s="246" t="str">
        <x:f>'Raw Employees'!M31</x:f>
        <x:v>Received</x:v>
      </x:c>
      <x:c r="P31" s="246" t="str">
        <x:f>'Raw Employees'!N31</x:f>
        <x:v>Received</x:v>
      </x:c>
      <x:c r="Q31" s="246" t="str">
        <x:f>'Raw Employees'!O31</x:f>
        <x:v>Received</x:v>
      </x:c>
      <x:c r="R31" s="246" t="str">
        <x:f>'Raw Employees'!P31</x:f>
        <x:v>Received</x:v>
      </x:c>
      <x:c r="S31" s="246" t="str">
        <x:f>IF(IFERROR(AND(LEN(E31)-LEN(SUBSTITUTE(E31,"@",""))=1,SEARCH("@",E31)&gt;1,ISNUMBER(SEARCH(".",E31,SEARCH("@",E31)+2)),RIGHT(E31,1)&lt;&gt;"."),FALSE),"OK","Invalid Email")</x:f>
        <x:v>OK</x:v>
      </x:c>
      <x:c r="T31" s="246" t="str">
        <x:f>IF(F31="Needs Review","Invalid Department","OK")</x:f>
        <x:v>OK</x:v>
      </x:c>
      <x:c r="U31" s="246" t="str">
        <x:f>IF(OR(AND(H31&lt;&gt;"Permanent",J31=""),AND(J31&lt;&gt;"",J31&lt;I31),AND(H31="Permanent",J31&lt;&gt;"")),"Invalid Contract End","OK")</x:f>
        <x:v>OK</x:v>
      </x:c>
      <x:c r="V31" s="246" t="n">
        <x:f>COUNTIF(N31:R31,"Missing")</x:f>
        <x:v>0</x:v>
      </x:c>
      <x:c r="W31" s="246" t="str">
        <x:f>IF(C31&gt;1,"Duplicate Employee ID","OK")</x:f>
        <x:v>OK</x:v>
      </x:c>
      <x:c r="X31" s="246" t="n">
        <x:f>IF(S31&lt;&gt;"OK",1,0)+IF(T31&lt;&gt;"OK",1,0)+IF(U31&lt;&gt;"OK",1,0)+V31+IF(W31&lt;&gt;"OK",1,0)</x:f>
        <x:v>0</x:v>
      </x:c>
      <x:c r="Y31" s="246" t="str">
        <x:f>IF(OR(S31&lt;&gt;"OK",W31&lt;&gt;"OK"),"High Priority Review",IF(X31&gt;0,"Review","Ready"))</x:f>
        <x:v>Ready</x:v>
      </x:c>
      <x:c r="Z31" s="246" t="str">
        <x:f>IF(S31&lt;&gt;"OK","Correct work email using approved source",IF(T31&lt;&gt;"OK","Confirm approved department",IF(U31&lt;&gt;"OK","Verify employment type and contract dates",IF(W31&lt;&gt;"OK","Compare duplicate employee records",IF(V31&gt;0,"Request missing documents by email or task","No action required")))))</x:f>
        <x:v>No action required</x:v>
      </x:c>
    </x:row>
    <x:row r="32" ht="22" customHeight="1">
      <x:c r="A32" s="246" t="n">
        <x:f>ROW('Raw Employees'!A32)</x:f>
        <x:v>32</x:v>
      </x:c>
      <x:c r="B32" s="246" t="str">
        <x:f>'Raw Employees'!A32</x:f>
        <x:v>EMP-0029</x:v>
      </x:c>
      <x:c r="C32" s="246" t="n">
        <x:f>COUNTIF('Raw Employees'!$A$4:$A$43,B32)</x:f>
        <x:v>1</x:v>
      </x:c>
      <x:c r="D32" s="246" t="str">
        <x:f>'Raw Employees'!B32</x:f>
        <x:v>Employee 29</x:v>
      </x:c>
      <x:c r="E32" s="246" t="str">
        <x:f>'Raw Employees'!C32</x:f>
        <x:v>employee29@northstar.example</x:v>
      </x:c>
      <x:c r="F32" s="246" t="str">
        <x:f>IFERROR(VLOOKUP(UPPER(TRIM('Raw Employees'!D32)),'References'!$A$5:$B$10,2,FALSE),"Needs Review")</x:f>
        <x:v>Sales</x:v>
      </x:c>
      <x:c r="G32" s="246" t="str">
        <x:f>'Raw Employees'!E32</x:f>
        <x:v>Assistant</x:v>
      </x:c>
      <x:c r="H32" s="246" t="str">
        <x:f>'Raw Employees'!F32</x:f>
        <x:v>Contract</x:v>
      </x:c>
      <x:c r="I32" s="247" t="n">
        <x:f>'Raw Employees'!G32</x:f>
        <x:v>46150</x:v>
      </x:c>
      <x:c r="J32" s="247" t="n">
        <x:f>IF('Raw Employees'!H32="","",'Raw Employees'!H32)</x:f>
        <x:v>46515</x:v>
      </x:c>
      <x:c r="K32" s="247" t="n">
        <x:f>'Raw Employees'!I32</x:f>
        <x:v>46242</x:v>
      </x:c>
      <x:c r="L32" s="246" t="str">
        <x:f>'Raw Employees'!J32</x:f>
        <x:v>Manager 6</x:v>
      </x:c>
      <x:c r="M32" s="246" t="str">
        <x:f>'Raw Employees'!K32</x:f>
        <x:v>Surabaya</x:v>
      </x:c>
      <x:c r="N32" s="246" t="str">
        <x:f>'Raw Employees'!L32</x:f>
        <x:v>Received</x:v>
      </x:c>
      <x:c r="O32" s="246" t="str">
        <x:f>'Raw Employees'!M32</x:f>
        <x:v>Received</x:v>
      </x:c>
      <x:c r="P32" s="246" t="str">
        <x:f>'Raw Employees'!N32</x:f>
        <x:v>Received</x:v>
      </x:c>
      <x:c r="Q32" s="246" t="str">
        <x:f>'Raw Employees'!O32</x:f>
        <x:v>Received</x:v>
      </x:c>
      <x:c r="R32" s="246" t="str">
        <x:f>'Raw Employees'!P32</x:f>
        <x:v>Received</x:v>
      </x:c>
      <x:c r="S32" s="246" t="str">
        <x:f>IF(IFERROR(AND(LEN(E32)-LEN(SUBSTITUTE(E32,"@",""))=1,SEARCH("@",E32)&gt;1,ISNUMBER(SEARCH(".",E32,SEARCH("@",E32)+2)),RIGHT(E32,1)&lt;&gt;"."),FALSE),"OK","Invalid Email")</x:f>
        <x:v>OK</x:v>
      </x:c>
      <x:c r="T32" s="246" t="str">
        <x:f>IF(F32="Needs Review","Invalid Department","OK")</x:f>
        <x:v>OK</x:v>
      </x:c>
      <x:c r="U32" s="246" t="str">
        <x:f>IF(OR(AND(H32&lt;&gt;"Permanent",J32=""),AND(J32&lt;&gt;"",J32&lt;I32),AND(H32="Permanent",J32&lt;&gt;"")),"Invalid Contract End","OK")</x:f>
        <x:v>OK</x:v>
      </x:c>
      <x:c r="V32" s="246" t="n">
        <x:f>COUNTIF(N32:R32,"Missing")</x:f>
        <x:v>0</x:v>
      </x:c>
      <x:c r="W32" s="246" t="str">
        <x:f>IF(C32&gt;1,"Duplicate Employee ID","OK")</x:f>
        <x:v>OK</x:v>
      </x:c>
      <x:c r="X32" s="246" t="n">
        <x:f>IF(S32&lt;&gt;"OK",1,0)+IF(T32&lt;&gt;"OK",1,0)+IF(U32&lt;&gt;"OK",1,0)+V32+IF(W32&lt;&gt;"OK",1,0)</x:f>
        <x:v>0</x:v>
      </x:c>
      <x:c r="Y32" s="246" t="str">
        <x:f>IF(OR(S32&lt;&gt;"OK",W32&lt;&gt;"OK"),"High Priority Review",IF(X32&gt;0,"Review","Ready"))</x:f>
        <x:v>Ready</x:v>
      </x:c>
      <x:c r="Z32" s="246" t="str">
        <x:f>IF(S32&lt;&gt;"OK","Correct work email using approved source",IF(T32&lt;&gt;"OK","Confirm approved department",IF(U32&lt;&gt;"OK","Verify employment type and contract dates",IF(W32&lt;&gt;"OK","Compare duplicate employee records",IF(V32&gt;0,"Request missing documents by email or task","No action required")))))</x:f>
        <x:v>No action required</x:v>
      </x:c>
    </x:row>
    <x:row r="33" ht="22" customHeight="1">
      <x:c r="A33" s="248" t="n">
        <x:f>ROW('Raw Employees'!A33)</x:f>
        <x:v>33</x:v>
      </x:c>
      <x:c r="B33" s="248" t="str">
        <x:f>'Raw Employees'!A33</x:f>
        <x:v>EMP-0030</x:v>
      </x:c>
      <x:c r="C33" s="248" t="n">
        <x:f>COUNTIF('Raw Employees'!$A$4:$A$43,B33)</x:f>
        <x:v>1</x:v>
      </x:c>
      <x:c r="D33" s="248" t="str">
        <x:f>'Raw Employees'!B33</x:f>
        <x:v>Employee 30</x:v>
      </x:c>
      <x:c r="E33" s="248" t="str">
        <x:f>'Raw Employees'!C33</x:f>
        <x:v>employee30@northstar.example</x:v>
      </x:c>
      <x:c r="F33" s="248" t="str">
        <x:f>IFERROR(VLOOKUP(UPPER(TRIM('Raw Employees'!D33)),'References'!$A$5:$B$10,2,FALSE),"Needs Review")</x:f>
        <x:v>IT</x:v>
      </x:c>
      <x:c r="G33" s="248" t="str">
        <x:f>'Raw Employees'!E33</x:f>
        <x:v>Coordinator</x:v>
      </x:c>
      <x:c r="H33" s="248" t="str">
        <x:f>'Raw Employees'!F33</x:f>
        <x:v>Intern</x:v>
      </x:c>
      <x:c r="I33" s="249" t="n">
        <x:f>'Raw Employees'!G33</x:f>
        <x:v>46184</x:v>
      </x:c>
      <x:c r="J33" s="249" t="n">
        <x:f>IF('Raw Employees'!H33="","",'Raw Employees'!H33)</x:f>
        <x:v>46549</x:v>
      </x:c>
      <x:c r="K33" s="249" t="n">
        <x:f>'Raw Employees'!I33</x:f>
        <x:v>46276</x:v>
      </x:c>
      <x:c r="L33" s="248" t="str">
        <x:f>'Raw Employees'!J33</x:f>
        <x:v>Manager 1</x:v>
      </x:c>
      <x:c r="M33" s="248" t="str">
        <x:f>'Raw Employees'!K33</x:f>
        <x:v>Bandung</x:v>
      </x:c>
      <x:c r="N33" s="248" t="str">
        <x:f>'Raw Employees'!L33</x:f>
        <x:v>Received</x:v>
      </x:c>
      <x:c r="O33" s="248" t="str">
        <x:f>'Raw Employees'!M33</x:f>
        <x:v>Received</x:v>
      </x:c>
      <x:c r="P33" s="248" t="str">
        <x:f>'Raw Employees'!N33</x:f>
        <x:v>Missing</x:v>
      </x:c>
      <x:c r="Q33" s="248" t="str">
        <x:f>'Raw Employees'!O33</x:f>
        <x:v>Received</x:v>
      </x:c>
      <x:c r="R33" s="248" t="str">
        <x:f>'Raw Employees'!P33</x:f>
        <x:v>Received</x:v>
      </x:c>
      <x:c r="S33" s="248" t="str">
        <x:f>IF(IFERROR(AND(LEN(E33)-LEN(SUBSTITUTE(E33,"@",""))=1,SEARCH("@",E33)&gt;1,ISNUMBER(SEARCH(".",E33,SEARCH("@",E33)+2)),RIGHT(E33,1)&lt;&gt;"."),FALSE),"OK","Invalid Email")</x:f>
        <x:v>OK</x:v>
      </x:c>
      <x:c r="T33" s="248" t="str">
        <x:f>IF(F33="Needs Review","Invalid Department","OK")</x:f>
        <x:v>OK</x:v>
      </x:c>
      <x:c r="U33" s="248" t="str">
        <x:f>IF(OR(AND(H33&lt;&gt;"Permanent",J33=""),AND(J33&lt;&gt;"",J33&lt;I33),AND(H33="Permanent",J33&lt;&gt;"")),"Invalid Contract End","OK")</x:f>
        <x:v>OK</x:v>
      </x:c>
      <x:c r="V33" s="248" t="n">
        <x:f>COUNTIF(N33:R33,"Missing")</x:f>
        <x:v>1</x:v>
      </x:c>
      <x:c r="W33" s="248" t="str">
        <x:f>IF(C33&gt;1,"Duplicate Employee ID","OK")</x:f>
        <x:v>OK</x:v>
      </x:c>
      <x:c r="X33" s="248" t="n">
        <x:f>IF(S33&lt;&gt;"OK",1,0)+IF(T33&lt;&gt;"OK",1,0)+IF(U33&lt;&gt;"OK",1,0)+V33+IF(W33&lt;&gt;"OK",1,0)</x:f>
        <x:v>1</x:v>
      </x:c>
      <x:c r="Y33" s="248" t="str">
        <x:f>IF(OR(S33&lt;&gt;"OK",W33&lt;&gt;"OK"),"High Priority Review",IF(X33&gt;0,"Review","Ready"))</x:f>
        <x:v>Review</x:v>
      </x:c>
      <x:c r="Z33" s="248" t="str">
        <x:f>IF(S33&lt;&gt;"OK","Correct work email using approved source",IF(T33&lt;&gt;"OK","Confirm approved department",IF(U33&lt;&gt;"OK","Verify employment type and contract dates",IF(W33&lt;&gt;"OK","Compare duplicate employee records",IF(V33&gt;0,"Request missing documents by email or task","No action required")))))</x:f>
        <x:v>Request missing documents by email or task</x:v>
      </x:c>
    </x:row>
    <x:row r="34" ht="22" customHeight="1">
      <x:c r="A34" s="250" t="n">
        <x:f>ROW('Raw Employees'!A34)</x:f>
        <x:v>34</x:v>
      </x:c>
      <x:c r="B34" s="250" t="str">
        <x:f>'Raw Employees'!A34</x:f>
        <x:v>EMP-0031</x:v>
      </x:c>
      <x:c r="C34" s="250" t="n">
        <x:f>COUNTIF('Raw Employees'!$A$4:$A$43,B34)</x:f>
        <x:v>2</x:v>
      </x:c>
      <x:c r="D34" s="250" t="str">
        <x:f>'Raw Employees'!B34</x:f>
        <x:v>Employee 31</x:v>
      </x:c>
      <x:c r="E34" s="250" t="str">
        <x:f>'Raw Employees'!C34</x:f>
        <x:v>employee31@northstar.example</x:v>
      </x:c>
      <x:c r="F34" s="250" t="str">
        <x:f>IFERROR(VLOOKUP(UPPER(TRIM('Raw Employees'!D34)),'References'!$A$5:$B$10,2,FALSE),"Needs Review")</x:f>
        <x:v>Operations</x:v>
      </x:c>
      <x:c r="G34" s="250" t="str">
        <x:f>'Raw Employees'!E34</x:f>
        <x:v>Analyst</x:v>
      </x:c>
      <x:c r="H34" s="250" t="str">
        <x:f>'Raw Employees'!F34</x:f>
        <x:v>Permanent</x:v>
      </x:c>
      <x:c r="I34" s="251" t="n">
        <x:f>'Raw Employees'!G34</x:f>
        <x:v>46036</x:v>
      </x:c>
      <x:c r="J34" s="251" t="str">
        <x:f>IF('Raw Employees'!H34="","",'Raw Employees'!H34)</x:f>
      </x:c>
      <x:c r="K34" s="251" t="n">
        <x:f>'Raw Employees'!I34</x:f>
        <x:v>46126</x:v>
      </x:c>
      <x:c r="L34" s="250" t="str">
        <x:f>'Raw Employees'!J34</x:f>
        <x:v>Manager 2</x:v>
      </x:c>
      <x:c r="M34" s="250" t="str">
        <x:f>'Raw Employees'!K34</x:f>
        <x:v>Remote</x:v>
      </x:c>
      <x:c r="N34" s="250" t="str">
        <x:f>'Raw Employees'!L34</x:f>
        <x:v>Received</x:v>
      </x:c>
      <x:c r="O34" s="250" t="str">
        <x:f>'Raw Employees'!M34</x:f>
        <x:v>Received</x:v>
      </x:c>
      <x:c r="P34" s="250" t="str">
        <x:f>'Raw Employees'!N34</x:f>
        <x:v>Received</x:v>
      </x:c>
      <x:c r="Q34" s="250" t="str">
        <x:f>'Raw Employees'!O34</x:f>
        <x:v>Received</x:v>
      </x:c>
      <x:c r="R34" s="250" t="str">
        <x:f>'Raw Employees'!P34</x:f>
        <x:v>Received</x:v>
      </x:c>
      <x:c r="S34" s="250" t="str">
        <x:f>IF(IFERROR(AND(LEN(E34)-LEN(SUBSTITUTE(E34,"@",""))=1,SEARCH("@",E34)&gt;1,ISNUMBER(SEARCH(".",E34,SEARCH("@",E34)+2)),RIGHT(E34,1)&lt;&gt;"."),FALSE),"OK","Invalid Email")</x:f>
        <x:v>OK</x:v>
      </x:c>
      <x:c r="T34" s="250" t="str">
        <x:f>IF(F34="Needs Review","Invalid Department","OK")</x:f>
        <x:v>OK</x:v>
      </x:c>
      <x:c r="U34" s="250" t="str">
        <x:f>IF(OR(AND(H34&lt;&gt;"Permanent",J34=""),AND(J34&lt;&gt;"",J34&lt;I34),AND(H34="Permanent",J34&lt;&gt;"")),"Invalid Contract End","OK")</x:f>
        <x:v>OK</x:v>
      </x:c>
      <x:c r="V34" s="250" t="n">
        <x:f>COUNTIF(N34:R34,"Missing")</x:f>
        <x:v>0</x:v>
      </x:c>
      <x:c r="W34" s="250" t="str">
        <x:f>IF(C34&gt;1,"Duplicate Employee ID","OK")</x:f>
        <x:v>Duplicate Employee ID</x:v>
      </x:c>
      <x:c r="X34" s="250" t="n">
        <x:f>IF(S34&lt;&gt;"OK",1,0)+IF(T34&lt;&gt;"OK",1,0)+IF(U34&lt;&gt;"OK",1,0)+V34+IF(W34&lt;&gt;"OK",1,0)</x:f>
        <x:v>1</x:v>
      </x:c>
      <x:c r="Y34" s="250" t="str">
        <x:f>IF(OR(S34&lt;&gt;"OK",W34&lt;&gt;"OK"),"High Priority Review",IF(X34&gt;0,"Review","Ready"))</x:f>
        <x:v>High Priority Review</x:v>
      </x:c>
      <x:c r="Z34" s="250" t="str">
        <x:f>IF(S34&lt;&gt;"OK","Correct work email using approved source",IF(T34&lt;&gt;"OK","Confirm approved department",IF(U34&lt;&gt;"OK","Verify employment type and contract dates",IF(W34&lt;&gt;"OK","Compare duplicate employee records",IF(V34&gt;0,"Request missing documents by email or task","No action required")))))</x:f>
        <x:v>Compare duplicate employee records</x:v>
      </x:c>
    </x:row>
    <x:row r="35" ht="22" customHeight="1">
      <x:c r="A35" s="250" t="n">
        <x:f>ROW('Raw Employees'!A35)</x:f>
        <x:v>35</x:v>
      </x:c>
      <x:c r="B35" s="250" t="str">
        <x:f>'Raw Employees'!A35</x:f>
        <x:v>EMP-0031</x:v>
      </x:c>
      <x:c r="C35" s="250" t="n">
        <x:f>COUNTIF('Raw Employees'!$A$4:$A$43,B35)</x:f>
        <x:v>2</x:v>
      </x:c>
      <x:c r="D35" s="250" t="str">
        <x:f>'Raw Employees'!B35</x:f>
        <x:v>Employee 32</x:v>
      </x:c>
      <x:c r="E35" s="250" t="str">
        <x:f>'Raw Employees'!C35</x:f>
        <x:v>employee32@northstar.example</x:v>
      </x:c>
      <x:c r="F35" s="250" t="str">
        <x:f>IFERROR(VLOOKUP(UPPER(TRIM('Raw Employees'!D35)),'References'!$A$5:$B$10,2,FALSE),"Needs Review")</x:f>
        <x:v>Finance</x:v>
      </x:c>
      <x:c r="G35" s="250" t="str">
        <x:f>'Raw Employees'!E35</x:f>
        <x:v>Administrator</x:v>
      </x:c>
      <x:c r="H35" s="250" t="str">
        <x:f>'Raw Employees'!F35</x:f>
        <x:v>Contract</x:v>
      </x:c>
      <x:c r="I35" s="251" t="n">
        <x:f>'Raw Employees'!G35</x:f>
        <x:v>46070</x:v>
      </x:c>
      <x:c r="J35" s="251" t="n">
        <x:f>IF('Raw Employees'!H35="","",'Raw Employees'!H35)</x:f>
        <x:v>46435</x:v>
      </x:c>
      <x:c r="K35" s="251" t="n">
        <x:f>'Raw Employees'!I35</x:f>
        <x:v>46159</x:v>
      </x:c>
      <x:c r="L35" s="250" t="str">
        <x:f>'Raw Employees'!J35</x:f>
        <x:v>Manager 3</x:v>
      </x:c>
      <x:c r="M35" s="250" t="str">
        <x:f>'Raw Employees'!K35</x:f>
        <x:v>Jakarta</x:v>
      </x:c>
      <x:c r="N35" s="250" t="str">
        <x:f>'Raw Employees'!L35</x:f>
        <x:v>Missing</x:v>
      </x:c>
      <x:c r="O35" s="250" t="str">
        <x:f>'Raw Employees'!M35</x:f>
        <x:v>Received</x:v>
      </x:c>
      <x:c r="P35" s="250" t="str">
        <x:f>'Raw Employees'!N35</x:f>
        <x:v>Received</x:v>
      </x:c>
      <x:c r="Q35" s="250" t="str">
        <x:f>'Raw Employees'!O35</x:f>
        <x:v>Received</x:v>
      </x:c>
      <x:c r="R35" s="250" t="str">
        <x:f>'Raw Employees'!P35</x:f>
        <x:v>Received</x:v>
      </x:c>
      <x:c r="S35" s="250" t="str">
        <x:f>IF(IFERROR(AND(LEN(E35)-LEN(SUBSTITUTE(E35,"@",""))=1,SEARCH("@",E35)&gt;1,ISNUMBER(SEARCH(".",E35,SEARCH("@",E35)+2)),RIGHT(E35,1)&lt;&gt;"."),FALSE),"OK","Invalid Email")</x:f>
        <x:v>OK</x:v>
      </x:c>
      <x:c r="T35" s="250" t="str">
        <x:f>IF(F35="Needs Review","Invalid Department","OK")</x:f>
        <x:v>OK</x:v>
      </x:c>
      <x:c r="U35" s="250" t="str">
        <x:f>IF(OR(AND(H35&lt;&gt;"Permanent",J35=""),AND(J35&lt;&gt;"",J35&lt;I35),AND(H35="Permanent",J35&lt;&gt;"")),"Invalid Contract End","OK")</x:f>
        <x:v>OK</x:v>
      </x:c>
      <x:c r="V35" s="250" t="n">
        <x:f>COUNTIF(N35:R35,"Missing")</x:f>
        <x:v>1</x:v>
      </x:c>
      <x:c r="W35" s="250" t="str">
        <x:f>IF(C35&gt;1,"Duplicate Employee ID","OK")</x:f>
        <x:v>Duplicate Employee ID</x:v>
      </x:c>
      <x:c r="X35" s="250" t="n">
        <x:f>IF(S35&lt;&gt;"OK",1,0)+IF(T35&lt;&gt;"OK",1,0)+IF(U35&lt;&gt;"OK",1,0)+V35+IF(W35&lt;&gt;"OK",1,0)</x:f>
        <x:v>2</x:v>
      </x:c>
      <x:c r="Y35" s="250" t="str">
        <x:f>IF(OR(S35&lt;&gt;"OK",W35&lt;&gt;"OK"),"High Priority Review",IF(X35&gt;0,"Review","Ready"))</x:f>
        <x:v>High Priority Review</x:v>
      </x:c>
      <x:c r="Z35" s="250" t="str">
        <x:f>IF(S35&lt;&gt;"OK","Correct work email using approved source",IF(T35&lt;&gt;"OK","Confirm approved department",IF(U35&lt;&gt;"OK","Verify employment type and contract dates",IF(W35&lt;&gt;"OK","Compare duplicate employee records",IF(V35&gt;0,"Request missing documents by email or task","No action required")))))</x:f>
        <x:v>Compare duplicate employee records</x:v>
      </x:c>
    </x:row>
    <x:row r="36" ht="22" customHeight="1">
      <x:c r="A36" s="248" t="n">
        <x:f>ROW('Raw Employees'!A36)</x:f>
        <x:v>36</x:v>
      </x:c>
      <x:c r="B36" s="248" t="str">
        <x:f>'Raw Employees'!A36</x:f>
        <x:v>EMP-0033</x:v>
      </x:c>
      <x:c r="C36" s="248" t="n">
        <x:f>COUNTIF('Raw Employees'!$A$4:$A$43,B36)</x:f>
        <x:v>1</x:v>
      </x:c>
      <x:c r="D36" s="248" t="str">
        <x:f>'Raw Employees'!B36</x:f>
        <x:v>Employee 33</x:v>
      </x:c>
      <x:c r="E36" s="248" t="str">
        <x:f>'Raw Employees'!C36</x:f>
        <x:v>employee33@northstar.example</x:v>
      </x:c>
      <x:c r="F36" s="248" t="str">
        <x:f>IFERROR(VLOOKUP(UPPER(TRIM('Raw Employees'!D36)),'References'!$A$5:$B$10,2,FALSE),"Needs Review")</x:f>
        <x:v>HR</x:v>
      </x:c>
      <x:c r="G36" s="248" t="str">
        <x:f>'Raw Employees'!E36</x:f>
        <x:v>Specialist</x:v>
      </x:c>
      <x:c r="H36" s="248" t="str">
        <x:f>'Raw Employees'!F36</x:f>
        <x:v>Intern</x:v>
      </x:c>
      <x:c r="I36" s="249" t="n">
        <x:f>'Raw Employees'!G36</x:f>
        <x:v>46101</x:v>
      </x:c>
      <x:c r="J36" s="249" t="n">
        <x:f>IF('Raw Employees'!H36="","",'Raw Employees'!H36)</x:f>
        <x:v>46466</x:v>
      </x:c>
      <x:c r="K36" s="249" t="n">
        <x:f>'Raw Employees'!I36</x:f>
        <x:v>46193</x:v>
      </x:c>
      <x:c r="L36" s="248" t="str">
        <x:f>'Raw Employees'!J36</x:f>
        <x:v>Manager 4</x:v>
      </x:c>
      <x:c r="M36" s="248" t="str">
        <x:f>'Raw Employees'!K36</x:f>
        <x:v>Surabaya</x:v>
      </x:c>
      <x:c r="N36" s="248" t="str">
        <x:f>'Raw Employees'!L36</x:f>
        <x:v>Received</x:v>
      </x:c>
      <x:c r="O36" s="248" t="str">
        <x:f>'Raw Employees'!M36</x:f>
        <x:v>Received</x:v>
      </x:c>
      <x:c r="P36" s="248" t="str">
        <x:f>'Raw Employees'!N36</x:f>
        <x:v>Received</x:v>
      </x:c>
      <x:c r="Q36" s="248" t="str">
        <x:f>'Raw Employees'!O36</x:f>
        <x:v>Missing</x:v>
      </x:c>
      <x:c r="R36" s="248" t="str">
        <x:f>'Raw Employees'!P36</x:f>
        <x:v>Received</x:v>
      </x:c>
      <x:c r="S36" s="248" t="str">
        <x:f>IF(IFERROR(AND(LEN(E36)-LEN(SUBSTITUTE(E36,"@",""))=1,SEARCH("@",E36)&gt;1,ISNUMBER(SEARCH(".",E36,SEARCH("@",E36)+2)),RIGHT(E36,1)&lt;&gt;"."),FALSE),"OK","Invalid Email")</x:f>
        <x:v>OK</x:v>
      </x:c>
      <x:c r="T36" s="248" t="str">
        <x:f>IF(F36="Needs Review","Invalid Department","OK")</x:f>
        <x:v>OK</x:v>
      </x:c>
      <x:c r="U36" s="248" t="str">
        <x:f>IF(OR(AND(H36&lt;&gt;"Permanent",J36=""),AND(J36&lt;&gt;"",J36&lt;I36),AND(H36="Permanent",J36&lt;&gt;"")),"Invalid Contract End","OK")</x:f>
        <x:v>OK</x:v>
      </x:c>
      <x:c r="V36" s="248" t="n">
        <x:f>COUNTIF(N36:R36,"Missing")</x:f>
        <x:v>1</x:v>
      </x:c>
      <x:c r="W36" s="248" t="str">
        <x:f>IF(C36&gt;1,"Duplicate Employee ID","OK")</x:f>
        <x:v>OK</x:v>
      </x:c>
      <x:c r="X36" s="248" t="n">
        <x:f>IF(S36&lt;&gt;"OK",1,0)+IF(T36&lt;&gt;"OK",1,0)+IF(U36&lt;&gt;"OK",1,0)+V36+IF(W36&lt;&gt;"OK",1,0)</x:f>
        <x:v>1</x:v>
      </x:c>
      <x:c r="Y36" s="248" t="str">
        <x:f>IF(OR(S36&lt;&gt;"OK",W36&lt;&gt;"OK"),"High Priority Review",IF(X36&gt;0,"Review","Ready"))</x:f>
        <x:v>Review</x:v>
      </x:c>
      <x:c r="Z36" s="248" t="str">
        <x:f>IF(S36&lt;&gt;"OK","Correct work email using approved source",IF(T36&lt;&gt;"OK","Confirm approved department",IF(U36&lt;&gt;"OK","Verify employment type and contract dates",IF(W36&lt;&gt;"OK","Compare duplicate employee records",IF(V36&gt;0,"Request missing documents by email or task","No action required")))))</x:f>
        <x:v>Request missing documents by email or task</x:v>
      </x:c>
    </x:row>
    <x:row r="37" ht="22" customHeight="1">
      <x:c r="A37" s="246" t="n">
        <x:f>ROW('Raw Employees'!A37)</x:f>
        <x:v>37</x:v>
      </x:c>
      <x:c r="B37" s="246" t="str">
        <x:f>'Raw Employees'!A37</x:f>
        <x:v>EMP-0034</x:v>
      </x:c>
      <x:c r="C37" s="246" t="n">
        <x:f>COUNTIF('Raw Employees'!$A$4:$A$43,B37)</x:f>
        <x:v>1</x:v>
      </x:c>
      <x:c r="D37" s="246" t="str">
        <x:f>'Raw Employees'!B37</x:f>
        <x:v>Employee 34</x:v>
      </x:c>
      <x:c r="E37" s="246" t="str">
        <x:f>'Raw Employees'!C37</x:f>
        <x:v>employee34@northstar.example</x:v>
      </x:c>
      <x:c r="F37" s="246" t="str">
        <x:f>IFERROR(VLOOKUP(UPPER(TRIM('Raw Employees'!D37)),'References'!$A$5:$B$10,2,FALSE),"Needs Review")</x:f>
        <x:v>Sales</x:v>
      </x:c>
      <x:c r="G37" s="246" t="str">
        <x:f>'Raw Employees'!E37</x:f>
        <x:v>Assistant</x:v>
      </x:c>
      <x:c r="H37" s="246" t="str">
        <x:f>'Raw Employees'!F37</x:f>
        <x:v>Permanent</x:v>
      </x:c>
      <x:c r="I37" s="247" t="n">
        <x:f>'Raw Employees'!G37</x:f>
        <x:v>46115</x:v>
      </x:c>
      <x:c r="J37" s="247" t="str">
        <x:f>IF('Raw Employees'!H37="","",'Raw Employees'!H37)</x:f>
      </x:c>
      <x:c r="K37" s="247" t="n">
        <x:f>'Raw Employees'!I37</x:f>
        <x:v>46206</x:v>
      </x:c>
      <x:c r="L37" s="246" t="str">
        <x:f>'Raw Employees'!J37</x:f>
        <x:v>Manager 5</x:v>
      </x:c>
      <x:c r="M37" s="246" t="str">
        <x:f>'Raw Employees'!K37</x:f>
        <x:v>Bandung</x:v>
      </x:c>
      <x:c r="N37" s="246" t="str">
        <x:f>'Raw Employees'!L37</x:f>
        <x:v>Received</x:v>
      </x:c>
      <x:c r="O37" s="246" t="str">
        <x:f>'Raw Employees'!M37</x:f>
        <x:v>Received</x:v>
      </x:c>
      <x:c r="P37" s="246" t="str">
        <x:f>'Raw Employees'!N37</x:f>
        <x:v>Received</x:v>
      </x:c>
      <x:c r="Q37" s="246" t="str">
        <x:f>'Raw Employees'!O37</x:f>
        <x:v>Received</x:v>
      </x:c>
      <x:c r="R37" s="246" t="str">
        <x:f>'Raw Employees'!P37</x:f>
        <x:v>Received</x:v>
      </x:c>
      <x:c r="S37" s="246" t="str">
        <x:f>IF(IFERROR(AND(LEN(E37)-LEN(SUBSTITUTE(E37,"@",""))=1,SEARCH("@",E37)&gt;1,ISNUMBER(SEARCH(".",E37,SEARCH("@",E37)+2)),RIGHT(E37,1)&lt;&gt;"."),FALSE),"OK","Invalid Email")</x:f>
        <x:v>OK</x:v>
      </x:c>
      <x:c r="T37" s="246" t="str">
        <x:f>IF(F37="Needs Review","Invalid Department","OK")</x:f>
        <x:v>OK</x:v>
      </x:c>
      <x:c r="U37" s="246" t="str">
        <x:f>IF(OR(AND(H37&lt;&gt;"Permanent",J37=""),AND(J37&lt;&gt;"",J37&lt;I37),AND(H37="Permanent",J37&lt;&gt;"")),"Invalid Contract End","OK")</x:f>
        <x:v>OK</x:v>
      </x:c>
      <x:c r="V37" s="246" t="n">
        <x:f>COUNTIF(N37:R37,"Missing")</x:f>
        <x:v>0</x:v>
      </x:c>
      <x:c r="W37" s="246" t="str">
        <x:f>IF(C37&gt;1,"Duplicate Employee ID","OK")</x:f>
        <x:v>OK</x:v>
      </x:c>
      <x:c r="X37" s="246" t="n">
        <x:f>IF(S37&lt;&gt;"OK",1,0)+IF(T37&lt;&gt;"OK",1,0)+IF(U37&lt;&gt;"OK",1,0)+V37+IF(W37&lt;&gt;"OK",1,0)</x:f>
        <x:v>0</x:v>
      </x:c>
      <x:c r="Y37" s="246" t="str">
        <x:f>IF(OR(S37&lt;&gt;"OK",W37&lt;&gt;"OK"),"High Priority Review",IF(X37&gt;0,"Review","Ready"))</x:f>
        <x:v>Ready</x:v>
      </x:c>
      <x:c r="Z37" s="246" t="str">
        <x:f>IF(S37&lt;&gt;"OK","Correct work email using approved source",IF(T37&lt;&gt;"OK","Confirm approved department",IF(U37&lt;&gt;"OK","Verify employment type and contract dates",IF(W37&lt;&gt;"OK","Compare duplicate employee records",IF(V37&gt;0,"Request missing documents by email or task","No action required")))))</x:f>
        <x:v>No action required</x:v>
      </x:c>
    </x:row>
    <x:row r="38" ht="22" customHeight="1">
      <x:c r="A38" s="246" t="n">
        <x:f>ROW('Raw Employees'!A38)</x:f>
        <x:v>38</x:v>
      </x:c>
      <x:c r="B38" s="246" t="str">
        <x:f>'Raw Employees'!A38</x:f>
        <x:v>EMP-0035</x:v>
      </x:c>
      <x:c r="C38" s="246" t="n">
        <x:f>COUNTIF('Raw Employees'!$A$4:$A$43,B38)</x:f>
        <x:v>1</x:v>
      </x:c>
      <x:c r="D38" s="246" t="str">
        <x:f>'Raw Employees'!B38</x:f>
        <x:v>Employee 35</x:v>
      </x:c>
      <x:c r="E38" s="246" t="str">
        <x:f>'Raw Employees'!C38</x:f>
        <x:v>employee35@northstar.example</x:v>
      </x:c>
      <x:c r="F38" s="246" t="str">
        <x:f>IFERROR(VLOOKUP(UPPER(TRIM('Raw Employees'!D38)),'References'!$A$5:$B$10,2,FALSE),"Needs Review")</x:f>
        <x:v>IT</x:v>
      </x:c>
      <x:c r="G38" s="246" t="str">
        <x:f>'Raw Employees'!E38</x:f>
        <x:v>Coordinator</x:v>
      </x:c>
      <x:c r="H38" s="246" t="str">
        <x:f>'Raw Employees'!F38</x:f>
        <x:v>Contract</x:v>
      </x:c>
      <x:c r="I38" s="247" t="n">
        <x:f>'Raw Employees'!G38</x:f>
        <x:v>46148</x:v>
      </x:c>
      <x:c r="J38" s="247" t="n">
        <x:f>IF('Raw Employees'!H38="","",'Raw Employees'!H38)</x:f>
        <x:v>46513</x:v>
      </x:c>
      <x:c r="K38" s="247" t="n">
        <x:f>'Raw Employees'!I38</x:f>
        <x:v>46240</x:v>
      </x:c>
      <x:c r="L38" s="246" t="str">
        <x:f>'Raw Employees'!J38</x:f>
        <x:v>Manager 6</x:v>
      </x:c>
      <x:c r="M38" s="246" t="str">
        <x:f>'Raw Employees'!K38</x:f>
        <x:v>Remote</x:v>
      </x:c>
      <x:c r="N38" s="246" t="str">
        <x:f>'Raw Employees'!L38</x:f>
        <x:v>Received</x:v>
      </x:c>
      <x:c r="O38" s="246" t="str">
        <x:f>'Raw Employees'!M38</x:f>
        <x:v>Received</x:v>
      </x:c>
      <x:c r="P38" s="246" t="str">
        <x:f>'Raw Employees'!N38</x:f>
        <x:v>Received</x:v>
      </x:c>
      <x:c r="Q38" s="246" t="str">
        <x:f>'Raw Employees'!O38</x:f>
        <x:v>Received</x:v>
      </x:c>
      <x:c r="R38" s="246" t="str">
        <x:f>'Raw Employees'!P38</x:f>
        <x:v>Received</x:v>
      </x:c>
      <x:c r="S38" s="246" t="str">
        <x:f>IF(IFERROR(AND(LEN(E38)-LEN(SUBSTITUTE(E38,"@",""))=1,SEARCH("@",E38)&gt;1,ISNUMBER(SEARCH(".",E38,SEARCH("@",E38)+2)),RIGHT(E38,1)&lt;&gt;"."),FALSE),"OK","Invalid Email")</x:f>
        <x:v>OK</x:v>
      </x:c>
      <x:c r="T38" s="246" t="str">
        <x:f>IF(F38="Needs Review","Invalid Department","OK")</x:f>
        <x:v>OK</x:v>
      </x:c>
      <x:c r="U38" s="246" t="str">
        <x:f>IF(OR(AND(H38&lt;&gt;"Permanent",J38=""),AND(J38&lt;&gt;"",J38&lt;I38),AND(H38="Permanent",J38&lt;&gt;"")),"Invalid Contract End","OK")</x:f>
        <x:v>OK</x:v>
      </x:c>
      <x:c r="V38" s="246" t="n">
        <x:f>COUNTIF(N38:R38,"Missing")</x:f>
        <x:v>0</x:v>
      </x:c>
      <x:c r="W38" s="246" t="str">
        <x:f>IF(C38&gt;1,"Duplicate Employee ID","OK")</x:f>
        <x:v>OK</x:v>
      </x:c>
      <x:c r="X38" s="246" t="n">
        <x:f>IF(S38&lt;&gt;"OK",1,0)+IF(T38&lt;&gt;"OK",1,0)+IF(U38&lt;&gt;"OK",1,0)+V38+IF(W38&lt;&gt;"OK",1,0)</x:f>
        <x:v>0</x:v>
      </x:c>
      <x:c r="Y38" s="246" t="str">
        <x:f>IF(OR(S38&lt;&gt;"OK",W38&lt;&gt;"OK"),"High Priority Review",IF(X38&gt;0,"Review","Ready"))</x:f>
        <x:v>Ready</x:v>
      </x:c>
      <x:c r="Z38" s="246" t="str">
        <x:f>IF(S38&lt;&gt;"OK","Correct work email using approved source",IF(T38&lt;&gt;"OK","Confirm approved department",IF(U38&lt;&gt;"OK","Verify employment type and contract dates",IF(W38&lt;&gt;"OK","Compare duplicate employee records",IF(V38&gt;0,"Request missing documents by email or task","No action required")))))</x:f>
        <x:v>No action required</x:v>
      </x:c>
    </x:row>
    <x:row r="39" ht="22" customHeight="1">
      <x:c r="A39" s="248" t="n">
        <x:f>ROW('Raw Employees'!A39)</x:f>
        <x:v>39</x:v>
      </x:c>
      <x:c r="B39" s="248" t="str">
        <x:f>'Raw Employees'!A39</x:f>
        <x:v>EMP-0036</x:v>
      </x:c>
      <x:c r="C39" s="248" t="n">
        <x:f>COUNTIF('Raw Employees'!$A$4:$A$43,B39)</x:f>
        <x:v>1</x:v>
      </x:c>
      <x:c r="D39" s="248" t="str">
        <x:f>'Raw Employees'!B39</x:f>
        <x:v>Employee 36</x:v>
      </x:c>
      <x:c r="E39" s="248" t="str">
        <x:f>'Raw Employees'!C39</x:f>
        <x:v>employee36@northstar.example</x:v>
      </x:c>
      <x:c r="F39" s="248" t="str">
        <x:f>IFERROR(VLOOKUP(UPPER(TRIM('Raw Employees'!D39)),'References'!$A$5:$B$10,2,FALSE),"Needs Review")</x:f>
        <x:v>Operations</x:v>
      </x:c>
      <x:c r="G39" s="248" t="str">
        <x:f>'Raw Employees'!E39</x:f>
        <x:v>Analyst</x:v>
      </x:c>
      <x:c r="H39" s="248" t="str">
        <x:f>'Raw Employees'!F39</x:f>
        <x:v>Intern</x:v>
      </x:c>
      <x:c r="I39" s="249" t="n">
        <x:f>'Raw Employees'!G39</x:f>
        <x:v>46182</x:v>
      </x:c>
      <x:c r="J39" s="249" t="n">
        <x:f>IF('Raw Employees'!H39="","",'Raw Employees'!H39)</x:f>
        <x:v>46547</x:v>
      </x:c>
      <x:c r="K39" s="249" t="n">
        <x:f>'Raw Employees'!I39</x:f>
        <x:v>46274</x:v>
      </x:c>
      <x:c r="L39" s="248" t="str">
        <x:f>'Raw Employees'!J39</x:f>
        <x:v>Manager 1</x:v>
      </x:c>
      <x:c r="M39" s="248" t="str">
        <x:f>'Raw Employees'!K39</x:f>
        <x:v>Jakarta</x:v>
      </x:c>
      <x:c r="N39" s="248" t="str">
        <x:f>'Raw Employees'!L39</x:f>
        <x:v>Received</x:v>
      </x:c>
      <x:c r="O39" s="248" t="str">
        <x:f>'Raw Employees'!M39</x:f>
        <x:v>Missing</x:v>
      </x:c>
      <x:c r="P39" s="248" t="str">
        <x:f>'Raw Employees'!N39</x:f>
        <x:v>Received</x:v>
      </x:c>
      <x:c r="Q39" s="248" t="str">
        <x:f>'Raw Employees'!O39</x:f>
        <x:v>Received</x:v>
      </x:c>
      <x:c r="R39" s="248" t="str">
        <x:f>'Raw Employees'!P39</x:f>
        <x:v>Received</x:v>
      </x:c>
      <x:c r="S39" s="248" t="str">
        <x:f>IF(IFERROR(AND(LEN(E39)-LEN(SUBSTITUTE(E39,"@",""))=1,SEARCH("@",E39)&gt;1,ISNUMBER(SEARCH(".",E39,SEARCH("@",E39)+2)),RIGHT(E39,1)&lt;&gt;"."),FALSE),"OK","Invalid Email")</x:f>
        <x:v>OK</x:v>
      </x:c>
      <x:c r="T39" s="248" t="str">
        <x:f>IF(F39="Needs Review","Invalid Department","OK")</x:f>
        <x:v>OK</x:v>
      </x:c>
      <x:c r="U39" s="248" t="str">
        <x:f>IF(OR(AND(H39&lt;&gt;"Permanent",J39=""),AND(J39&lt;&gt;"",J39&lt;I39),AND(H39="Permanent",J39&lt;&gt;"")),"Invalid Contract End","OK")</x:f>
        <x:v>OK</x:v>
      </x:c>
      <x:c r="V39" s="248" t="n">
        <x:f>COUNTIF(N39:R39,"Missing")</x:f>
        <x:v>1</x:v>
      </x:c>
      <x:c r="W39" s="248" t="str">
        <x:f>IF(C39&gt;1,"Duplicate Employee ID","OK")</x:f>
        <x:v>OK</x:v>
      </x:c>
      <x:c r="X39" s="248" t="n">
        <x:f>IF(S39&lt;&gt;"OK",1,0)+IF(T39&lt;&gt;"OK",1,0)+IF(U39&lt;&gt;"OK",1,0)+V39+IF(W39&lt;&gt;"OK",1,0)</x:f>
        <x:v>1</x:v>
      </x:c>
      <x:c r="Y39" s="248" t="str">
        <x:f>IF(OR(S39&lt;&gt;"OK",W39&lt;&gt;"OK"),"High Priority Review",IF(X39&gt;0,"Review","Ready"))</x:f>
        <x:v>Review</x:v>
      </x:c>
      <x:c r="Z39" s="248" t="str">
        <x:f>IF(S39&lt;&gt;"OK","Correct work email using approved source",IF(T39&lt;&gt;"OK","Confirm approved department",IF(U39&lt;&gt;"OK","Verify employment type and contract dates",IF(W39&lt;&gt;"OK","Compare duplicate employee records",IF(V39&gt;0,"Request missing documents by email or task","No action required")))))</x:f>
        <x:v>Request missing documents by email or task</x:v>
      </x:c>
    </x:row>
    <x:row r="40" ht="22" customHeight="1">
      <x:c r="A40" s="246" t="n">
        <x:f>ROW('Raw Employees'!A40)</x:f>
        <x:v>40</x:v>
      </x:c>
      <x:c r="B40" s="246" t="str">
        <x:f>'Raw Employees'!A40</x:f>
        <x:v>EMP-0037</x:v>
      </x:c>
      <x:c r="C40" s="246" t="n">
        <x:f>COUNTIF('Raw Employees'!$A$4:$A$43,B40)</x:f>
        <x:v>1</x:v>
      </x:c>
      <x:c r="D40" s="246" t="str">
        <x:f>'Raw Employees'!B40</x:f>
        <x:v>Employee 37</x:v>
      </x:c>
      <x:c r="E40" s="246" t="str">
        <x:f>'Raw Employees'!C40</x:f>
        <x:v>employee37@northstar.example</x:v>
      </x:c>
      <x:c r="F40" s="246" t="str">
        <x:f>IFERROR(VLOOKUP(UPPER(TRIM('Raw Employees'!D40)),'References'!$A$5:$B$10,2,FALSE),"Needs Review")</x:f>
        <x:v>Finance</x:v>
      </x:c>
      <x:c r="G40" s="246" t="str">
        <x:f>'Raw Employees'!E40</x:f>
        <x:v>Administrator</x:v>
      </x:c>
      <x:c r="H40" s="246" t="str">
        <x:f>'Raw Employees'!F40</x:f>
        <x:v>Permanent</x:v>
      </x:c>
      <x:c r="I40" s="247" t="n">
        <x:f>'Raw Employees'!G40</x:f>
        <x:v>46034</x:v>
      </x:c>
      <x:c r="J40" s="247" t="str">
        <x:f>IF('Raw Employees'!H40="","",'Raw Employees'!H40)</x:f>
      </x:c>
      <x:c r="K40" s="247" t="n">
        <x:f>'Raw Employees'!I40</x:f>
        <x:v>46124</x:v>
      </x:c>
      <x:c r="L40" s="246" t="str">
        <x:f>'Raw Employees'!J40</x:f>
        <x:v>Manager 2</x:v>
      </x:c>
      <x:c r="M40" s="246" t="str">
        <x:f>'Raw Employees'!K40</x:f>
        <x:v>Surabaya</x:v>
      </x:c>
      <x:c r="N40" s="246" t="str">
        <x:f>'Raw Employees'!L40</x:f>
        <x:v>Received</x:v>
      </x:c>
      <x:c r="O40" s="246" t="str">
        <x:f>'Raw Employees'!M40</x:f>
        <x:v>Received</x:v>
      </x:c>
      <x:c r="P40" s="246" t="str">
        <x:f>'Raw Employees'!N40</x:f>
        <x:v>Received</x:v>
      </x:c>
      <x:c r="Q40" s="246" t="str">
        <x:f>'Raw Employees'!O40</x:f>
        <x:v>Received</x:v>
      </x:c>
      <x:c r="R40" s="246" t="str">
        <x:f>'Raw Employees'!P40</x:f>
        <x:v>Received</x:v>
      </x:c>
      <x:c r="S40" s="246" t="str">
        <x:f>IF(IFERROR(AND(LEN(E40)-LEN(SUBSTITUTE(E40,"@",""))=1,SEARCH("@",E40)&gt;1,ISNUMBER(SEARCH(".",E40,SEARCH("@",E40)+2)),RIGHT(E40,1)&lt;&gt;"."),FALSE),"OK","Invalid Email")</x:f>
        <x:v>OK</x:v>
      </x:c>
      <x:c r="T40" s="246" t="str">
        <x:f>IF(F40="Needs Review","Invalid Department","OK")</x:f>
        <x:v>OK</x:v>
      </x:c>
      <x:c r="U40" s="246" t="str">
        <x:f>IF(OR(AND(H40&lt;&gt;"Permanent",J40=""),AND(J40&lt;&gt;"",J40&lt;I40),AND(H40="Permanent",J40&lt;&gt;"")),"Invalid Contract End","OK")</x:f>
        <x:v>OK</x:v>
      </x:c>
      <x:c r="V40" s="246" t="n">
        <x:f>COUNTIF(N40:R40,"Missing")</x:f>
        <x:v>0</x:v>
      </x:c>
      <x:c r="W40" s="246" t="str">
        <x:f>IF(C40&gt;1,"Duplicate Employee ID","OK")</x:f>
        <x:v>OK</x:v>
      </x:c>
      <x:c r="X40" s="246" t="n">
        <x:f>IF(S40&lt;&gt;"OK",1,0)+IF(T40&lt;&gt;"OK",1,0)+IF(U40&lt;&gt;"OK",1,0)+V40+IF(W40&lt;&gt;"OK",1,0)</x:f>
        <x:v>0</x:v>
      </x:c>
      <x:c r="Y40" s="246" t="str">
        <x:f>IF(OR(S40&lt;&gt;"OK",W40&lt;&gt;"OK"),"High Priority Review",IF(X40&gt;0,"Review","Ready"))</x:f>
        <x:v>Ready</x:v>
      </x:c>
      <x:c r="Z40" s="246" t="str">
        <x:f>IF(S40&lt;&gt;"OK","Correct work email using approved source",IF(T40&lt;&gt;"OK","Confirm approved department",IF(U40&lt;&gt;"OK","Verify employment type and contract dates",IF(W40&lt;&gt;"OK","Compare duplicate employee records",IF(V40&gt;0,"Request missing documents by email or task","No action required")))))</x:f>
        <x:v>No action required</x:v>
      </x:c>
    </x:row>
    <x:row r="41" ht="22" customHeight="1">
      <x:c r="A41" s="246" t="n">
        <x:f>ROW('Raw Employees'!A41)</x:f>
        <x:v>41</x:v>
      </x:c>
      <x:c r="B41" s="246" t="str">
        <x:f>'Raw Employees'!A41</x:f>
        <x:v>EMP-0038</x:v>
      </x:c>
      <x:c r="C41" s="246" t="n">
        <x:f>COUNTIF('Raw Employees'!$A$4:$A$43,B41)</x:f>
        <x:v>1</x:v>
      </x:c>
      <x:c r="D41" s="246" t="str">
        <x:f>'Raw Employees'!B41</x:f>
        <x:v>Employee 38</x:v>
      </x:c>
      <x:c r="E41" s="246" t="str">
        <x:f>'Raw Employees'!C41</x:f>
        <x:v>employee38@northstar.example</x:v>
      </x:c>
      <x:c r="F41" s="246" t="str">
        <x:f>IFERROR(VLOOKUP(UPPER(TRIM('Raw Employees'!D41)),'References'!$A$5:$B$10,2,FALSE),"Needs Review")</x:f>
        <x:v>HR</x:v>
      </x:c>
      <x:c r="G41" s="246" t="str">
        <x:f>'Raw Employees'!E41</x:f>
        <x:v>Specialist</x:v>
      </x:c>
      <x:c r="H41" s="246" t="str">
        <x:f>'Raw Employees'!F41</x:f>
        <x:v>Contract</x:v>
      </x:c>
      <x:c r="I41" s="247" t="n">
        <x:f>'Raw Employees'!G41</x:f>
        <x:v>46068</x:v>
      </x:c>
      <x:c r="J41" s="247" t="n">
        <x:f>IF('Raw Employees'!H41="","",'Raw Employees'!H41)</x:f>
        <x:v>46433</x:v>
      </x:c>
      <x:c r="K41" s="247" t="n">
        <x:f>'Raw Employees'!I41</x:f>
        <x:v>46157</x:v>
      </x:c>
      <x:c r="L41" s="246" t="str">
        <x:f>'Raw Employees'!J41</x:f>
        <x:v>Manager 3</x:v>
      </x:c>
      <x:c r="M41" s="246" t="str">
        <x:f>'Raw Employees'!K41</x:f>
        <x:v>Bandung</x:v>
      </x:c>
      <x:c r="N41" s="246" t="str">
        <x:f>'Raw Employees'!L41</x:f>
        <x:v>Received</x:v>
      </x:c>
      <x:c r="O41" s="246" t="str">
        <x:f>'Raw Employees'!M41</x:f>
        <x:v>Received</x:v>
      </x:c>
      <x:c r="P41" s="246" t="str">
        <x:f>'Raw Employees'!N41</x:f>
        <x:v>Received</x:v>
      </x:c>
      <x:c r="Q41" s="246" t="str">
        <x:f>'Raw Employees'!O41</x:f>
        <x:v>Received</x:v>
      </x:c>
      <x:c r="R41" s="246" t="str">
        <x:f>'Raw Employees'!P41</x:f>
        <x:v>Received</x:v>
      </x:c>
      <x:c r="S41" s="246" t="str">
        <x:f>IF(IFERROR(AND(LEN(E41)-LEN(SUBSTITUTE(E41,"@",""))=1,SEARCH("@",E41)&gt;1,ISNUMBER(SEARCH(".",E41,SEARCH("@",E41)+2)),RIGHT(E41,1)&lt;&gt;"."),FALSE),"OK","Invalid Email")</x:f>
        <x:v>OK</x:v>
      </x:c>
      <x:c r="T41" s="246" t="str">
        <x:f>IF(F41="Needs Review","Invalid Department","OK")</x:f>
        <x:v>OK</x:v>
      </x:c>
      <x:c r="U41" s="246" t="str">
        <x:f>IF(OR(AND(H41&lt;&gt;"Permanent",J41=""),AND(J41&lt;&gt;"",J41&lt;I41),AND(H41="Permanent",J41&lt;&gt;"")),"Invalid Contract End","OK")</x:f>
        <x:v>OK</x:v>
      </x:c>
      <x:c r="V41" s="246" t="n">
        <x:f>COUNTIF(N41:R41,"Missing")</x:f>
        <x:v>0</x:v>
      </x:c>
      <x:c r="W41" s="246" t="str">
        <x:f>IF(C41&gt;1,"Duplicate Employee ID","OK")</x:f>
        <x:v>OK</x:v>
      </x:c>
      <x:c r="X41" s="246" t="n">
        <x:f>IF(S41&lt;&gt;"OK",1,0)+IF(T41&lt;&gt;"OK",1,0)+IF(U41&lt;&gt;"OK",1,0)+V41+IF(W41&lt;&gt;"OK",1,0)</x:f>
        <x:v>0</x:v>
      </x:c>
      <x:c r="Y41" s="246" t="str">
        <x:f>IF(OR(S41&lt;&gt;"OK",W41&lt;&gt;"OK"),"High Priority Review",IF(X41&gt;0,"Review","Ready"))</x:f>
        <x:v>Ready</x:v>
      </x:c>
      <x:c r="Z41" s="246" t="str">
        <x:f>IF(S41&lt;&gt;"OK","Correct work email using approved source",IF(T41&lt;&gt;"OK","Confirm approved department",IF(U41&lt;&gt;"OK","Verify employment type and contract dates",IF(W41&lt;&gt;"OK","Compare duplicate employee records",IF(V41&gt;0,"Request missing documents by email or task","No action required")))))</x:f>
        <x:v>No action required</x:v>
      </x:c>
    </x:row>
    <x:row r="42" ht="22" customHeight="1">
      <x:c r="A42" s="248" t="n">
        <x:f>ROW('Raw Employees'!A42)</x:f>
        <x:v>42</x:v>
      </x:c>
      <x:c r="B42" s="248" t="str">
        <x:f>'Raw Employees'!A42</x:f>
        <x:v>EMP-0039</x:v>
      </x:c>
      <x:c r="C42" s="248" t="n">
        <x:f>COUNTIF('Raw Employees'!$A$4:$A$43,B42)</x:f>
        <x:v>1</x:v>
      </x:c>
      <x:c r="D42" s="248" t="str">
        <x:f>'Raw Employees'!B42</x:f>
        <x:v>Employee 39</x:v>
      </x:c>
      <x:c r="E42" s="248" t="str">
        <x:f>'Raw Employees'!C42</x:f>
        <x:v>employee39@northstar.example</x:v>
      </x:c>
      <x:c r="F42" s="248" t="str">
        <x:f>IFERROR(VLOOKUP(UPPER(TRIM('Raw Employees'!D42)),'References'!$A$5:$B$10,2,FALSE),"Needs Review")</x:f>
        <x:v>Sales</x:v>
      </x:c>
      <x:c r="G42" s="248" t="str">
        <x:f>'Raw Employees'!E42</x:f>
        <x:v>Assistant</x:v>
      </x:c>
      <x:c r="H42" s="248" t="str">
        <x:f>'Raw Employees'!F42</x:f>
        <x:v>Intern</x:v>
      </x:c>
      <x:c r="I42" s="249" t="n">
        <x:f>'Raw Employees'!G42</x:f>
        <x:v>46099</x:v>
      </x:c>
      <x:c r="J42" s="249" t="n">
        <x:f>IF('Raw Employees'!H42="","",'Raw Employees'!H42)</x:f>
        <x:v>46464</x:v>
      </x:c>
      <x:c r="K42" s="249" t="n">
        <x:f>'Raw Employees'!I42</x:f>
        <x:v>46191</x:v>
      </x:c>
      <x:c r="L42" s="248" t="str">
        <x:f>'Raw Employees'!J42</x:f>
        <x:v>Manager 4</x:v>
      </x:c>
      <x:c r="M42" s="248" t="str">
        <x:f>'Raw Employees'!K42</x:f>
        <x:v>Remote</x:v>
      </x:c>
      <x:c r="N42" s="248" t="str">
        <x:f>'Raw Employees'!L42</x:f>
        <x:v>Received</x:v>
      </x:c>
      <x:c r="O42" s="248" t="str">
        <x:f>'Raw Employees'!M42</x:f>
        <x:v>Received</x:v>
      </x:c>
      <x:c r="P42" s="248" t="str">
        <x:f>'Raw Employees'!N42</x:f>
        <x:v>Received</x:v>
      </x:c>
      <x:c r="Q42" s="248" t="str">
        <x:f>'Raw Employees'!O42</x:f>
        <x:v>Received</x:v>
      </x:c>
      <x:c r="R42" s="248" t="str">
        <x:f>'Raw Employees'!P42</x:f>
        <x:v>Missing</x:v>
      </x:c>
      <x:c r="S42" s="248" t="str">
        <x:f>IF(IFERROR(AND(LEN(E42)-LEN(SUBSTITUTE(E42,"@",""))=1,SEARCH("@",E42)&gt;1,ISNUMBER(SEARCH(".",E42,SEARCH("@",E42)+2)),RIGHT(E42,1)&lt;&gt;"."),FALSE),"OK","Invalid Email")</x:f>
        <x:v>OK</x:v>
      </x:c>
      <x:c r="T42" s="248" t="str">
        <x:f>IF(F42="Needs Review","Invalid Department","OK")</x:f>
        <x:v>OK</x:v>
      </x:c>
      <x:c r="U42" s="248" t="str">
        <x:f>IF(OR(AND(H42&lt;&gt;"Permanent",J42=""),AND(J42&lt;&gt;"",J42&lt;I42),AND(H42="Permanent",J42&lt;&gt;"")),"Invalid Contract End","OK")</x:f>
        <x:v>OK</x:v>
      </x:c>
      <x:c r="V42" s="248" t="n">
        <x:f>COUNTIF(N42:R42,"Missing")</x:f>
        <x:v>1</x:v>
      </x:c>
      <x:c r="W42" s="248" t="str">
        <x:f>IF(C42&gt;1,"Duplicate Employee ID","OK")</x:f>
        <x:v>OK</x:v>
      </x:c>
      <x:c r="X42" s="248" t="n">
        <x:f>IF(S42&lt;&gt;"OK",1,0)+IF(T42&lt;&gt;"OK",1,0)+IF(U42&lt;&gt;"OK",1,0)+V42+IF(W42&lt;&gt;"OK",1,0)</x:f>
        <x:v>1</x:v>
      </x:c>
      <x:c r="Y42" s="248" t="str">
        <x:f>IF(OR(S42&lt;&gt;"OK",W42&lt;&gt;"OK"),"High Priority Review",IF(X42&gt;0,"Review","Ready"))</x:f>
        <x:v>Review</x:v>
      </x:c>
      <x:c r="Z42" s="248" t="str">
        <x:f>IF(S42&lt;&gt;"OK","Correct work email using approved source",IF(T42&lt;&gt;"OK","Confirm approved department",IF(U42&lt;&gt;"OK","Verify employment type and contract dates",IF(W42&lt;&gt;"OK","Compare duplicate employee records",IF(V42&gt;0,"Request missing documents by email or task","No action required")))))</x:f>
        <x:v>Request missing documents by email or task</x:v>
      </x:c>
    </x:row>
    <x:row r="43" ht="22" customHeight="1">
      <x:c r="A43" s="252" t="n">
        <x:f>ROW('Raw Employees'!A43)</x:f>
        <x:v>43</x:v>
      </x:c>
      <x:c r="B43" s="252" t="str">
        <x:f>'Raw Employees'!A43</x:f>
        <x:v>EMP-0040</x:v>
      </x:c>
      <x:c r="C43" s="252" t="n">
        <x:f>COUNTIF('Raw Employees'!$A$4:$A$43,B43)</x:f>
        <x:v>1</x:v>
      </x:c>
      <x:c r="D43" s="252" t="str">
        <x:f>'Raw Employees'!B43</x:f>
        <x:v>Employee 40</x:v>
      </x:c>
      <x:c r="E43" s="252" t="str">
        <x:f>'Raw Employees'!C43</x:f>
        <x:v>employee40@northstar.example</x:v>
      </x:c>
      <x:c r="F43" s="252" t="str">
        <x:f>IFERROR(VLOOKUP(UPPER(TRIM('Raw Employees'!D43)),'References'!$A$5:$B$10,2,FALSE),"Needs Review")</x:f>
        <x:v>IT</x:v>
      </x:c>
      <x:c r="G43" s="252" t="str">
        <x:f>'Raw Employees'!E43</x:f>
        <x:v>Coordinator</x:v>
      </x:c>
      <x:c r="H43" s="252" t="str">
        <x:f>'Raw Employees'!F43</x:f>
        <x:v>Permanent</x:v>
      </x:c>
      <x:c r="I43" s="253" t="n">
        <x:f>'Raw Employees'!G43</x:f>
        <x:v>46113</x:v>
      </x:c>
      <x:c r="J43" s="253" t="str">
        <x:f>IF('Raw Employees'!H43="","",'Raw Employees'!H43)</x:f>
      </x:c>
      <x:c r="K43" s="253" t="n">
        <x:f>'Raw Employees'!I43</x:f>
        <x:v>46204</x:v>
      </x:c>
      <x:c r="L43" s="252" t="str">
        <x:f>'Raw Employees'!J43</x:f>
        <x:v>Manager 5</x:v>
      </x:c>
      <x:c r="M43" s="252" t="str">
        <x:f>'Raw Employees'!K43</x:f>
        <x:v>Jakarta</x:v>
      </x:c>
      <x:c r="N43" s="252" t="str">
        <x:f>'Raw Employees'!L43</x:f>
        <x:v>Missing</x:v>
      </x:c>
      <x:c r="O43" s="252" t="str">
        <x:f>'Raw Employees'!M43</x:f>
        <x:v>Received</x:v>
      </x:c>
      <x:c r="P43" s="252" t="str">
        <x:f>'Raw Employees'!N43</x:f>
        <x:v>Missing</x:v>
      </x:c>
      <x:c r="Q43" s="252" t="str">
        <x:f>'Raw Employees'!O43</x:f>
        <x:v>Received</x:v>
      </x:c>
      <x:c r="R43" s="252" t="str">
        <x:f>'Raw Employees'!P43</x:f>
        <x:v>Received</x:v>
      </x:c>
      <x:c r="S43" s="252" t="str">
        <x:f>IF(IFERROR(AND(LEN(E43)-LEN(SUBSTITUTE(E43,"@",""))=1,SEARCH("@",E43)&gt;1,ISNUMBER(SEARCH(".",E43,SEARCH("@",E43)+2)),RIGHT(E43,1)&lt;&gt;"."),FALSE),"OK","Invalid Email")</x:f>
        <x:v>OK</x:v>
      </x:c>
      <x:c r="T43" s="252" t="str">
        <x:f>IF(F43="Needs Review","Invalid Department","OK")</x:f>
        <x:v>OK</x:v>
      </x:c>
      <x:c r="U43" s="252" t="str">
        <x:f>IF(OR(AND(H43&lt;&gt;"Permanent",J43=""),AND(J43&lt;&gt;"",J43&lt;I43),AND(H43="Permanent",J43&lt;&gt;"")),"Invalid Contract End","OK")</x:f>
        <x:v>OK</x:v>
      </x:c>
      <x:c r="V43" s="252" t="n">
        <x:f>COUNTIF(N43:R43,"Missing")</x:f>
        <x:v>2</x:v>
      </x:c>
      <x:c r="W43" s="252" t="str">
        <x:f>IF(C43&gt;1,"Duplicate Employee ID","OK")</x:f>
        <x:v>OK</x:v>
      </x:c>
      <x:c r="X43" s="252" t="n">
        <x:f>IF(S43&lt;&gt;"OK",1,0)+IF(T43&lt;&gt;"OK",1,0)+IF(U43&lt;&gt;"OK",1,0)+V43+IF(W43&lt;&gt;"OK",1,0)</x:f>
        <x:v>2</x:v>
      </x:c>
      <x:c r="Y43" s="252" t="str">
        <x:f>IF(OR(S43&lt;&gt;"OK",W43&lt;&gt;"OK"),"High Priority Review",IF(X43&gt;0,"Review","Ready"))</x:f>
        <x:v>Review</x:v>
      </x:c>
      <x:c r="Z43" s="252" t="str">
        <x:f>IF(S43&lt;&gt;"OK","Correct work email using approved source",IF(T43&lt;&gt;"OK","Confirm approved department",IF(U43&lt;&gt;"OK","Verify employment type and contract dates",IF(W43&lt;&gt;"OK","Compare duplicate employee records",IF(V43&gt;0,"Request missing documents by email or task","No action required")))))</x:f>
        <x:v>Request missing documents by email or task</x:v>
      </x:c>
    </x:row>
  </x:sheetData>
  <x:mergeCells>
    <x:mergeCell ref="A1:W1"/>
    <x:mergeCell ref="A2:W2"/>
  </x:mergeCells>
  <x:conditionalFormatting sqref="A4:Z43">
    <x:cfRule type="expression" dxfId="3" priority="1">
      <x:formula>MOD(ROW(),2)=0</x:formula>
    </x:cfRule>
    <x:cfRule type="expression" dxfId="4" priority="2">
      <x:formula>$Y4="Ready"</x:formula>
    </x:cfRule>
    <x:cfRule type="expression" dxfId="5" priority="3">
      <x:formula>$Y4="Review"</x:formula>
    </x:cfRule>
    <x:cfRule type="expression" dxfId="6" priority="4">
      <x:formula>$Y4="High Priority Review"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4" max="4" width="64" hidden="0" customWidth="1"/>
  </x:cols>
  <x:sheetData>
    <x:row r="1" ht="36" customHeight="1">
      <x:c r="A1" s="3" t="str">
        <x:v>PROJ-006 | QA SUMMARY</x:v>
      </x:c>
      <x:c r="B1" s="3"/>
      <x:c r="C1" s="3"/>
      <x:c r="D1" s="3"/>
    </x:row>
    <x:row r="2" ht="25" customHeight="1">
      <x:c r="A2" s="6" t="str">
        <x:v>Employee-data completeness • identity, contract and document-control totals</x:v>
      </x:c>
      <x:c r="B2" s="6"/>
      <x:c r="C2" s="6"/>
      <x:c r="D2" s="6"/>
    </x:row>
    <x:row r="4" ht="30" customHeight="1">
      <x:c r="A4" s="12" t="str">
        <x:v>CONTROL</x:v>
      </x:c>
      <x:c r="B4" s="12" t="str">
        <x:v>RESULT</x:v>
      </x:c>
      <x:c r="D4" s="28" t="str">
        <x:v>METRIC DEFINITIONS</x:v>
      </x:c>
    </x:row>
    <x:row r="5">
      <x:c r="A5" s="46" t="str">
        <x:v>Total employees</x:v>
      </x:c>
      <x:c r="B5" s="49" t="n">
        <x:f>COUNTA('Employee Validation'!$B$4:$B$43)</x:f>
        <x:v>40</x:v>
      </x:c>
      <x:c r="D5" s="50" t="str">
        <x:v>Ready = no employee-master or document issue</x:v>
      </x:c>
    </x:row>
    <x:row r="6">
      <x:c r="A6" s="46" t="str">
        <x:v>Ready records</x:v>
      </x:c>
      <x:c r="B6" s="49" t="n">
        <x:f>COUNTIF('Employee Validation'!$Y$4:$Y$43,"Ready")</x:f>
        <x:v>19</x:v>
      </x:c>
      <x:c r="D6" s="50" t="str">
        <x:v>Review rows are distinct source records</x:v>
      </x:c>
    </x:row>
    <x:row r="7">
      <x:c r="A7" s="46" t="str">
        <x:v>Rows requiring review</x:v>
      </x:c>
      <x:c r="B7" s="49" t="n">
        <x:f>COUNTIF('Employee Validation'!$X$4:$X$43,"&gt;0")</x:f>
        <x:v>21</x:v>
      </x:c>
      <x:c r="D7" s="50" t="str">
        <x:v>Duplicate groups and duplicate rows are separate measures</x:v>
      </x:c>
    </x:row>
    <x:row r="8">
      <x:c r="A8" s="46" t="str">
        <x:v>High priority rows</x:v>
      </x:c>
      <x:c r="B8" s="49" t="n">
        <x:f>COUNTIF('Employee Validation'!$Y$4:$Y$43,"High Priority Review")</x:f>
        <x:v>5</x:v>
      </x:c>
      <x:c r="D8" s="50" t="str">
        <x:v>No sensitive real-person data is included</x:v>
      </x:c>
    </x:row>
    <x:row r="9">
      <x:c r="A9" s="46" t="str">
        <x:v>Duplicate ID groups</x:v>
      </x:c>
      <x:c r="B9" s="49" t="n">
        <x:f>SUMPRODUCT(('Employee Validation'!$C$4:$C$43&gt;1)/'Employee Validation'!$C$4:$C$43)</x:f>
        <x:v>2</x:v>
      </x:c>
      <x:c r="D9" s="50" t="str">
        <x:v>Missing documents are requested through written channels</x:v>
      </x:c>
    </x:row>
    <x:row r="10">
      <x:c r="A10" s="46" t="str">
        <x:v>Duplicate rows</x:v>
      </x:c>
      <x:c r="B10" s="49" t="n">
        <x:f>COUNTIF('Employee Validation'!$W$4:$W$43,"Duplicate Employee ID")</x:f>
        <x:v>4</x:v>
      </x:c>
      <x:c r="D10" s="50" t="str">
        <x:v>No source row is deleted or silently merged</x:v>
      </x:c>
    </x:row>
    <x:row r="11">
      <x:c r="A11" s="46" t="str">
        <x:v>Invalid Email</x:v>
      </x:c>
      <x:c r="B11" s="49" t="n">
        <x:f>COUNTIF('Employee Validation'!$S$4:$S$43,"Invalid Email")</x:f>
        <x:v>1</x:v>
      </x:c>
    </x:row>
    <x:row r="12">
      <x:c r="A12" s="46" t="str">
        <x:v>Invalid Department</x:v>
      </x:c>
      <x:c r="B12" s="49" t="n">
        <x:f>COUNTIF('Employee Validation'!$T$4:$T$43,"Invalid Department")</x:f>
        <x:v>1</x:v>
      </x:c>
    </x:row>
    <x:row r="13">
      <x:c r="A13" s="46" t="str">
        <x:v>Invalid Contract End</x:v>
      </x:c>
      <x:c r="B13" s="49" t="n">
        <x:f>COUNTIF('Employee Validation'!$U$4:$U$43,"Invalid Contract End")</x:f>
        <x:v>1</x:v>
      </x:c>
    </x:row>
    <x:row r="14">
      <x:c r="A14" s="46" t="str">
        <x:v>Employees missing documents</x:v>
      </x:c>
      <x:c r="B14" s="49" t="n">
        <x:f>COUNTIF('Employee Validation'!$V$4:$V$43,"&gt;0")</x:f>
        <x:v>18</x:v>
      </x:c>
    </x:row>
    <x:row r="15">
      <x:c r="A15" s="46" t="str">
        <x:v>Total missing documents</x:v>
      </x:c>
      <x:c r="B15" s="49" t="n">
        <x:f>SUM('Employee Validation'!$V$4:$V$43)</x:f>
        <x:v>19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 ht="36" customHeight="1">
      <x:c r="A1" s="3" t="str">
        <x:v>PROJ-006 | HR ADMINISTRATION DASHBOARD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5" customHeight="1">
      <x:c r="A2" s="6" t="str">
        <x:v>Employee-record accuracy • onboarding document control • written-first workflow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4">
      <x:c r="A4" s="69" t="str">
        <x:f>"TOTAL EMPLOYEES"&amp;CHAR(10)&amp;TEXT('QA Summary'!B5,"#,##0")</x:f>
        <x:v>TOTAL EMPLOYEES
40</x:v>
      </x:c>
      <x:c r="B4" s="70"/>
      <x:c r="C4" s="95" t="str">
        <x:f>"READY"&amp;CHAR(10)&amp;TEXT('QA Summary'!B6,"#,##0")</x:f>
        <x:v>READY
19</x:v>
      </x:c>
      <x:c r="D4" s="96"/>
      <x:c r="E4" s="121" t="str">
        <x:f>"REQUIRES REVIEW"&amp;CHAR(10)&amp;TEXT('QA Summary'!B7,"#,##0")</x:f>
        <x:v>REQUIRES REVIEW
21</x:v>
      </x:c>
      <x:c r="F4" s="122"/>
      <x:c r="G4" s="147" t="str">
        <x:f>"HIGH PRIORITY"&amp;CHAR(10)&amp;TEXT('QA Summary'!B8,"#,##0")</x:f>
        <x:v>HIGH PRIORITY
5</x:v>
      </x:c>
      <x:c r="H4" s="148"/>
      <x:c r="I4" s="181" t="str">
        <x:f>"MISSING DOCUMENTS"&amp;CHAR(10)&amp;TEXT('QA Summary'!B15,"#,##0")</x:f>
        <x:v>MISSING DOCUMENTS
19</x:v>
      </x:c>
      <x:c r="J4" s="182"/>
      <x:c r="K4" s="183"/>
    </x:row>
    <x:row r="5">
      <x:c r="A5" s="71"/>
      <x:c r="B5" s="72"/>
      <x:c r="C5" s="97"/>
      <x:c r="D5" s="98"/>
      <x:c r="E5" s="123"/>
      <x:c r="F5" s="124"/>
      <x:c r="G5" s="149"/>
      <x:c r="H5" s="150"/>
      <x:c r="I5" s="184"/>
      <x:c r="J5" s="185"/>
      <x:c r="K5" s="186"/>
    </x:row>
    <x:row r="6">
      <x:c r="A6" s="73"/>
      <x:c r="B6" s="74"/>
      <x:c r="C6" s="99"/>
      <x:c r="D6" s="100"/>
      <x:c r="E6" s="125"/>
      <x:c r="F6" s="126"/>
      <x:c r="G6" s="151"/>
      <x:c r="H6" s="152"/>
      <x:c r="I6" s="187"/>
      <x:c r="J6" s="188"/>
      <x:c r="K6" s="189"/>
    </x:row>
    <x:row r="8" ht="30" customHeight="1">
      <x:c r="A8" s="12" t="str">
        <x:v>ISSUE TYPE</x:v>
      </x:c>
      <x:c r="B8" s="12" t="str">
        <x:v>COUNT</x:v>
      </x:c>
      <x:c r="D8" s="28" t="str">
        <x:v>WRITTEN-FIRST HR ADMIN WORKFLOW</x:v>
      </x:c>
      <x:c r="E8" s="28"/>
      <x:c r="F8" s="28"/>
      <x:c r="G8" s="28"/>
      <x:c r="H8" s="28"/>
      <x:c r="I8" s="28"/>
      <x:c r="J8" s="28"/>
      <x:c r="K8" s="28"/>
    </x:row>
    <x:row r="9">
      <x:c r="A9" s="46" t="str">
        <x:v>Duplicate rows</x:v>
      </x:c>
      <x:c r="B9" s="49" t="n">
        <x:f>'QA Summary'!B10</x:f>
        <x:v>4</x:v>
      </x:c>
      <x:c r="D9" s="191" t="n">
        <x:v>1</x:v>
      </x:c>
      <x:c r="E9" s="29" t="str">
        <x:v>Receive HR form</x:v>
      </x:c>
      <x:c r="F9" s="29" t="str">
        <x:v>Secure folder / email</x:v>
      </x:c>
      <x:c r="G9" s="29"/>
      <x:c r="H9" s="29"/>
      <x:c r="I9" s="29"/>
      <x:c r="J9" s="29"/>
      <x:c r="K9" s="29"/>
    </x:row>
    <x:row r="10">
      <x:c r="A10" s="46" t="str">
        <x:v>Invalid Email</x:v>
      </x:c>
      <x:c r="B10" s="49" t="n">
        <x:f>'QA Summary'!B11</x:f>
        <x:v>1</x:v>
      </x:c>
      <x:c r="D10" s="191" t="n">
        <x:v>2</x:v>
      </x:c>
      <x:c r="E10" s="29" t="str">
        <x:v>Log employee record</x:v>
      </x:c>
      <x:c r="F10" s="29" t="str">
        <x:v>Spreadsheet</x:v>
      </x:c>
      <x:c r="G10" s="29"/>
      <x:c r="H10" s="29"/>
      <x:c r="I10" s="29"/>
      <x:c r="J10" s="29"/>
      <x:c r="K10" s="29"/>
    </x:row>
    <x:row r="11">
      <x:c r="A11" s="46" t="str">
        <x:v>Invalid Department</x:v>
      </x:c>
      <x:c r="B11" s="49" t="n">
        <x:f>'QA Summary'!B12</x:f>
        <x:v>1</x:v>
      </x:c>
      <x:c r="D11" s="191" t="n">
        <x:v>3</x:v>
      </x:c>
      <x:c r="E11" s="29" t="str">
        <x:v>Validate fields</x:v>
      </x:c>
      <x:c r="F11" s="29" t="str">
        <x:v>Formula checks</x:v>
      </x:c>
      <x:c r="G11" s="29"/>
      <x:c r="H11" s="29"/>
      <x:c r="I11" s="29"/>
      <x:c r="J11" s="29"/>
      <x:c r="K11" s="29"/>
    </x:row>
    <x:row r="12">
      <x:c r="A12" s="46" t="str">
        <x:v>Invalid Contract End</x:v>
      </x:c>
      <x:c r="B12" s="49" t="n">
        <x:f>'QA Summary'!B13</x:f>
        <x:v>1</x:v>
      </x:c>
      <x:c r="D12" s="191" t="n">
        <x:v>4</x:v>
      </x:c>
      <x:c r="E12" s="29" t="str">
        <x:v>Request documents</x:v>
      </x:c>
      <x:c r="F12" s="29" t="str">
        <x:v>Email / task</x:v>
      </x:c>
      <x:c r="G12" s="29"/>
      <x:c r="H12" s="29"/>
      <x:c r="I12" s="29"/>
      <x:c r="J12" s="29"/>
      <x:c r="K12" s="29"/>
    </x:row>
    <x:row r="13">
      <x:c r="A13" s="46" t="str">
        <x:v>Employees missing documents</x:v>
      </x:c>
      <x:c r="B13" s="49" t="n">
        <x:f>'QA Summary'!B14</x:f>
        <x:v>18</x:v>
      </x:c>
      <x:c r="D13" s="191" t="n">
        <x:v>5</x:v>
      </x:c>
      <x:c r="E13" s="29" t="str">
        <x:v>Track onboarding</x:v>
      </x:c>
      <x:c r="F13" s="29" t="str">
        <x:v>Written status</x:v>
      </x:c>
      <x:c r="G13" s="29"/>
      <x:c r="H13" s="29"/>
      <x:c r="I13" s="29"/>
      <x:c r="J13" s="29"/>
      <x:c r="K13" s="29"/>
    </x:row>
    <x:row r="14">
      <x:c r="D14" s="191" t="n">
        <x:v>6</x:v>
      </x:c>
      <x:c r="E14" s="29" t="str">
        <x:v>Archive approved file</x:v>
      </x:c>
      <x:c r="F14" s="29" t="str">
        <x:v>Documented handoff</x:v>
      </x:c>
      <x:c r="G14" s="29"/>
      <x:c r="H14" s="29"/>
      <x:c r="I14" s="29"/>
      <x:c r="J14" s="29"/>
      <x:c r="K14" s="29"/>
    </x:row>
    <x:row r="18">
      <x:c r="A18" s="277" t="str">
        <x:v>ISSUE TYPE</x:v>
      </x:c>
      <x:c r="B18" s="277" t="str">
        <x:v>COUNT</x:v>
      </x:c>
    </x:row>
    <x:row r="19">
      <x:c r="A19" s="277" t="str">
        <x:f>A9</x:f>
        <x:v>Duplicate rows</x:v>
      </x:c>
      <x:c r="B19" s="277" t="n">
        <x:f>B9</x:f>
        <x:v>4</x:v>
      </x:c>
    </x:row>
    <x:row r="20">
      <x:c r="A20" s="277" t="str">
        <x:f>A10</x:f>
        <x:v>Invalid Email</x:v>
      </x:c>
      <x:c r="B20" s="277" t="n">
        <x:f>B10</x:f>
        <x:v>1</x:v>
      </x:c>
    </x:row>
    <x:row r="21">
      <x:c r="A21" s="277" t="str">
        <x:f>A11</x:f>
        <x:v>Invalid Department</x:v>
      </x:c>
      <x:c r="B21" s="277" t="n">
        <x:f>B11</x:f>
        <x:v>1</x:v>
      </x:c>
    </x:row>
    <x:row r="22">
      <x:c r="A22" s="277" t="str">
        <x:f>A12</x:f>
        <x:v>Invalid Contract End</x:v>
      </x:c>
      <x:c r="B22" s="277" t="n">
        <x:f>B12</x:f>
        <x:v>1</x:v>
      </x:c>
    </x:row>
    <x:row r="23">
      <x:c r="A23" s="277" t="str">
        <x:f>A13</x:f>
        <x:v>Employees missing documents</x:v>
      </x:c>
      <x:c r="B23" s="277" t="n">
        <x:f>B13</x:f>
        <x:v>18</x:v>
      </x:c>
    </x:row>
    <x:row r="24">
      <x:c r="A24" s="277"/>
      <x:c r="B24" s="277"/>
    </x:row>
  </x:sheetData>
  <x:mergeCells>
    <x:mergeCell ref="A1:K1"/>
    <x:mergeCell ref="A2:K2"/>
    <x:mergeCell ref="A4:B6"/>
    <x:mergeCell ref="C4:D6"/>
    <x:mergeCell ref="E4:F6"/>
    <x:mergeCell ref="G4:H6"/>
    <x:mergeCell ref="I4:K6"/>
    <x:mergeCell ref="D8:K8"/>
  </x:mergeCells>
  <x:pageMargins left="0.7" right="0.7" top="0.75" bottom="0.75" header="0.3" footer="0.3"/>
  <x:drawing xmlns:r="http://schemas.openxmlformats.org/officeDocument/2006/relationships" r:id="R90a1452d65b24880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17" hidden="0" customWidth="1"/>
    <x:col min="4" max="4" width="22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20" hidden="0" customWidth="1"/>
  </x:cols>
  <x:sheetData>
    <x:row r="1" ht="36" customHeight="1">
      <x:c r="A1" s="3" t="str">
        <x:v>PROJ-006 | ONBOARDING TRACKER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5" customHeight="1">
      <x:c r="A2" s="6" t="str">
        <x:v>Simulated onboarding task evidence • record readiness kept separate from operational completion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 ht="34" customHeight="1">
      <x:c r="A4" s="259" t="str">
        <x:v>Employee ID</x:v>
      </x:c>
      <x:c r="B4" s="259" t="str">
        <x:v>Employee Name</x:v>
      </x:c>
      <x:c r="C4" s="259" t="str">
        <x:v>Start Date</x:v>
      </x:c>
      <x:c r="D4" s="259" t="str">
        <x:v>Record Readiness</x:v>
      </x:c>
      <x:c r="E4" s="259" t="str">
        <x:v>Account Setup</x:v>
      </x:c>
      <x:c r="F4" s="259" t="str">
        <x:v>Orientation</x:v>
      </x:c>
      <x:c r="G4" s="259" t="str">
        <x:v>Equipment</x:v>
      </x:c>
      <x:c r="H4" s="259" t="str">
        <x:v>Policy Ack</x:v>
      </x:c>
      <x:c r="I4" s="259" t="str">
        <x:v>Owner</x:v>
      </x:c>
      <x:c r="J4" s="259" t="str">
        <x:v>Task Status</x:v>
      </x:c>
      <x:c r="K4" s="259" t="str">
        <x:v>Due Date</x:v>
      </x:c>
      <x:c r="L4" s="259" t="str">
        <x:v>Due Control</x:v>
      </x:c>
      <x:c r="M4" s="259" t="str">
        <x:v>Evidence Ref</x:v>
      </x:c>
    </x:row>
    <x:row r="5" ht="22" customHeight="1">
      <x:c r="A5" s="262" t="str">
        <x:f>'Employee Validation'!B4</x:f>
        <x:v>EMP-0001</x:v>
      </x:c>
      <x:c r="B5" s="262" t="str">
        <x:f>'Employee Validation'!D4</x:f>
        <x:v>Employee 01</x:v>
      </x:c>
      <x:c r="C5" s="266" t="n">
        <x:f>'Employee Validation'!I4</x:f>
        <x:v>46026</x:v>
      </x:c>
      <x:c r="D5" s="262" t="str">
        <x:f>'Employee Validation'!Y4</x:f>
        <x:v>Ready</x:v>
      </x:c>
      <x:c r="E5" s="262" t="str">
        <x:v>Pending</x:v>
      </x:c>
      <x:c r="F5" s="262" t="str">
        <x:v>Scheduled</x:v>
      </x:c>
      <x:c r="G5" s="262" t="str">
        <x:v>Pending</x:v>
      </x:c>
      <x:c r="H5" s="262" t="str">
        <x:f>'Employee Validation'!R4</x:f>
        <x:v>Received</x:v>
      </x:c>
      <x:c r="I5" s="262" t="str">
        <x:v>HR Admin</x:v>
      </x:c>
      <x:c r="J5" s="262" t="str">
        <x:f>IF(AND(E5="Complete",F5="Complete",G5="Complete",H5="Received"),"Complete","In Progress")</x:f>
        <x:v>In Progress</x:v>
      </x:c>
      <x:c r="K5" s="266" t="n">
        <x:f>C5+7</x:f>
        <x:v>46033</x:v>
      </x:c>
      <x:c r="L5" s="262" t="str">
        <x:f>IF(AND(J5&lt;&gt;"Complete",K5&lt;DATE(2026,8,17)),"Overdue","On Track")</x:f>
        <x:v>Overdue</x:v>
      </x:c>
      <x:c r="M5" s="262" t="str">
        <x:f>IF(J5="Complete","ONB-2026-"&amp;TEXT(ROW()-4,"0000"),"")</x:f>
      </x:c>
    </x:row>
    <x:row r="6" ht="22" customHeight="1">
      <x:c r="A6" s="265" t="str">
        <x:f>'Employee Validation'!B5</x:f>
        <x:v>EMP-0002</x:v>
      </x:c>
      <x:c r="B6" s="265" t="str">
        <x:f>'Employee Validation'!D5</x:f>
        <x:v>Employee 02</x:v>
      </x:c>
      <x:c r="C6" s="267" t="n">
        <x:f>'Employee Validation'!I5</x:f>
        <x:v>46060</x:v>
      </x:c>
      <x:c r="D6" s="265" t="str">
        <x:f>'Employee Validation'!Y5</x:f>
        <x:v>Ready</x:v>
      </x:c>
      <x:c r="E6" s="265" t="str">
        <x:v>Complete</x:v>
      </x:c>
      <x:c r="F6" s="265" t="str">
        <x:v>Complete</x:v>
      </x:c>
      <x:c r="G6" s="265" t="str">
        <x:v>Complete</x:v>
      </x:c>
      <x:c r="H6" s="265" t="str">
        <x:f>'Employee Validation'!R5</x:f>
        <x:v>Received</x:v>
      </x:c>
      <x:c r="I6" s="265" t="str">
        <x:v>HR Admin</x:v>
      </x:c>
      <x:c r="J6" s="265" t="str">
        <x:f>IF(AND(E6="Complete",F6="Complete",G6="Complete",H6="Received"),"Complete","In Progress")</x:f>
        <x:v>Complete</x:v>
      </x:c>
      <x:c r="K6" s="267" t="n">
        <x:f>C6+7</x:f>
        <x:v>46067</x:v>
      </x:c>
      <x:c r="L6" s="265" t="str">
        <x:f>IF(AND(J6&lt;&gt;"Complete",K6&lt;DATE(2026,8,17)),"Overdue","On Track")</x:f>
        <x:v>On Track</x:v>
      </x:c>
      <x:c r="M6" s="265" t="str">
        <x:f>IF(J6="Complete","ONB-2026-"&amp;TEXT(ROW()-4,"0000"),"")</x:f>
        <x:v>ONB-2026-0002</x:v>
      </x:c>
    </x:row>
    <x:row r="7" ht="22" customHeight="1">
      <x:c r="A7" s="262" t="str">
        <x:f>'Employee Validation'!B6</x:f>
        <x:v>EMP-0003</x:v>
      </x:c>
      <x:c r="B7" s="262" t="str">
        <x:f>'Employee Validation'!D6</x:f>
        <x:v>Employee 03</x:v>
      </x:c>
      <x:c r="C7" s="266" t="n">
        <x:f>'Employee Validation'!I6</x:f>
        <x:v>46091</x:v>
      </x:c>
      <x:c r="D7" s="262" t="str">
        <x:f>'Employee Validation'!Y6</x:f>
        <x:v>Ready</x:v>
      </x:c>
      <x:c r="E7" s="262" t="str">
        <x:v>Complete</x:v>
      </x:c>
      <x:c r="F7" s="262" t="str">
        <x:v>Complete</x:v>
      </x:c>
      <x:c r="G7" s="262" t="str">
        <x:v>Complete</x:v>
      </x:c>
      <x:c r="H7" s="262" t="str">
        <x:f>'Employee Validation'!R6</x:f>
        <x:v>Received</x:v>
      </x:c>
      <x:c r="I7" s="262" t="str">
        <x:v>HR Admin</x:v>
      </x:c>
      <x:c r="J7" s="262" t="str">
        <x:f>IF(AND(E7="Complete",F7="Complete",G7="Complete",H7="Received"),"Complete","In Progress")</x:f>
        <x:v>Complete</x:v>
      </x:c>
      <x:c r="K7" s="266" t="n">
        <x:f>C7+7</x:f>
        <x:v>46098</x:v>
      </x:c>
      <x:c r="L7" s="262" t="str">
        <x:f>IF(AND(J7&lt;&gt;"Complete",K7&lt;DATE(2026,8,17)),"Overdue","On Track")</x:f>
        <x:v>On Track</x:v>
      </x:c>
      <x:c r="M7" s="262" t="str">
        <x:f>IF(J7="Complete","ONB-2026-"&amp;TEXT(ROW()-4,"0000"),"")</x:f>
        <x:v>ONB-2026-0003</x:v>
      </x:c>
    </x:row>
    <x:row r="8" ht="22" customHeight="1">
      <x:c r="A8" s="265" t="str">
        <x:f>'Employee Validation'!B7</x:f>
        <x:v>EMP-0004</x:v>
      </x:c>
      <x:c r="B8" s="265" t="str">
        <x:f>'Employee Validation'!D7</x:f>
        <x:v>Employee 04</x:v>
      </x:c>
      <x:c r="C8" s="267" t="n">
        <x:f>'Employee Validation'!I7</x:f>
        <x:v>46125</x:v>
      </x:c>
      <x:c r="D8" s="265" t="str">
        <x:f>'Employee Validation'!Y7</x:f>
        <x:v>Ready</x:v>
      </x:c>
      <x:c r="E8" s="265" t="str">
        <x:v>Complete</x:v>
      </x:c>
      <x:c r="F8" s="265" t="str">
        <x:v>Complete</x:v>
      </x:c>
      <x:c r="G8" s="265" t="str">
        <x:v>Complete</x:v>
      </x:c>
      <x:c r="H8" s="265" t="str">
        <x:f>'Employee Validation'!R7</x:f>
        <x:v>Received</x:v>
      </x:c>
      <x:c r="I8" s="265" t="str">
        <x:v>HR Admin</x:v>
      </x:c>
      <x:c r="J8" s="265" t="str">
        <x:f>IF(AND(E8="Complete",F8="Complete",G8="Complete",H8="Received"),"Complete","In Progress")</x:f>
        <x:v>Complete</x:v>
      </x:c>
      <x:c r="K8" s="267" t="n">
        <x:f>C8+7</x:f>
        <x:v>46132</x:v>
      </x:c>
      <x:c r="L8" s="265" t="str">
        <x:f>IF(AND(J8&lt;&gt;"Complete",K8&lt;DATE(2026,8,17)),"Overdue","On Track")</x:f>
        <x:v>On Track</x:v>
      </x:c>
      <x:c r="M8" s="265" t="str">
        <x:f>IF(J8="Complete","ONB-2026-"&amp;TEXT(ROW()-4,"0000"),"")</x:f>
        <x:v>ONB-2026-0004</x:v>
      </x:c>
    </x:row>
    <x:row r="9" ht="22" customHeight="1">
      <x:c r="A9" s="262" t="str">
        <x:f>'Employee Validation'!B8</x:f>
        <x:v>EMP-0005</x:v>
      </x:c>
      <x:c r="B9" s="262" t="str">
        <x:f>'Employee Validation'!D8</x:f>
        <x:v>Employee 05</x:v>
      </x:c>
      <x:c r="C9" s="266" t="n">
        <x:f>'Employee Validation'!I8</x:f>
        <x:v>46158</x:v>
      </x:c>
      <x:c r="D9" s="262" t="str">
        <x:f>'Employee Validation'!Y8</x:f>
        <x:v>Ready</x:v>
      </x:c>
      <x:c r="E9" s="262" t="str">
        <x:v>Complete</x:v>
      </x:c>
      <x:c r="F9" s="262" t="str">
        <x:v>Complete</x:v>
      </x:c>
      <x:c r="G9" s="262" t="str">
        <x:v>Complete</x:v>
      </x:c>
      <x:c r="H9" s="262" t="str">
        <x:f>'Employee Validation'!R8</x:f>
        <x:v>Received</x:v>
      </x:c>
      <x:c r="I9" s="262" t="str">
        <x:v>HR Admin</x:v>
      </x:c>
      <x:c r="J9" s="262" t="str">
        <x:f>IF(AND(E9="Complete",F9="Complete",G9="Complete",H9="Received"),"Complete","In Progress")</x:f>
        <x:v>Complete</x:v>
      </x:c>
      <x:c r="K9" s="266" t="n">
        <x:f>C9+7</x:f>
        <x:v>46165</x:v>
      </x:c>
      <x:c r="L9" s="262" t="str">
        <x:f>IF(AND(J9&lt;&gt;"Complete",K9&lt;DATE(2026,8,17)),"Overdue","On Track")</x:f>
        <x:v>On Track</x:v>
      </x:c>
      <x:c r="M9" s="262" t="str">
        <x:f>IF(J9="Complete","ONB-2026-"&amp;TEXT(ROW()-4,"0000"),"")</x:f>
        <x:v>ONB-2026-0005</x:v>
      </x:c>
    </x:row>
    <x:row r="10" ht="22" customHeight="1">
      <x:c r="A10" s="265" t="str">
        <x:f>'Employee Validation'!B9</x:f>
        <x:v>EMP-0006</x:v>
      </x:c>
      <x:c r="B10" s="265" t="str">
        <x:f>'Employee Validation'!D9</x:f>
        <x:v>Employee 06</x:v>
      </x:c>
      <x:c r="C10" s="267" t="n">
        <x:f>'Employee Validation'!I9</x:f>
        <x:v>46192</x:v>
      </x:c>
      <x:c r="D10" s="265" t="str">
        <x:f>'Employee Validation'!Y9</x:f>
        <x:v>Ready</x:v>
      </x:c>
      <x:c r="E10" s="265" t="str">
        <x:v>Complete</x:v>
      </x:c>
      <x:c r="F10" s="265" t="str">
        <x:v>Complete</x:v>
      </x:c>
      <x:c r="G10" s="265" t="str">
        <x:v>Complete</x:v>
      </x:c>
      <x:c r="H10" s="265" t="str">
        <x:f>'Employee Validation'!R9</x:f>
        <x:v>Received</x:v>
      </x:c>
      <x:c r="I10" s="265" t="str">
        <x:v>HR Admin</x:v>
      </x:c>
      <x:c r="J10" s="265" t="str">
        <x:f>IF(AND(E10="Complete",F10="Complete",G10="Complete",H10="Received"),"Complete","In Progress")</x:f>
        <x:v>Complete</x:v>
      </x:c>
      <x:c r="K10" s="267" t="n">
        <x:f>C10+7</x:f>
        <x:v>46199</x:v>
      </x:c>
      <x:c r="L10" s="265" t="str">
        <x:f>IF(AND(J10&lt;&gt;"Complete",K10&lt;DATE(2026,8,17)),"Overdue","On Track")</x:f>
        <x:v>On Track</x:v>
      </x:c>
      <x:c r="M10" s="265" t="str">
        <x:f>IF(J10="Complete","ONB-2026-"&amp;TEXT(ROW()-4,"0000"),"")</x:f>
        <x:v>ONB-2026-0006</x:v>
      </x:c>
    </x:row>
    <x:row r="11" ht="22" customHeight="1">
      <x:c r="A11" s="262" t="str">
        <x:f>'Employee Validation'!B10</x:f>
        <x:v>EMP-0007</x:v>
      </x:c>
      <x:c r="B11" s="262" t="str">
        <x:f>'Employee Validation'!D10</x:f>
        <x:v>Employee 07</x:v>
      </x:c>
      <x:c r="C11" s="266" t="n">
        <x:f>'Employee Validation'!I10</x:f>
        <x:v>46024</x:v>
      </x:c>
      <x:c r="D11" s="262" t="str">
        <x:f>'Employee Validation'!Y10</x:f>
        <x:v>Ready</x:v>
      </x:c>
      <x:c r="E11" s="262" t="str">
        <x:v>Complete</x:v>
      </x:c>
      <x:c r="F11" s="262" t="str">
        <x:v>Complete</x:v>
      </x:c>
      <x:c r="G11" s="262" t="str">
        <x:v>Complete</x:v>
      </x:c>
      <x:c r="H11" s="262" t="str">
        <x:f>'Employee Validation'!R10</x:f>
        <x:v>Received</x:v>
      </x:c>
      <x:c r="I11" s="262" t="str">
        <x:v>HR Admin</x:v>
      </x:c>
      <x:c r="J11" s="262" t="str">
        <x:f>IF(AND(E11="Complete",F11="Complete",G11="Complete",H11="Received"),"Complete","In Progress")</x:f>
        <x:v>Complete</x:v>
      </x:c>
      <x:c r="K11" s="266" t="n">
        <x:f>C11+7</x:f>
        <x:v>46031</x:v>
      </x:c>
      <x:c r="L11" s="262" t="str">
        <x:f>IF(AND(J11&lt;&gt;"Complete",K11&lt;DATE(2026,8,17)),"Overdue","On Track")</x:f>
        <x:v>On Track</x:v>
      </x:c>
      <x:c r="M11" s="262" t="str">
        <x:f>IF(J11="Complete","ONB-2026-"&amp;TEXT(ROW()-4,"0000"),"")</x:f>
        <x:v>ONB-2026-0007</x:v>
      </x:c>
    </x:row>
    <x:row r="12" ht="22" customHeight="1">
      <x:c r="A12" s="265" t="str">
        <x:f>'Employee Validation'!B11</x:f>
        <x:v>EMP-0008</x:v>
      </x:c>
      <x:c r="B12" s="265" t="str">
        <x:f>'Employee Validation'!D11</x:f>
        <x:v>Employee 08</x:v>
      </x:c>
      <x:c r="C12" s="267" t="n">
        <x:f>'Employee Validation'!I11</x:f>
        <x:v>46058</x:v>
      </x:c>
      <x:c r="D12" s="265" t="str">
        <x:f>'Employee Validation'!Y11</x:f>
        <x:v>Review</x:v>
      </x:c>
      <x:c r="E12" s="265" t="str">
        <x:v>Pending</x:v>
      </x:c>
      <x:c r="F12" s="265" t="str">
        <x:v>Complete</x:v>
      </x:c>
      <x:c r="G12" s="265" t="str">
        <x:v>Complete</x:v>
      </x:c>
      <x:c r="H12" s="265" t="str">
        <x:f>'Employee Validation'!R11</x:f>
        <x:v>Received</x:v>
      </x:c>
      <x:c r="I12" s="265" t="str">
        <x:v>HR Admin</x:v>
      </x:c>
      <x:c r="J12" s="265" t="str">
        <x:f>IF(AND(E12="Complete",F12="Complete",G12="Complete",H12="Received"),"Complete","In Progress")</x:f>
        <x:v>In Progress</x:v>
      </x:c>
      <x:c r="K12" s="267" t="n">
        <x:f>C12+7</x:f>
        <x:v>46065</x:v>
      </x:c>
      <x:c r="L12" s="265" t="str">
        <x:f>IF(AND(J12&lt;&gt;"Complete",K12&lt;DATE(2026,8,17)),"Overdue","On Track")</x:f>
        <x:v>Overdue</x:v>
      </x:c>
      <x:c r="M12" s="265" t="str">
        <x:f>IF(J12="Complete","ONB-2026-"&amp;TEXT(ROW()-4,"0000"),"")</x:f>
      </x:c>
    </x:row>
    <x:row r="13" ht="22" customHeight="1">
      <x:c r="A13" s="262" t="str">
        <x:f>'Employee Validation'!B12</x:f>
        <x:v>EMP-0009</x:v>
      </x:c>
      <x:c r="B13" s="262" t="str">
        <x:f>'Employee Validation'!D12</x:f>
        <x:v>Employee 09</x:v>
      </x:c>
      <x:c r="C13" s="266" t="n">
        <x:f>'Employee Validation'!I12</x:f>
        <x:v>46089</x:v>
      </x:c>
      <x:c r="D13" s="262" t="str">
        <x:f>'Employee Validation'!Y12</x:f>
        <x:v>High Priority Review</x:v>
      </x:c>
      <x:c r="E13" s="262" t="str">
        <x:v>Complete</x:v>
      </x:c>
      <x:c r="F13" s="262" t="str">
        <x:v>Scheduled</x:v>
      </x:c>
      <x:c r="G13" s="262" t="str">
        <x:v>Complete</x:v>
      </x:c>
      <x:c r="H13" s="262" t="str">
        <x:f>'Employee Validation'!R12</x:f>
        <x:v>Received</x:v>
      </x:c>
      <x:c r="I13" s="262" t="str">
        <x:v>HR Admin</x:v>
      </x:c>
      <x:c r="J13" s="262" t="str">
        <x:f>IF(AND(E13="Complete",F13="Complete",G13="Complete",H13="Received"),"Complete","In Progress")</x:f>
        <x:v>In Progress</x:v>
      </x:c>
      <x:c r="K13" s="266" t="n">
        <x:f>C13+7</x:f>
        <x:v>46096</x:v>
      </x:c>
      <x:c r="L13" s="262" t="str">
        <x:f>IF(AND(J13&lt;&gt;"Complete",K13&lt;DATE(2026,8,17)),"Overdue","On Track")</x:f>
        <x:v>Overdue</x:v>
      </x:c>
      <x:c r="M13" s="262" t="str">
        <x:f>IF(J13="Complete","ONB-2026-"&amp;TEXT(ROW()-4,"0000"),"")</x:f>
      </x:c>
    </x:row>
    <x:row r="14" ht="22" customHeight="1">
      <x:c r="A14" s="265" t="str">
        <x:f>'Employee Validation'!B13</x:f>
        <x:v>EMP-0010</x:v>
      </x:c>
      <x:c r="B14" s="265" t="str">
        <x:f>'Employee Validation'!D13</x:f>
        <x:v>Employee 10</x:v>
      </x:c>
      <x:c r="C14" s="267" t="n">
        <x:f>'Employee Validation'!I13</x:f>
        <x:v>46123</x:v>
      </x:c>
      <x:c r="D14" s="265" t="str">
        <x:f>'Employee Validation'!Y13</x:f>
        <x:v>Review</x:v>
      </x:c>
      <x:c r="E14" s="265" t="str">
        <x:v>Complete</x:v>
      </x:c>
      <x:c r="F14" s="265" t="str">
        <x:v>Complete</x:v>
      </x:c>
      <x:c r="G14" s="265" t="str">
        <x:v>Pending</x:v>
      </x:c>
      <x:c r="H14" s="265" t="str">
        <x:f>'Employee Validation'!R13</x:f>
        <x:v>Received</x:v>
      </x:c>
      <x:c r="I14" s="265" t="str">
        <x:v>HR Admin</x:v>
      </x:c>
      <x:c r="J14" s="265" t="str">
        <x:f>IF(AND(E14="Complete",F14="Complete",G14="Complete",H14="Received"),"Complete","In Progress")</x:f>
        <x:v>In Progress</x:v>
      </x:c>
      <x:c r="K14" s="267" t="n">
        <x:f>C14+7</x:f>
        <x:v>46130</x:v>
      </x:c>
      <x:c r="L14" s="265" t="str">
        <x:f>IF(AND(J14&lt;&gt;"Complete",K14&lt;DATE(2026,8,17)),"Overdue","On Track")</x:f>
        <x:v>Overdue</x:v>
      </x:c>
      <x:c r="M14" s="265" t="str">
        <x:f>IF(J14="Complete","ONB-2026-"&amp;TEXT(ROW()-4,"0000"),"")</x:f>
      </x:c>
    </x:row>
    <x:row r="15" ht="22" customHeight="1">
      <x:c r="A15" s="262" t="str">
        <x:f>'Employee Validation'!B14</x:f>
        <x:v>EMP-0011</x:v>
      </x:c>
      <x:c r="B15" s="262" t="str">
        <x:f>'Employee Validation'!D14</x:f>
        <x:v>Employee 11</x:v>
      </x:c>
      <x:c r="C15" s="266" t="n">
        <x:f>'Employee Validation'!I14</x:f>
        <x:v>46156</x:v>
      </x:c>
      <x:c r="D15" s="262" t="str">
        <x:f>'Employee Validation'!Y14</x:f>
        <x:v>Review</x:v>
      </x:c>
      <x:c r="E15" s="262" t="str">
        <x:v>Complete</x:v>
      </x:c>
      <x:c r="F15" s="262" t="str">
        <x:v>Complete</x:v>
      </x:c>
      <x:c r="G15" s="262" t="str">
        <x:v>Complete</x:v>
      </x:c>
      <x:c r="H15" s="262" t="str">
        <x:f>'Employee Validation'!R14</x:f>
        <x:v>Received</x:v>
      </x:c>
      <x:c r="I15" s="262" t="str">
        <x:v>HR Admin</x:v>
      </x:c>
      <x:c r="J15" s="262" t="str">
        <x:f>IF(AND(E15="Complete",F15="Complete",G15="Complete",H15="Received"),"Complete","In Progress")</x:f>
        <x:v>Complete</x:v>
      </x:c>
      <x:c r="K15" s="266" t="n">
        <x:f>C15+7</x:f>
        <x:v>46163</x:v>
      </x:c>
      <x:c r="L15" s="262" t="str">
        <x:f>IF(AND(J15&lt;&gt;"Complete",K15&lt;DATE(2026,8,17)),"Overdue","On Track")</x:f>
        <x:v>On Track</x:v>
      </x:c>
      <x:c r="M15" s="262" t="str">
        <x:f>IF(J15="Complete","ONB-2026-"&amp;TEXT(ROW()-4,"0000"),"")</x:f>
        <x:v>ONB-2026-0011</x:v>
      </x:c>
    </x:row>
    <x:row r="16" ht="22" customHeight="1">
      <x:c r="A16" s="265" t="str">
        <x:f>'Employee Validation'!B15</x:f>
        <x:v>EMP-0012</x:v>
      </x:c>
      <x:c r="B16" s="265" t="str">
        <x:f>'Employee Validation'!D15</x:f>
        <x:v>Employee 12</x:v>
      </x:c>
      <x:c r="C16" s="267" t="n">
        <x:f>'Employee Validation'!I15</x:f>
        <x:v>46190</x:v>
      </x:c>
      <x:c r="D16" s="265" t="str">
        <x:f>'Employee Validation'!Y15</x:f>
        <x:v>High Priority Review</x:v>
      </x:c>
      <x:c r="E16" s="265" t="str">
        <x:v>Complete</x:v>
      </x:c>
      <x:c r="F16" s="265" t="str">
        <x:v>Complete</x:v>
      </x:c>
      <x:c r="G16" s="265" t="str">
        <x:v>Complete</x:v>
      </x:c>
      <x:c r="H16" s="265" t="str">
        <x:f>'Employee Validation'!R15</x:f>
        <x:v>Received</x:v>
      </x:c>
      <x:c r="I16" s="265" t="str">
        <x:v>HR Admin</x:v>
      </x:c>
      <x:c r="J16" s="265" t="str">
        <x:f>IF(AND(E16="Complete",F16="Complete",G16="Complete",H16="Received"),"Complete","In Progress")</x:f>
        <x:v>Complete</x:v>
      </x:c>
      <x:c r="K16" s="267" t="n">
        <x:f>C16+7</x:f>
        <x:v>46197</x:v>
      </x:c>
      <x:c r="L16" s="265" t="str">
        <x:f>IF(AND(J16&lt;&gt;"Complete",K16&lt;DATE(2026,8,17)),"Overdue","On Track")</x:f>
        <x:v>On Track</x:v>
      </x:c>
      <x:c r="M16" s="265" t="str">
        <x:f>IF(J16="Complete","ONB-2026-"&amp;TEXT(ROW()-4,"0000"),"")</x:f>
        <x:v>ONB-2026-0012</x:v>
      </x:c>
    </x:row>
    <x:row r="17" ht="22" customHeight="1">
      <x:c r="A17" s="262" t="str">
        <x:f>'Employee Validation'!B16</x:f>
        <x:v>EMP-0012</x:v>
      </x:c>
      <x:c r="B17" s="262" t="str">
        <x:f>'Employee Validation'!D16</x:f>
        <x:v>Employee 13</x:v>
      </x:c>
      <x:c r="C17" s="266" t="n">
        <x:f>'Employee Validation'!I16</x:f>
        <x:v>46042</x:v>
      </x:c>
      <x:c r="D17" s="262" t="str">
        <x:f>'Employee Validation'!Y16</x:f>
        <x:v>High Priority Review</x:v>
      </x:c>
      <x:c r="E17" s="262" t="str">
        <x:v>Complete</x:v>
      </x:c>
      <x:c r="F17" s="262" t="str">
        <x:v>Complete</x:v>
      </x:c>
      <x:c r="G17" s="262" t="str">
        <x:v>Complete</x:v>
      </x:c>
      <x:c r="H17" s="262" t="str">
        <x:f>'Employee Validation'!R16</x:f>
        <x:v>Missing</x:v>
      </x:c>
      <x:c r="I17" s="262" t="str">
        <x:v>HR Admin</x:v>
      </x:c>
      <x:c r="J17" s="262" t="str">
        <x:f>IF(AND(E17="Complete",F17="Complete",G17="Complete",H17="Received"),"Complete","In Progress")</x:f>
        <x:v>In Progress</x:v>
      </x:c>
      <x:c r="K17" s="266" t="n">
        <x:f>C17+7</x:f>
        <x:v>46049</x:v>
      </x:c>
      <x:c r="L17" s="262" t="str">
        <x:f>IF(AND(J17&lt;&gt;"Complete",K17&lt;DATE(2026,8,17)),"Overdue","On Track")</x:f>
        <x:v>Overdue</x:v>
      </x:c>
      <x:c r="M17" s="262" t="str">
        <x:f>IF(J17="Complete","ONB-2026-"&amp;TEXT(ROW()-4,"0000"),"")</x:f>
      </x:c>
    </x:row>
    <x:row r="18" ht="22" customHeight="1">
      <x:c r="A18" s="265" t="str">
        <x:f>'Employee Validation'!B17</x:f>
        <x:v>EMP-0014</x:v>
      </x:c>
      <x:c r="B18" s="265" t="str">
        <x:f>'Employee Validation'!D17</x:f>
        <x:v>Employee 14</x:v>
      </x:c>
      <x:c r="C18" s="267" t="n">
        <x:f>'Employee Validation'!I17</x:f>
        <x:v>46056</x:v>
      </x:c>
      <x:c r="D18" s="265" t="str">
        <x:f>'Employee Validation'!Y17</x:f>
        <x:v>Ready</x:v>
      </x:c>
      <x:c r="E18" s="265" t="str">
        <x:v>Complete</x:v>
      </x:c>
      <x:c r="F18" s="265" t="str">
        <x:v>Complete</x:v>
      </x:c>
      <x:c r="G18" s="265" t="str">
        <x:v>Complete</x:v>
      </x:c>
      <x:c r="H18" s="265" t="str">
        <x:f>'Employee Validation'!R17</x:f>
        <x:v>Received</x:v>
      </x:c>
      <x:c r="I18" s="265" t="str">
        <x:v>HR Admin</x:v>
      </x:c>
      <x:c r="J18" s="265" t="str">
        <x:f>IF(AND(E18="Complete",F18="Complete",G18="Complete",H18="Received"),"Complete","In Progress")</x:f>
        <x:v>Complete</x:v>
      </x:c>
      <x:c r="K18" s="267" t="n">
        <x:f>C18+7</x:f>
        <x:v>46063</x:v>
      </x:c>
      <x:c r="L18" s="265" t="str">
        <x:f>IF(AND(J18&lt;&gt;"Complete",K18&lt;DATE(2026,8,17)),"Overdue","On Track")</x:f>
        <x:v>On Track</x:v>
      </x:c>
      <x:c r="M18" s="265" t="str">
        <x:f>IF(J18="Complete","ONB-2026-"&amp;TEXT(ROW()-4,"0000"),"")</x:f>
        <x:v>ONB-2026-0014</x:v>
      </x:c>
    </x:row>
    <x:row r="19" ht="22" customHeight="1">
      <x:c r="A19" s="262" t="str">
        <x:f>'Employee Validation'!B18</x:f>
        <x:v>EMP-0015</x:v>
      </x:c>
      <x:c r="B19" s="262" t="str">
        <x:f>'Employee Validation'!D18</x:f>
        <x:v>Employee 15</x:v>
      </x:c>
      <x:c r="C19" s="266" t="n">
        <x:f>'Employee Validation'!I18</x:f>
        <x:v>46087</x:v>
      </x:c>
      <x:c r="D19" s="262" t="str">
        <x:f>'Employee Validation'!Y18</x:f>
        <x:v>Ready</x:v>
      </x:c>
      <x:c r="E19" s="262" t="str">
        <x:v>Pending</x:v>
      </x:c>
      <x:c r="F19" s="262" t="str">
        <x:v>Complete</x:v>
      </x:c>
      <x:c r="G19" s="262" t="str">
        <x:v>Complete</x:v>
      </x:c>
      <x:c r="H19" s="262" t="str">
        <x:f>'Employee Validation'!R18</x:f>
        <x:v>Received</x:v>
      </x:c>
      <x:c r="I19" s="262" t="str">
        <x:v>HR Admin</x:v>
      </x:c>
      <x:c r="J19" s="262" t="str">
        <x:f>IF(AND(E19="Complete",F19="Complete",G19="Complete",H19="Received"),"Complete","In Progress")</x:f>
        <x:v>In Progress</x:v>
      </x:c>
      <x:c r="K19" s="266" t="n">
        <x:f>C19+7</x:f>
        <x:v>46094</x:v>
      </x:c>
      <x:c r="L19" s="262" t="str">
        <x:f>IF(AND(J19&lt;&gt;"Complete",K19&lt;DATE(2026,8,17)),"Overdue","On Track")</x:f>
        <x:v>Overdue</x:v>
      </x:c>
      <x:c r="M19" s="262" t="str">
        <x:f>IF(J19="Complete","ONB-2026-"&amp;TEXT(ROW()-4,"0000"),"")</x:f>
      </x:c>
    </x:row>
    <x:row r="20" ht="22" customHeight="1">
      <x:c r="A20" s="265" t="str">
        <x:f>'Employee Validation'!B19</x:f>
        <x:v>EMP-0016</x:v>
      </x:c>
      <x:c r="B20" s="265" t="str">
        <x:f>'Employee Validation'!D19</x:f>
        <x:v>Employee 16</x:v>
      </x:c>
      <x:c r="C20" s="267" t="n">
        <x:f>'Employee Validation'!I19</x:f>
        <x:v>46121</x:v>
      </x:c>
      <x:c r="D20" s="265" t="str">
        <x:f>'Employee Validation'!Y19</x:f>
        <x:v>Review</x:v>
      </x:c>
      <x:c r="E20" s="265" t="str">
        <x:v>Complete</x:v>
      </x:c>
      <x:c r="F20" s="265" t="str">
        <x:v>Complete</x:v>
      </x:c>
      <x:c r="G20" s="265" t="str">
        <x:v>Complete</x:v>
      </x:c>
      <x:c r="H20" s="265" t="str">
        <x:f>'Employee Validation'!R19</x:f>
        <x:v>Received</x:v>
      </x:c>
      <x:c r="I20" s="265" t="str">
        <x:v>HR Admin</x:v>
      </x:c>
      <x:c r="J20" s="265" t="str">
        <x:f>IF(AND(E20="Complete",F20="Complete",G20="Complete",H20="Received"),"Complete","In Progress")</x:f>
        <x:v>Complete</x:v>
      </x:c>
      <x:c r="K20" s="267" t="n">
        <x:f>C20+7</x:f>
        <x:v>46128</x:v>
      </x:c>
      <x:c r="L20" s="265" t="str">
        <x:f>IF(AND(J20&lt;&gt;"Complete",K20&lt;DATE(2026,8,17)),"Overdue","On Track")</x:f>
        <x:v>On Track</x:v>
      </x:c>
      <x:c r="M20" s="265" t="str">
        <x:f>IF(J20="Complete","ONB-2026-"&amp;TEXT(ROW()-4,"0000"),"")</x:f>
        <x:v>ONB-2026-0016</x:v>
      </x:c>
    </x:row>
    <x:row r="21" ht="22" customHeight="1">
      <x:c r="A21" s="262" t="str">
        <x:f>'Employee Validation'!B20</x:f>
        <x:v>EMP-0017</x:v>
      </x:c>
      <x:c r="B21" s="262" t="str">
        <x:f>'Employee Validation'!D20</x:f>
        <x:v>Employee 17</x:v>
      </x:c>
      <x:c r="C21" s="266" t="n">
        <x:f>'Employee Validation'!I20</x:f>
        <x:v>46154</x:v>
      </x:c>
      <x:c r="D21" s="262" t="str">
        <x:f>'Employee Validation'!Y20</x:f>
        <x:v>Ready</x:v>
      </x:c>
      <x:c r="E21" s="262" t="str">
        <x:v>Complete</x:v>
      </x:c>
      <x:c r="F21" s="262" t="str">
        <x:v>Scheduled</x:v>
      </x:c>
      <x:c r="G21" s="262" t="str">
        <x:v>Complete</x:v>
      </x:c>
      <x:c r="H21" s="262" t="str">
        <x:f>'Employee Validation'!R20</x:f>
        <x:v>Received</x:v>
      </x:c>
      <x:c r="I21" s="262" t="str">
        <x:v>HR Admin</x:v>
      </x:c>
      <x:c r="J21" s="262" t="str">
        <x:f>IF(AND(E21="Complete",F21="Complete",G21="Complete",H21="Received"),"Complete","In Progress")</x:f>
        <x:v>In Progress</x:v>
      </x:c>
      <x:c r="K21" s="266" t="n">
        <x:f>C21+7</x:f>
        <x:v>46161</x:v>
      </x:c>
      <x:c r="L21" s="262" t="str">
        <x:f>IF(AND(J21&lt;&gt;"Complete",K21&lt;DATE(2026,8,17)),"Overdue","On Track")</x:f>
        <x:v>Overdue</x:v>
      </x:c>
      <x:c r="M21" s="262" t="str">
        <x:f>IF(J21="Complete","ONB-2026-"&amp;TEXT(ROW()-4,"0000"),"")</x:f>
      </x:c>
    </x:row>
    <x:row r="22" ht="22" customHeight="1">
      <x:c r="A22" s="265" t="str">
        <x:f>'Employee Validation'!B21</x:f>
        <x:v>EMP-0018</x:v>
      </x:c>
      <x:c r="B22" s="265" t="str">
        <x:f>'Employee Validation'!D21</x:f>
        <x:v>Employee 18</x:v>
      </x:c>
      <x:c r="C22" s="267" t="n">
        <x:f>'Employee Validation'!I21</x:f>
        <x:v>46188</x:v>
      </x:c>
      <x:c r="D22" s="265" t="str">
        <x:f>'Employee Validation'!Y21</x:f>
        <x:v>Review</x:v>
      </x:c>
      <x:c r="E22" s="265" t="str">
        <x:v>Complete</x:v>
      </x:c>
      <x:c r="F22" s="265" t="str">
        <x:v>Complete</x:v>
      </x:c>
      <x:c r="G22" s="265" t="str">
        <x:v>Complete</x:v>
      </x:c>
      <x:c r="H22" s="265" t="str">
        <x:f>'Employee Validation'!R21</x:f>
        <x:v>Received</x:v>
      </x:c>
      <x:c r="I22" s="265" t="str">
        <x:v>HR Admin</x:v>
      </x:c>
      <x:c r="J22" s="265" t="str">
        <x:f>IF(AND(E22="Complete",F22="Complete",G22="Complete",H22="Received"),"Complete","In Progress")</x:f>
        <x:v>Complete</x:v>
      </x:c>
      <x:c r="K22" s="267" t="n">
        <x:f>C22+7</x:f>
        <x:v>46195</x:v>
      </x:c>
      <x:c r="L22" s="265" t="str">
        <x:f>IF(AND(J22&lt;&gt;"Complete",K22&lt;DATE(2026,8,17)),"Overdue","On Track")</x:f>
        <x:v>On Track</x:v>
      </x:c>
      <x:c r="M22" s="265" t="str">
        <x:f>IF(J22="Complete","ONB-2026-"&amp;TEXT(ROW()-4,"0000"),"")</x:f>
        <x:v>ONB-2026-0018</x:v>
      </x:c>
    </x:row>
    <x:row r="23" ht="22" customHeight="1">
      <x:c r="A23" s="262" t="str">
        <x:f>'Employee Validation'!B22</x:f>
        <x:v>EMP-0019</x:v>
      </x:c>
      <x:c r="B23" s="262" t="str">
        <x:f>'Employee Validation'!D22</x:f>
        <x:v>Employee 19</x:v>
      </x:c>
      <x:c r="C23" s="266" t="n">
        <x:f>'Employee Validation'!I22</x:f>
        <x:v>46040</x:v>
      </x:c>
      <x:c r="D23" s="262" t="str">
        <x:f>'Employee Validation'!Y22</x:f>
        <x:v>Ready</x:v>
      </x:c>
      <x:c r="E23" s="262" t="str">
        <x:v>Complete</x:v>
      </x:c>
      <x:c r="F23" s="262" t="str">
        <x:v>Complete</x:v>
      </x:c>
      <x:c r="G23" s="262" t="str">
        <x:v>Pending</x:v>
      </x:c>
      <x:c r="H23" s="262" t="str">
        <x:f>'Employee Validation'!R22</x:f>
        <x:v>Received</x:v>
      </x:c>
      <x:c r="I23" s="262" t="str">
        <x:v>HR Admin</x:v>
      </x:c>
      <x:c r="J23" s="262" t="str">
        <x:f>IF(AND(E23="Complete",F23="Complete",G23="Complete",H23="Received"),"Complete","In Progress")</x:f>
        <x:v>In Progress</x:v>
      </x:c>
      <x:c r="K23" s="266" t="n">
        <x:f>C23+7</x:f>
        <x:v>46047</x:v>
      </x:c>
      <x:c r="L23" s="262" t="str">
        <x:f>IF(AND(J23&lt;&gt;"Complete",K23&lt;DATE(2026,8,17)),"Overdue","On Track")</x:f>
        <x:v>Overdue</x:v>
      </x:c>
      <x:c r="M23" s="262" t="str">
        <x:f>IF(J23="Complete","ONB-2026-"&amp;TEXT(ROW()-4,"0000"),"")</x:f>
      </x:c>
    </x:row>
    <x:row r="24" ht="22" customHeight="1">
      <x:c r="A24" s="265" t="str">
        <x:f>'Employee Validation'!B23</x:f>
        <x:v>EMP-0020</x:v>
      </x:c>
      <x:c r="B24" s="265" t="str">
        <x:f>'Employee Validation'!D23</x:f>
        <x:v>Employee 20</x:v>
      </x:c>
      <x:c r="C24" s="267" t="n">
        <x:f>'Employee Validation'!I23</x:f>
        <x:v>46054</x:v>
      </x:c>
      <x:c r="D24" s="265" t="str">
        <x:f>'Employee Validation'!Y23</x:f>
        <x:v>Review</x:v>
      </x:c>
      <x:c r="E24" s="265" t="str">
        <x:v>Complete</x:v>
      </x:c>
      <x:c r="F24" s="265" t="str">
        <x:v>Complete</x:v>
      </x:c>
      <x:c r="G24" s="265" t="str">
        <x:v>Complete</x:v>
      </x:c>
      <x:c r="H24" s="265" t="str">
        <x:f>'Employee Validation'!R23</x:f>
        <x:v>Received</x:v>
      </x:c>
      <x:c r="I24" s="265" t="str">
        <x:v>HR Admin</x:v>
      </x:c>
      <x:c r="J24" s="265" t="str">
        <x:f>IF(AND(E24="Complete",F24="Complete",G24="Complete",H24="Received"),"Complete","In Progress")</x:f>
        <x:v>Complete</x:v>
      </x:c>
      <x:c r="K24" s="267" t="n">
        <x:f>C24+7</x:f>
        <x:v>46061</x:v>
      </x:c>
      <x:c r="L24" s="265" t="str">
        <x:f>IF(AND(J24&lt;&gt;"Complete",K24&lt;DATE(2026,8,17)),"Overdue","On Track")</x:f>
        <x:v>On Track</x:v>
      </x:c>
      <x:c r="M24" s="265" t="str">
        <x:f>IF(J24="Complete","ONB-2026-"&amp;TEXT(ROW()-4,"0000"),"")</x:f>
        <x:v>ONB-2026-0020</x:v>
      </x:c>
    </x:row>
    <x:row r="25" ht="22" customHeight="1">
      <x:c r="A25" s="262" t="str">
        <x:f>'Employee Validation'!B24</x:f>
        <x:v>EMP-0021</x:v>
      </x:c>
      <x:c r="B25" s="262" t="str">
        <x:f>'Employee Validation'!D24</x:f>
        <x:v>Employee 21</x:v>
      </x:c>
      <x:c r="C25" s="266" t="n">
        <x:f>'Employee Validation'!I24</x:f>
        <x:v>46085</x:v>
      </x:c>
      <x:c r="D25" s="262" t="str">
        <x:f>'Employee Validation'!Y24</x:f>
        <x:v>Ready</x:v>
      </x:c>
      <x:c r="E25" s="262" t="str">
        <x:v>Complete</x:v>
      </x:c>
      <x:c r="F25" s="262" t="str">
        <x:v>Complete</x:v>
      </x:c>
      <x:c r="G25" s="262" t="str">
        <x:v>Complete</x:v>
      </x:c>
      <x:c r="H25" s="262" t="str">
        <x:f>'Employee Validation'!R24</x:f>
        <x:v>Received</x:v>
      </x:c>
      <x:c r="I25" s="262" t="str">
        <x:v>HR Admin</x:v>
      </x:c>
      <x:c r="J25" s="262" t="str">
        <x:f>IF(AND(E25="Complete",F25="Complete",G25="Complete",H25="Received"),"Complete","In Progress")</x:f>
        <x:v>Complete</x:v>
      </x:c>
      <x:c r="K25" s="266" t="n">
        <x:f>C25+7</x:f>
        <x:v>46092</x:v>
      </x:c>
      <x:c r="L25" s="262" t="str">
        <x:f>IF(AND(J25&lt;&gt;"Complete",K25&lt;DATE(2026,8,17)),"Overdue","On Track")</x:f>
        <x:v>On Track</x:v>
      </x:c>
      <x:c r="M25" s="262" t="str">
        <x:f>IF(J25="Complete","ONB-2026-"&amp;TEXT(ROW()-4,"0000"),"")</x:f>
        <x:v>ONB-2026-0021</x:v>
      </x:c>
    </x:row>
    <x:row r="26" ht="22" customHeight="1">
      <x:c r="A26" s="265" t="str">
        <x:f>'Employee Validation'!B25</x:f>
        <x:v>EMP-0022</x:v>
      </x:c>
      <x:c r="B26" s="265" t="str">
        <x:f>'Employee Validation'!D25</x:f>
        <x:v>Employee 22</x:v>
      </x:c>
      <x:c r="C26" s="267" t="n">
        <x:f>'Employee Validation'!I25</x:f>
        <x:v>46119</x:v>
      </x:c>
      <x:c r="D26" s="265" t="str">
        <x:f>'Employee Validation'!Y25</x:f>
        <x:v>Review</x:v>
      </x:c>
      <x:c r="E26" s="265" t="str">
        <x:v>Pending</x:v>
      </x:c>
      <x:c r="F26" s="265" t="str">
        <x:v>Complete</x:v>
      </x:c>
      <x:c r="G26" s="265" t="str">
        <x:v>Complete</x:v>
      </x:c>
      <x:c r="H26" s="265" t="str">
        <x:f>'Employee Validation'!R25</x:f>
        <x:v>Received</x:v>
      </x:c>
      <x:c r="I26" s="265" t="str">
        <x:v>HR Admin</x:v>
      </x:c>
      <x:c r="J26" s="265" t="str">
        <x:f>IF(AND(E26="Complete",F26="Complete",G26="Complete",H26="Received"),"Complete","In Progress")</x:f>
        <x:v>In Progress</x:v>
      </x:c>
      <x:c r="K26" s="267" t="n">
        <x:f>C26+7</x:f>
        <x:v>46126</x:v>
      </x:c>
      <x:c r="L26" s="265" t="str">
        <x:f>IF(AND(J26&lt;&gt;"Complete",K26&lt;DATE(2026,8,17)),"Overdue","On Track")</x:f>
        <x:v>Overdue</x:v>
      </x:c>
      <x:c r="M26" s="265" t="str">
        <x:f>IF(J26="Complete","ONB-2026-"&amp;TEXT(ROW()-4,"0000"),"")</x:f>
      </x:c>
    </x:row>
    <x:row r="27" ht="22" customHeight="1">
      <x:c r="A27" s="262" t="str">
        <x:f>'Employee Validation'!B26</x:f>
        <x:v>EMP-0023</x:v>
      </x:c>
      <x:c r="B27" s="262" t="str">
        <x:f>'Employee Validation'!D26</x:f>
        <x:v>Employee 23</x:v>
      </x:c>
      <x:c r="C27" s="266" t="n">
        <x:f>'Employee Validation'!I26</x:f>
        <x:v>46152</x:v>
      </x:c>
      <x:c r="D27" s="262" t="str">
        <x:f>'Employee Validation'!Y26</x:f>
        <x:v>Ready</x:v>
      </x:c>
      <x:c r="E27" s="262" t="str">
        <x:v>Complete</x:v>
      </x:c>
      <x:c r="F27" s="262" t="str">
        <x:v>Complete</x:v>
      </x:c>
      <x:c r="G27" s="262" t="str">
        <x:v>Complete</x:v>
      </x:c>
      <x:c r="H27" s="262" t="str">
        <x:f>'Employee Validation'!R26</x:f>
        <x:v>Received</x:v>
      </x:c>
      <x:c r="I27" s="262" t="str">
        <x:v>HR Admin</x:v>
      </x:c>
      <x:c r="J27" s="262" t="str">
        <x:f>IF(AND(E27="Complete",F27="Complete",G27="Complete",H27="Received"),"Complete","In Progress")</x:f>
        <x:v>Complete</x:v>
      </x:c>
      <x:c r="K27" s="266" t="n">
        <x:f>C27+7</x:f>
        <x:v>46159</x:v>
      </x:c>
      <x:c r="L27" s="262" t="str">
        <x:f>IF(AND(J27&lt;&gt;"Complete",K27&lt;DATE(2026,8,17)),"Overdue","On Track")</x:f>
        <x:v>On Track</x:v>
      </x:c>
      <x:c r="M27" s="262" t="str">
        <x:f>IF(J27="Complete","ONB-2026-"&amp;TEXT(ROW()-4,"0000"),"")</x:f>
        <x:v>ONB-2026-0023</x:v>
      </x:c>
    </x:row>
    <x:row r="28" ht="22" customHeight="1">
      <x:c r="A28" s="265" t="str">
        <x:f>'Employee Validation'!B27</x:f>
        <x:v>EMP-0024</x:v>
      </x:c>
      <x:c r="B28" s="265" t="str">
        <x:f>'Employee Validation'!D27</x:f>
        <x:v>Employee 24</x:v>
      </x:c>
      <x:c r="C28" s="267" t="n">
        <x:f>'Employee Validation'!I27</x:f>
        <x:v>46186</x:v>
      </x:c>
      <x:c r="D28" s="265" t="str">
        <x:f>'Employee Validation'!Y27</x:f>
        <x:v>Review</x:v>
      </x:c>
      <x:c r="E28" s="265" t="str">
        <x:v>Complete</x:v>
      </x:c>
      <x:c r="F28" s="265" t="str">
        <x:v>Complete</x:v>
      </x:c>
      <x:c r="G28" s="265" t="str">
        <x:v>Complete</x:v>
      </x:c>
      <x:c r="H28" s="265" t="str">
        <x:f>'Employee Validation'!R27</x:f>
        <x:v>Received</x:v>
      </x:c>
      <x:c r="I28" s="265" t="str">
        <x:v>HR Admin</x:v>
      </x:c>
      <x:c r="J28" s="265" t="str">
        <x:f>IF(AND(E28="Complete",F28="Complete",G28="Complete",H28="Received"),"Complete","In Progress")</x:f>
        <x:v>Complete</x:v>
      </x:c>
      <x:c r="K28" s="267" t="n">
        <x:f>C28+7</x:f>
        <x:v>46193</x:v>
      </x:c>
      <x:c r="L28" s="265" t="str">
        <x:f>IF(AND(J28&lt;&gt;"Complete",K28&lt;DATE(2026,8,17)),"Overdue","On Track")</x:f>
        <x:v>On Track</x:v>
      </x:c>
      <x:c r="M28" s="265" t="str">
        <x:f>IF(J28="Complete","ONB-2026-"&amp;TEXT(ROW()-4,"0000"),"")</x:f>
        <x:v>ONB-2026-0024</x:v>
      </x:c>
    </x:row>
    <x:row r="29" ht="22" customHeight="1">
      <x:c r="A29" s="262" t="str">
        <x:f>'Employee Validation'!B28</x:f>
        <x:v>EMP-0025</x:v>
      </x:c>
      <x:c r="B29" s="262" t="str">
        <x:f>'Employee Validation'!D28</x:f>
        <x:v>Employee 25</x:v>
      </x:c>
      <x:c r="C29" s="266" t="n">
        <x:f>'Employee Validation'!I28</x:f>
        <x:v>46038</x:v>
      </x:c>
      <x:c r="D29" s="262" t="str">
        <x:f>'Employee Validation'!Y28</x:f>
        <x:v>Review</x:v>
      </x:c>
      <x:c r="E29" s="262" t="str">
        <x:v>Complete</x:v>
      </x:c>
      <x:c r="F29" s="262" t="str">
        <x:v>Scheduled</x:v>
      </x:c>
      <x:c r="G29" s="262" t="str">
        <x:v>Complete</x:v>
      </x:c>
      <x:c r="H29" s="262" t="str">
        <x:f>'Employee Validation'!R28</x:f>
        <x:v>Received</x:v>
      </x:c>
      <x:c r="I29" s="262" t="str">
        <x:v>HR Admin</x:v>
      </x:c>
      <x:c r="J29" s="262" t="str">
        <x:f>IF(AND(E29="Complete",F29="Complete",G29="Complete",H29="Received"),"Complete","In Progress")</x:f>
        <x:v>In Progress</x:v>
      </x:c>
      <x:c r="K29" s="266" t="n">
        <x:f>C29+7</x:f>
        <x:v>46045</x:v>
      </x:c>
      <x:c r="L29" s="262" t="str">
        <x:f>IF(AND(J29&lt;&gt;"Complete",K29&lt;DATE(2026,8,17)),"Overdue","On Track")</x:f>
        <x:v>Overdue</x:v>
      </x:c>
      <x:c r="M29" s="262" t="str">
        <x:f>IF(J29="Complete","ONB-2026-"&amp;TEXT(ROW()-4,"0000"),"")</x:f>
      </x:c>
    </x:row>
    <x:row r="30" ht="22" customHeight="1">
      <x:c r="A30" s="265" t="str">
        <x:f>'Employee Validation'!B29</x:f>
        <x:v>EMP-0026</x:v>
      </x:c>
      <x:c r="B30" s="265" t="str">
        <x:f>'Employee Validation'!D29</x:f>
        <x:v>Employee 26</x:v>
      </x:c>
      <x:c r="C30" s="267" t="n">
        <x:f>'Employee Validation'!I29</x:f>
        <x:v>46072</x:v>
      </x:c>
      <x:c r="D30" s="265" t="str">
        <x:f>'Employee Validation'!Y29</x:f>
        <x:v>Review</x:v>
      </x:c>
      <x:c r="E30" s="265" t="str">
        <x:v>Complete</x:v>
      </x:c>
      <x:c r="F30" s="265" t="str">
        <x:v>Complete</x:v>
      </x:c>
      <x:c r="G30" s="265" t="str">
        <x:v>Complete</x:v>
      </x:c>
      <x:c r="H30" s="265" t="str">
        <x:f>'Employee Validation'!R29</x:f>
        <x:v>Missing</x:v>
      </x:c>
      <x:c r="I30" s="265" t="str">
        <x:v>HR Admin</x:v>
      </x:c>
      <x:c r="J30" s="265" t="str">
        <x:f>IF(AND(E30="Complete",F30="Complete",G30="Complete",H30="Received"),"Complete","In Progress")</x:f>
        <x:v>In Progress</x:v>
      </x:c>
      <x:c r="K30" s="267" t="n">
        <x:f>C30+7</x:f>
        <x:v>46079</x:v>
      </x:c>
      <x:c r="L30" s="265" t="str">
        <x:f>IF(AND(J30&lt;&gt;"Complete",K30&lt;DATE(2026,8,17)),"Overdue","On Track")</x:f>
        <x:v>Overdue</x:v>
      </x:c>
      <x:c r="M30" s="265" t="str">
        <x:f>IF(J30="Complete","ONB-2026-"&amp;TEXT(ROW()-4,"0000"),"")</x:f>
      </x:c>
    </x:row>
    <x:row r="31" ht="22" customHeight="1">
      <x:c r="A31" s="262" t="str">
        <x:f>'Employee Validation'!B30</x:f>
        <x:v>EMP-0027</x:v>
      </x:c>
      <x:c r="B31" s="262" t="str">
        <x:f>'Employee Validation'!D30</x:f>
        <x:v>Employee 27</x:v>
      </x:c>
      <x:c r="C31" s="266" t="n">
        <x:f>'Employee Validation'!I30</x:f>
        <x:v>46083</x:v>
      </x:c>
      <x:c r="D31" s="262" t="str">
        <x:f>'Employee Validation'!Y30</x:f>
        <x:v>Review</x:v>
      </x:c>
      <x:c r="E31" s="262" t="str">
        <x:v>Complete</x:v>
      </x:c>
      <x:c r="F31" s="262" t="str">
        <x:v>Complete</x:v>
      </x:c>
      <x:c r="G31" s="262" t="str">
        <x:v>Complete</x:v>
      </x:c>
      <x:c r="H31" s="262" t="str">
        <x:f>'Employee Validation'!R30</x:f>
        <x:v>Received</x:v>
      </x:c>
      <x:c r="I31" s="262" t="str">
        <x:v>HR Admin</x:v>
      </x:c>
      <x:c r="J31" s="262" t="str">
        <x:f>IF(AND(E31="Complete",F31="Complete",G31="Complete",H31="Received"),"Complete","In Progress")</x:f>
        <x:v>Complete</x:v>
      </x:c>
      <x:c r="K31" s="266" t="n">
        <x:f>C31+7</x:f>
        <x:v>46090</x:v>
      </x:c>
      <x:c r="L31" s="262" t="str">
        <x:f>IF(AND(J31&lt;&gt;"Complete",K31&lt;DATE(2026,8,17)),"Overdue","On Track")</x:f>
        <x:v>On Track</x:v>
      </x:c>
      <x:c r="M31" s="262" t="str">
        <x:f>IF(J31="Complete","ONB-2026-"&amp;TEXT(ROW()-4,"0000"),"")</x:f>
        <x:v>ONB-2026-0027</x:v>
      </x:c>
    </x:row>
    <x:row r="32" ht="22" customHeight="1">
      <x:c r="A32" s="265" t="str">
        <x:f>'Employee Validation'!B31</x:f>
        <x:v>EMP-0028</x:v>
      </x:c>
      <x:c r="B32" s="265" t="str">
        <x:f>'Employee Validation'!D31</x:f>
        <x:v>Employee 28</x:v>
      </x:c>
      <x:c r="C32" s="267" t="n">
        <x:f>'Employee Validation'!I31</x:f>
        <x:v>46117</x:v>
      </x:c>
      <x:c r="D32" s="265" t="str">
        <x:f>'Employee Validation'!Y31</x:f>
        <x:v>Ready</x:v>
      </x:c>
      <x:c r="E32" s="265" t="str">
        <x:v>Complete</x:v>
      </x:c>
      <x:c r="F32" s="265" t="str">
        <x:v>Complete</x:v>
      </x:c>
      <x:c r="G32" s="265" t="str">
        <x:v>Pending</x:v>
      </x:c>
      <x:c r="H32" s="265" t="str">
        <x:f>'Employee Validation'!R31</x:f>
        <x:v>Received</x:v>
      </x:c>
      <x:c r="I32" s="265" t="str">
        <x:v>HR Admin</x:v>
      </x:c>
      <x:c r="J32" s="265" t="str">
        <x:f>IF(AND(E32="Complete",F32="Complete",G32="Complete",H32="Received"),"Complete","In Progress")</x:f>
        <x:v>In Progress</x:v>
      </x:c>
      <x:c r="K32" s="267" t="n">
        <x:f>C32+7</x:f>
        <x:v>46124</x:v>
      </x:c>
      <x:c r="L32" s="265" t="str">
        <x:f>IF(AND(J32&lt;&gt;"Complete",K32&lt;DATE(2026,8,17)),"Overdue","On Track")</x:f>
        <x:v>Overdue</x:v>
      </x:c>
      <x:c r="M32" s="265" t="str">
        <x:f>IF(J32="Complete","ONB-2026-"&amp;TEXT(ROW()-4,"0000"),"")</x:f>
      </x:c>
    </x:row>
    <x:row r="33" ht="22" customHeight="1">
      <x:c r="A33" s="262" t="str">
        <x:f>'Employee Validation'!B32</x:f>
        <x:v>EMP-0029</x:v>
      </x:c>
      <x:c r="B33" s="262" t="str">
        <x:f>'Employee Validation'!D32</x:f>
        <x:v>Employee 29</x:v>
      </x:c>
      <x:c r="C33" s="266" t="n">
        <x:f>'Employee Validation'!I32</x:f>
        <x:v>46150</x:v>
      </x:c>
      <x:c r="D33" s="262" t="str">
        <x:f>'Employee Validation'!Y32</x:f>
        <x:v>Ready</x:v>
      </x:c>
      <x:c r="E33" s="262" t="str">
        <x:v>Pending</x:v>
      </x:c>
      <x:c r="F33" s="262" t="str">
        <x:v>Complete</x:v>
      </x:c>
      <x:c r="G33" s="262" t="str">
        <x:v>Complete</x:v>
      </x:c>
      <x:c r="H33" s="262" t="str">
        <x:f>'Employee Validation'!R32</x:f>
        <x:v>Received</x:v>
      </x:c>
      <x:c r="I33" s="262" t="str">
        <x:v>HR Admin</x:v>
      </x:c>
      <x:c r="J33" s="262" t="str">
        <x:f>IF(AND(E33="Complete",F33="Complete",G33="Complete",H33="Received"),"Complete","In Progress")</x:f>
        <x:v>In Progress</x:v>
      </x:c>
      <x:c r="K33" s="266" t="n">
        <x:f>C33+7</x:f>
        <x:v>46157</x:v>
      </x:c>
      <x:c r="L33" s="262" t="str">
        <x:f>IF(AND(J33&lt;&gt;"Complete",K33&lt;DATE(2026,8,17)),"Overdue","On Track")</x:f>
        <x:v>Overdue</x:v>
      </x:c>
      <x:c r="M33" s="262" t="str">
        <x:f>IF(J33="Complete","ONB-2026-"&amp;TEXT(ROW()-4,"0000"),"")</x:f>
      </x:c>
    </x:row>
    <x:row r="34" ht="22" customHeight="1">
      <x:c r="A34" s="265" t="str">
        <x:f>'Employee Validation'!B33</x:f>
        <x:v>EMP-0030</x:v>
      </x:c>
      <x:c r="B34" s="265" t="str">
        <x:f>'Employee Validation'!D33</x:f>
        <x:v>Employee 30</x:v>
      </x:c>
      <x:c r="C34" s="267" t="n">
        <x:f>'Employee Validation'!I33</x:f>
        <x:v>46184</x:v>
      </x:c>
      <x:c r="D34" s="265" t="str">
        <x:f>'Employee Validation'!Y33</x:f>
        <x:v>Review</x:v>
      </x:c>
      <x:c r="E34" s="265" t="str">
        <x:v>Complete</x:v>
      </x:c>
      <x:c r="F34" s="265" t="str">
        <x:v>Complete</x:v>
      </x:c>
      <x:c r="G34" s="265" t="str">
        <x:v>Complete</x:v>
      </x:c>
      <x:c r="H34" s="265" t="str">
        <x:f>'Employee Validation'!R33</x:f>
        <x:v>Received</x:v>
      </x:c>
      <x:c r="I34" s="265" t="str">
        <x:v>HR Admin</x:v>
      </x:c>
      <x:c r="J34" s="265" t="str">
        <x:f>IF(AND(E34="Complete",F34="Complete",G34="Complete",H34="Received"),"Complete","In Progress")</x:f>
        <x:v>Complete</x:v>
      </x:c>
      <x:c r="K34" s="267" t="n">
        <x:f>C34+7</x:f>
        <x:v>46191</x:v>
      </x:c>
      <x:c r="L34" s="265" t="str">
        <x:f>IF(AND(J34&lt;&gt;"Complete",K34&lt;DATE(2026,8,17)),"Overdue","On Track")</x:f>
        <x:v>On Track</x:v>
      </x:c>
      <x:c r="M34" s="265" t="str">
        <x:f>IF(J34="Complete","ONB-2026-"&amp;TEXT(ROW()-4,"0000"),"")</x:f>
        <x:v>ONB-2026-0030</x:v>
      </x:c>
    </x:row>
    <x:row r="35" ht="22" customHeight="1">
      <x:c r="A35" s="262" t="str">
        <x:f>'Employee Validation'!B34</x:f>
        <x:v>EMP-0031</x:v>
      </x:c>
      <x:c r="B35" s="262" t="str">
        <x:f>'Employee Validation'!D34</x:f>
        <x:v>Employee 31</x:v>
      </x:c>
      <x:c r="C35" s="266" t="n">
        <x:f>'Employee Validation'!I34</x:f>
        <x:v>46036</x:v>
      </x:c>
      <x:c r="D35" s="262" t="str">
        <x:f>'Employee Validation'!Y34</x:f>
        <x:v>High Priority Review</x:v>
      </x:c>
      <x:c r="E35" s="262" t="str">
        <x:v>Complete</x:v>
      </x:c>
      <x:c r="F35" s="262" t="str">
        <x:v>Complete</x:v>
      </x:c>
      <x:c r="G35" s="262" t="str">
        <x:v>Complete</x:v>
      </x:c>
      <x:c r="H35" s="262" t="str">
        <x:f>'Employee Validation'!R34</x:f>
        <x:v>Received</x:v>
      </x:c>
      <x:c r="I35" s="262" t="str">
        <x:v>HR Admin</x:v>
      </x:c>
      <x:c r="J35" s="262" t="str">
        <x:f>IF(AND(E35="Complete",F35="Complete",G35="Complete",H35="Received"),"Complete","In Progress")</x:f>
        <x:v>Complete</x:v>
      </x:c>
      <x:c r="K35" s="266" t="n">
        <x:f>C35+7</x:f>
        <x:v>46043</x:v>
      </x:c>
      <x:c r="L35" s="262" t="str">
        <x:f>IF(AND(J35&lt;&gt;"Complete",K35&lt;DATE(2026,8,17)),"Overdue","On Track")</x:f>
        <x:v>On Track</x:v>
      </x:c>
      <x:c r="M35" s="262" t="str">
        <x:f>IF(J35="Complete","ONB-2026-"&amp;TEXT(ROW()-4,"0000"),"")</x:f>
        <x:v>ONB-2026-0031</x:v>
      </x:c>
    </x:row>
    <x:row r="36" ht="22" customHeight="1">
      <x:c r="A36" s="265" t="str">
        <x:f>'Employee Validation'!B35</x:f>
        <x:v>EMP-0031</x:v>
      </x:c>
      <x:c r="B36" s="265" t="str">
        <x:f>'Employee Validation'!D35</x:f>
        <x:v>Employee 32</x:v>
      </x:c>
      <x:c r="C36" s="267" t="n">
        <x:f>'Employee Validation'!I35</x:f>
        <x:v>46070</x:v>
      </x:c>
      <x:c r="D36" s="265" t="str">
        <x:f>'Employee Validation'!Y35</x:f>
        <x:v>High Priority Review</x:v>
      </x:c>
      <x:c r="E36" s="265" t="str">
        <x:v>Complete</x:v>
      </x:c>
      <x:c r="F36" s="265" t="str">
        <x:v>Complete</x:v>
      </x:c>
      <x:c r="G36" s="265" t="str">
        <x:v>Complete</x:v>
      </x:c>
      <x:c r="H36" s="265" t="str">
        <x:f>'Employee Validation'!R35</x:f>
        <x:v>Received</x:v>
      </x:c>
      <x:c r="I36" s="265" t="str">
        <x:v>HR Admin</x:v>
      </x:c>
      <x:c r="J36" s="265" t="str">
        <x:f>IF(AND(E36="Complete",F36="Complete",G36="Complete",H36="Received"),"Complete","In Progress")</x:f>
        <x:v>Complete</x:v>
      </x:c>
      <x:c r="K36" s="267" t="n">
        <x:f>C36+7</x:f>
        <x:v>46077</x:v>
      </x:c>
      <x:c r="L36" s="265" t="str">
        <x:f>IF(AND(J36&lt;&gt;"Complete",K36&lt;DATE(2026,8,17)),"Overdue","On Track")</x:f>
        <x:v>On Track</x:v>
      </x:c>
      <x:c r="M36" s="265" t="str">
        <x:f>IF(J36="Complete","ONB-2026-"&amp;TEXT(ROW()-4,"0000"),"")</x:f>
        <x:v>ONB-2026-0032</x:v>
      </x:c>
    </x:row>
    <x:row r="37" ht="22" customHeight="1">
      <x:c r="A37" s="262" t="str">
        <x:f>'Employee Validation'!B36</x:f>
        <x:v>EMP-0033</x:v>
      </x:c>
      <x:c r="B37" s="262" t="str">
        <x:f>'Employee Validation'!D36</x:f>
        <x:v>Employee 33</x:v>
      </x:c>
      <x:c r="C37" s="266" t="n">
        <x:f>'Employee Validation'!I36</x:f>
        <x:v>46101</x:v>
      </x:c>
      <x:c r="D37" s="262" t="str">
        <x:f>'Employee Validation'!Y36</x:f>
        <x:v>Review</x:v>
      </x:c>
      <x:c r="E37" s="262" t="str">
        <x:v>Complete</x:v>
      </x:c>
      <x:c r="F37" s="262" t="str">
        <x:v>Scheduled</x:v>
      </x:c>
      <x:c r="G37" s="262" t="str">
        <x:v>Complete</x:v>
      </x:c>
      <x:c r="H37" s="262" t="str">
        <x:f>'Employee Validation'!R36</x:f>
        <x:v>Received</x:v>
      </x:c>
      <x:c r="I37" s="262" t="str">
        <x:v>HR Admin</x:v>
      </x:c>
      <x:c r="J37" s="262" t="str">
        <x:f>IF(AND(E37="Complete",F37="Complete",G37="Complete",H37="Received"),"Complete","In Progress")</x:f>
        <x:v>In Progress</x:v>
      </x:c>
      <x:c r="K37" s="266" t="n">
        <x:f>C37+7</x:f>
        <x:v>46108</x:v>
      </x:c>
      <x:c r="L37" s="262" t="str">
        <x:f>IF(AND(J37&lt;&gt;"Complete",K37&lt;DATE(2026,8,17)),"Overdue","On Track")</x:f>
        <x:v>Overdue</x:v>
      </x:c>
      <x:c r="M37" s="262" t="str">
        <x:f>IF(J37="Complete","ONB-2026-"&amp;TEXT(ROW()-4,"0000"),"")</x:f>
      </x:c>
    </x:row>
    <x:row r="38" ht="22" customHeight="1">
      <x:c r="A38" s="265" t="str">
        <x:f>'Employee Validation'!B37</x:f>
        <x:v>EMP-0034</x:v>
      </x:c>
      <x:c r="B38" s="265" t="str">
        <x:f>'Employee Validation'!D37</x:f>
        <x:v>Employee 34</x:v>
      </x:c>
      <x:c r="C38" s="267" t="n">
        <x:f>'Employee Validation'!I37</x:f>
        <x:v>46115</x:v>
      </x:c>
      <x:c r="D38" s="265" t="str">
        <x:f>'Employee Validation'!Y37</x:f>
        <x:v>Ready</x:v>
      </x:c>
      <x:c r="E38" s="265" t="str">
        <x:v>Complete</x:v>
      </x:c>
      <x:c r="F38" s="265" t="str">
        <x:v>Complete</x:v>
      </x:c>
      <x:c r="G38" s="265" t="str">
        <x:v>Complete</x:v>
      </x:c>
      <x:c r="H38" s="265" t="str">
        <x:f>'Employee Validation'!R37</x:f>
        <x:v>Received</x:v>
      </x:c>
      <x:c r="I38" s="265" t="str">
        <x:v>HR Admin</x:v>
      </x:c>
      <x:c r="J38" s="265" t="str">
        <x:f>IF(AND(E38="Complete",F38="Complete",G38="Complete",H38="Received"),"Complete","In Progress")</x:f>
        <x:v>Complete</x:v>
      </x:c>
      <x:c r="K38" s="267" t="n">
        <x:f>C38+7</x:f>
        <x:v>46122</x:v>
      </x:c>
      <x:c r="L38" s="265" t="str">
        <x:f>IF(AND(J38&lt;&gt;"Complete",K38&lt;DATE(2026,8,17)),"Overdue","On Track")</x:f>
        <x:v>On Track</x:v>
      </x:c>
      <x:c r="M38" s="265" t="str">
        <x:f>IF(J38="Complete","ONB-2026-"&amp;TEXT(ROW()-4,"0000"),"")</x:f>
        <x:v>ONB-2026-0034</x:v>
      </x:c>
    </x:row>
    <x:row r="39" ht="22" customHeight="1">
      <x:c r="A39" s="262" t="str">
        <x:f>'Employee Validation'!B38</x:f>
        <x:v>EMP-0035</x:v>
      </x:c>
      <x:c r="B39" s="262" t="str">
        <x:f>'Employee Validation'!D38</x:f>
        <x:v>Employee 35</x:v>
      </x:c>
      <x:c r="C39" s="266" t="n">
        <x:f>'Employee Validation'!I38</x:f>
        <x:v>46148</x:v>
      </x:c>
      <x:c r="D39" s="262" t="str">
        <x:f>'Employee Validation'!Y38</x:f>
        <x:v>Ready</x:v>
      </x:c>
      <x:c r="E39" s="262" t="str">
        <x:v>Complete</x:v>
      </x:c>
      <x:c r="F39" s="262" t="str">
        <x:v>Complete</x:v>
      </x:c>
      <x:c r="G39" s="262" t="str">
        <x:v>Complete</x:v>
      </x:c>
      <x:c r="H39" s="262" t="str">
        <x:f>'Employee Validation'!R38</x:f>
        <x:v>Received</x:v>
      </x:c>
      <x:c r="I39" s="262" t="str">
        <x:v>HR Admin</x:v>
      </x:c>
      <x:c r="J39" s="262" t="str">
        <x:f>IF(AND(E39="Complete",F39="Complete",G39="Complete",H39="Received"),"Complete","In Progress")</x:f>
        <x:v>Complete</x:v>
      </x:c>
      <x:c r="K39" s="266" t="n">
        <x:f>C39+7</x:f>
        <x:v>46155</x:v>
      </x:c>
      <x:c r="L39" s="262" t="str">
        <x:f>IF(AND(J39&lt;&gt;"Complete",K39&lt;DATE(2026,8,17)),"Overdue","On Track")</x:f>
        <x:v>On Track</x:v>
      </x:c>
      <x:c r="M39" s="262" t="str">
        <x:f>IF(J39="Complete","ONB-2026-"&amp;TEXT(ROW()-4,"0000"),"")</x:f>
        <x:v>ONB-2026-0035</x:v>
      </x:c>
    </x:row>
    <x:row r="40" ht="22" customHeight="1">
      <x:c r="A40" s="265" t="str">
        <x:f>'Employee Validation'!B39</x:f>
        <x:v>EMP-0036</x:v>
      </x:c>
      <x:c r="B40" s="265" t="str">
        <x:f>'Employee Validation'!D39</x:f>
        <x:v>Employee 36</x:v>
      </x:c>
      <x:c r="C40" s="267" t="n">
        <x:f>'Employee Validation'!I39</x:f>
        <x:v>46182</x:v>
      </x:c>
      <x:c r="D40" s="265" t="str">
        <x:f>'Employee Validation'!Y39</x:f>
        <x:v>Review</x:v>
      </x:c>
      <x:c r="E40" s="265" t="str">
        <x:v>Pending</x:v>
      </x:c>
      <x:c r="F40" s="265" t="str">
        <x:v>Complete</x:v>
      </x:c>
      <x:c r="G40" s="265" t="str">
        <x:v>Complete</x:v>
      </x:c>
      <x:c r="H40" s="265" t="str">
        <x:f>'Employee Validation'!R39</x:f>
        <x:v>Received</x:v>
      </x:c>
      <x:c r="I40" s="265" t="str">
        <x:v>HR Admin</x:v>
      </x:c>
      <x:c r="J40" s="265" t="str">
        <x:f>IF(AND(E40="Complete",F40="Complete",G40="Complete",H40="Received"),"Complete","In Progress")</x:f>
        <x:v>In Progress</x:v>
      </x:c>
      <x:c r="K40" s="267" t="n">
        <x:f>C40+7</x:f>
        <x:v>46189</x:v>
      </x:c>
      <x:c r="L40" s="265" t="str">
        <x:f>IF(AND(J40&lt;&gt;"Complete",K40&lt;DATE(2026,8,17)),"Overdue","On Track")</x:f>
        <x:v>Overdue</x:v>
      </x:c>
      <x:c r="M40" s="265" t="str">
        <x:f>IF(J40="Complete","ONB-2026-"&amp;TEXT(ROW()-4,"0000"),"")</x:f>
      </x:c>
    </x:row>
    <x:row r="41" ht="22" customHeight="1">
      <x:c r="A41" s="262" t="str">
        <x:f>'Employee Validation'!B40</x:f>
        <x:v>EMP-0037</x:v>
      </x:c>
      <x:c r="B41" s="262" t="str">
        <x:f>'Employee Validation'!D40</x:f>
        <x:v>Employee 37</x:v>
      </x:c>
      <x:c r="C41" s="266" t="n">
        <x:f>'Employee Validation'!I40</x:f>
        <x:v>46034</x:v>
      </x:c>
      <x:c r="D41" s="262" t="str">
        <x:f>'Employee Validation'!Y40</x:f>
        <x:v>Ready</x:v>
      </x:c>
      <x:c r="E41" s="262" t="str">
        <x:v>Complete</x:v>
      </x:c>
      <x:c r="F41" s="262" t="str">
        <x:v>Complete</x:v>
      </x:c>
      <x:c r="G41" s="262" t="str">
        <x:v>Pending</x:v>
      </x:c>
      <x:c r="H41" s="262" t="str">
        <x:f>'Employee Validation'!R40</x:f>
        <x:v>Received</x:v>
      </x:c>
      <x:c r="I41" s="262" t="str">
        <x:v>HR Admin</x:v>
      </x:c>
      <x:c r="J41" s="262" t="str">
        <x:f>IF(AND(E41="Complete",F41="Complete",G41="Complete",H41="Received"),"Complete","In Progress")</x:f>
        <x:v>In Progress</x:v>
      </x:c>
      <x:c r="K41" s="266" t="n">
        <x:f>C41+7</x:f>
        <x:v>46041</x:v>
      </x:c>
      <x:c r="L41" s="262" t="str">
        <x:f>IF(AND(J41&lt;&gt;"Complete",K41&lt;DATE(2026,8,17)),"Overdue","On Track")</x:f>
        <x:v>Overdue</x:v>
      </x:c>
      <x:c r="M41" s="262" t="str">
        <x:f>IF(J41="Complete","ONB-2026-"&amp;TEXT(ROW()-4,"0000"),"")</x:f>
      </x:c>
    </x:row>
    <x:row r="42" ht="22" customHeight="1">
      <x:c r="A42" s="265" t="str">
        <x:f>'Employee Validation'!B41</x:f>
        <x:v>EMP-0038</x:v>
      </x:c>
      <x:c r="B42" s="265" t="str">
        <x:f>'Employee Validation'!D41</x:f>
        <x:v>Employee 38</x:v>
      </x:c>
      <x:c r="C42" s="267" t="n">
        <x:f>'Employee Validation'!I41</x:f>
        <x:v>46068</x:v>
      </x:c>
      <x:c r="D42" s="265" t="str">
        <x:f>'Employee Validation'!Y41</x:f>
        <x:v>Ready</x:v>
      </x:c>
      <x:c r="E42" s="265" t="str">
        <x:v>Complete</x:v>
      </x:c>
      <x:c r="F42" s="265" t="str">
        <x:v>Complete</x:v>
      </x:c>
      <x:c r="G42" s="265" t="str">
        <x:v>Complete</x:v>
      </x:c>
      <x:c r="H42" s="265" t="str">
        <x:f>'Employee Validation'!R41</x:f>
        <x:v>Received</x:v>
      </x:c>
      <x:c r="I42" s="265" t="str">
        <x:v>HR Admin</x:v>
      </x:c>
      <x:c r="J42" s="265" t="str">
        <x:f>IF(AND(E42="Complete",F42="Complete",G42="Complete",H42="Received"),"Complete","In Progress")</x:f>
        <x:v>Complete</x:v>
      </x:c>
      <x:c r="K42" s="267" t="n">
        <x:f>C42+7</x:f>
        <x:v>46075</x:v>
      </x:c>
      <x:c r="L42" s="265" t="str">
        <x:f>IF(AND(J42&lt;&gt;"Complete",K42&lt;DATE(2026,8,17)),"Overdue","On Track")</x:f>
        <x:v>On Track</x:v>
      </x:c>
      <x:c r="M42" s="265" t="str">
        <x:f>IF(J42="Complete","ONB-2026-"&amp;TEXT(ROW()-4,"0000"),"")</x:f>
        <x:v>ONB-2026-0038</x:v>
      </x:c>
    </x:row>
    <x:row r="43" ht="22" customHeight="1">
      <x:c r="A43" s="262" t="str">
        <x:f>'Employee Validation'!B42</x:f>
        <x:v>EMP-0039</x:v>
      </x:c>
      <x:c r="B43" s="262" t="str">
        <x:f>'Employee Validation'!D42</x:f>
        <x:v>Employee 39</x:v>
      </x:c>
      <x:c r="C43" s="266" t="n">
        <x:f>'Employee Validation'!I42</x:f>
        <x:v>46099</x:v>
      </x:c>
      <x:c r="D43" s="262" t="str">
        <x:f>'Employee Validation'!Y42</x:f>
        <x:v>Review</x:v>
      </x:c>
      <x:c r="E43" s="262" t="str">
        <x:v>Complete</x:v>
      </x:c>
      <x:c r="F43" s="262" t="str">
        <x:v>Complete</x:v>
      </x:c>
      <x:c r="G43" s="262" t="str">
        <x:v>Complete</x:v>
      </x:c>
      <x:c r="H43" s="262" t="str">
        <x:f>'Employee Validation'!R42</x:f>
        <x:v>Missing</x:v>
      </x:c>
      <x:c r="I43" s="262" t="str">
        <x:v>HR Admin</x:v>
      </x:c>
      <x:c r="J43" s="262" t="str">
        <x:f>IF(AND(E43="Complete",F43="Complete",G43="Complete",H43="Received"),"Complete","In Progress")</x:f>
        <x:v>In Progress</x:v>
      </x:c>
      <x:c r="K43" s="266" t="n">
        <x:f>C43+7</x:f>
        <x:v>46106</x:v>
      </x:c>
      <x:c r="L43" s="262" t="str">
        <x:f>IF(AND(J43&lt;&gt;"Complete",K43&lt;DATE(2026,8,17)),"Overdue","On Track")</x:f>
        <x:v>Overdue</x:v>
      </x:c>
      <x:c r="M43" s="262" t="str">
        <x:f>IF(J43="Complete","ONB-2026-"&amp;TEXT(ROW()-4,"0000"),"")</x:f>
      </x:c>
    </x:row>
    <x:row r="44" ht="22" customHeight="1">
      <x:c r="A44" s="265" t="str">
        <x:f>'Employee Validation'!B43</x:f>
        <x:v>EMP-0040</x:v>
      </x:c>
      <x:c r="B44" s="265" t="str">
        <x:f>'Employee Validation'!D43</x:f>
        <x:v>Employee 40</x:v>
      </x:c>
      <x:c r="C44" s="267" t="n">
        <x:f>'Employee Validation'!I43</x:f>
        <x:v>46113</x:v>
      </x:c>
      <x:c r="D44" s="265" t="str">
        <x:f>'Employee Validation'!Y43</x:f>
        <x:v>Review</x:v>
      </x:c>
      <x:c r="E44" s="265" t="str">
        <x:v>Complete</x:v>
      </x:c>
      <x:c r="F44" s="265" t="str">
        <x:v>Complete</x:v>
      </x:c>
      <x:c r="G44" s="265" t="str">
        <x:v>Complete</x:v>
      </x:c>
      <x:c r="H44" s="265" t="str">
        <x:f>'Employee Validation'!R43</x:f>
        <x:v>Received</x:v>
      </x:c>
      <x:c r="I44" s="265" t="str">
        <x:v>HR Admin</x:v>
      </x:c>
      <x:c r="J44" s="265" t="str">
        <x:f>IF(AND(E44="Complete",F44="Complete",G44="Complete",H44="Received"),"Complete","In Progress")</x:f>
        <x:v>Complete</x:v>
      </x:c>
      <x:c r="K44" s="267" t="n">
        <x:f>C44+7</x:f>
        <x:v>46120</x:v>
      </x:c>
      <x:c r="L44" s="265" t="str">
        <x:f>IF(AND(J44&lt;&gt;"Complete",K44&lt;DATE(2026,8,17)),"Overdue","On Track")</x:f>
        <x:v>On Track</x:v>
      </x:c>
      <x:c r="M44" s="265" t="str">
        <x:f>IF(J44="Complete","ONB-2026-"&amp;TEXT(ROW()-4,"0000"),"")</x:f>
        <x:v>ONB-2026-0040</x:v>
      </x:c>
    </x:row>
  </x:sheetData>
  <x:mergeCells>
    <x:mergeCell ref="A1:M1"/>
    <x:mergeCell ref="A2:M2"/>
  </x:mergeCells>
  <x:conditionalFormatting sqref="A5:J44">
    <x:cfRule type="expression" dxfId="7" priority="1">
      <x:formula>MOD(ROW(),2)=0</x:formula>
    </x:cfRule>
  </x:conditionalFormatting>
  <x:dataValidations count="5">
    <x:dataValidation type="list" sqref="H5:H44">
      <x:formula1>"HR Admin,IT Admin,Hiring Manager"</x:formula1>
    </x:dataValidation>
    <x:dataValidation type="list" sqref="I5:I44">
      <x:formula1>"HR Admin,IT Admin,Hiring Manager"</x:formula1>
    </x:dataValidation>
    <x:dataValidation type="list" sqref="E5:E44">
      <x:formula1>"Pending,In Progress,Complete"</x:formula1>
    </x:dataValidation>
    <x:dataValidation type="list" sqref="F5:F44">
      <x:formula1>"Not Scheduled,Scheduled,Complete"</x:formula1>
    </x:dataValidation>
    <x:dataValidation type="list" sqref="G5:G44">
      <x:formula1>"Pending,In Progress,Complete"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24" hidden="0" customWidth="1"/>
    <x:col min="4" max="4" width="15" hidden="0" customWidth="1"/>
    <x:col min="5" max="5" width="15" hidden="0" customWidth="1"/>
    <x:col min="6" max="6" width="15" hidden="0" customWidth="1"/>
    <x:col min="7" max="7" width="17" hidden="0" customWidth="1"/>
    <x:col min="8" max="8" width="17" hidden="0" customWidth="1"/>
    <x:col min="9" max="9" width="58" hidden="0" customWidth="1"/>
    <x:col min="10" max="10" width="32" hidden="0" customWidth="1"/>
  </x:cols>
  <x:sheetData>
    <x:row r="1" ht="36" customHeight="1">
      <x:c r="A1" s="3" t="str">
        <x:v>PROJ-006 | DOCUMENT FOLLOW-UP QUEUE</x:v>
      </x:c>
      <x:c r="B1" s="3"/>
      <x:c r="C1" s="3"/>
      <x:c r="D1" s="3"/>
      <x:c r="E1" s="3"/>
      <x:c r="F1" s="3"/>
      <x:c r="G1" s="3"/>
      <x:c r="H1" s="3"/>
    </x:row>
    <x:row r="2" ht="25" customHeight="1">
      <x:c r="A2" s="6" t="str">
        <x:v>Missing-document counts • owner • priority • written request tracking</x:v>
      </x:c>
      <x:c r="B2" s="6"/>
      <x:c r="C2" s="6"/>
      <x:c r="D2" s="6"/>
      <x:c r="E2" s="6"/>
      <x:c r="F2" s="6"/>
      <x:c r="G2" s="6"/>
      <x:c r="H2" s="6"/>
    </x:row>
    <x:row r="4" ht="32" customHeight="1">
      <x:c r="A4" s="235" t="str">
        <x:v>Employee ID</x:v>
      </x:c>
      <x:c r="B4" s="235" t="str">
        <x:v>Employee Name</x:v>
      </x:c>
      <x:c r="C4" s="235" t="str">
        <x:v>Missing Document</x:v>
      </x:c>
      <x:c r="D4" s="235" t="str">
        <x:v>Priority</x:v>
      </x:c>
      <x:c r="E4" s="235" t="str">
        <x:v>Owner</x:v>
      </x:c>
      <x:c r="F4" s="235" t="str">
        <x:v>Status</x:v>
      </x:c>
      <x:c r="G4" s="235" t="str">
        <x:v>Request Date</x:v>
      </x:c>
      <x:c r="H4" s="235" t="str">
        <x:v>Due Date</x:v>
      </x:c>
      <x:c r="I4" s="235" t="str">
        <x:v>Written Request</x:v>
      </x:c>
      <x:c r="J4" s="235" t="str">
        <x:v>Response Note</x:v>
      </x:c>
    </x:row>
    <x:row r="5" ht="22" customHeight="1">
      <x:c r="A5" s="238" t="str">
        <x:f>'Employee Validation'!B11</x:f>
        <x:v>EMP-0008</x:v>
      </x:c>
      <x:c r="B5" s="238" t="str">
        <x:f>'Employee Validation'!D11</x:f>
        <x:v>Employee 08</x:v>
      </x:c>
      <x:c r="C5" s="238" t="str">
        <x:v>ID Document</x:v>
      </x:c>
      <x:c r="D5" s="238" t="str">
        <x:f>IF('Employee Validation'!Y11="High Priority Review","High","Medium")</x:f>
        <x:v>Medium</x:v>
      </x:c>
      <x:c r="E5" s="238" t="str">
        <x:v>HR Admin</x:v>
      </x:c>
      <x:c r="F5" s="238" t="str">
        <x:v>Open</x:v>
      </x:c>
      <x:c r="G5" s="242" t="n">
        <x:v>46251</x:v>
      </x:c>
      <x:c r="H5" s="242" t="n">
        <x:v>46254</x:v>
      </x:c>
      <x:c r="I5" s="238" t="str">
        <x:v>Please provide the missing id document through the secure written channel.</x:v>
      </x:c>
      <x:c r="J5" s="238" t="str"/>
    </x:row>
    <x:row r="6" ht="22" customHeight="1">
      <x:c r="A6" s="241" t="str">
        <x:f>'Employee Validation'!B12</x:f>
        <x:v>EMP-0009</x:v>
      </x:c>
      <x:c r="B6" s="241" t="str">
        <x:f>'Employee Validation'!D12</x:f>
        <x:v>Employee 09</x:v>
      </x:c>
      <x:c r="C6" s="241" t="str">
        <x:v>Tax Document</x:v>
      </x:c>
      <x:c r="D6" s="241" t="str">
        <x:f>IF('Employee Validation'!Y12="High Priority Review","High","Medium")</x:f>
        <x:v>High</x:v>
      </x:c>
      <x:c r="E6" s="241" t="str">
        <x:v>HR Admin</x:v>
      </x:c>
      <x:c r="F6" s="241" t="str">
        <x:v>Open</x:v>
      </x:c>
      <x:c r="G6" s="243" t="n">
        <x:v>46251</x:v>
      </x:c>
      <x:c r="H6" s="243" t="n">
        <x:v>46254</x:v>
      </x:c>
      <x:c r="I6" s="241" t="str">
        <x:v>Please provide the missing tax document through the secure written channel.</x:v>
      </x:c>
      <x:c r="J6" s="241" t="str"/>
    </x:row>
    <x:row r="7" ht="22" customHeight="1">
      <x:c r="A7" s="238" t="str">
        <x:f>'Employee Validation'!B13</x:f>
        <x:v>EMP-0010</x:v>
      </x:c>
      <x:c r="B7" s="238" t="str">
        <x:f>'Employee Validation'!D13</x:f>
        <x:v>Employee 10</x:v>
      </x:c>
      <x:c r="C7" s="238" t="str">
        <x:v>Bank Form</x:v>
      </x:c>
      <x:c r="D7" s="238" t="str">
        <x:f>IF('Employee Validation'!Y13="High Priority Review","High","Medium")</x:f>
        <x:v>Medium</x:v>
      </x:c>
      <x:c r="E7" s="238" t="str">
        <x:v>HR Admin</x:v>
      </x:c>
      <x:c r="F7" s="238" t="str">
        <x:v>Open</x:v>
      </x:c>
      <x:c r="G7" s="242" t="n">
        <x:v>46251</x:v>
      </x:c>
      <x:c r="H7" s="242" t="n">
        <x:v>46254</x:v>
      </x:c>
      <x:c r="I7" s="238" t="str">
        <x:v>Please provide the missing bank form through the secure written channel.</x:v>
      </x:c>
      <x:c r="J7" s="238" t="str"/>
    </x:row>
    <x:row r="8" ht="22" customHeight="1">
      <x:c r="A8" s="241" t="str">
        <x:f>'Employee Validation'!B14</x:f>
        <x:v>EMP-0011</x:v>
      </x:c>
      <x:c r="B8" s="241" t="str">
        <x:f>'Employee Validation'!D14</x:f>
        <x:v>Employee 11</x:v>
      </x:c>
      <x:c r="C8" s="241" t="str">
        <x:v>Emergency Contact</x:v>
      </x:c>
      <x:c r="D8" s="241" t="str">
        <x:f>IF('Employee Validation'!Y14="High Priority Review","High","Medium")</x:f>
        <x:v>Medium</x:v>
      </x:c>
      <x:c r="E8" s="241" t="str">
        <x:v>HR Admin</x:v>
      </x:c>
      <x:c r="F8" s="241" t="str">
        <x:v>Open</x:v>
      </x:c>
      <x:c r="G8" s="243" t="n">
        <x:v>46251</x:v>
      </x:c>
      <x:c r="H8" s="243" t="n">
        <x:v>46254</x:v>
      </x:c>
      <x:c r="I8" s="241" t="str">
        <x:v>Please provide the missing emergency contact through the secure written channel.</x:v>
      </x:c>
      <x:c r="J8" s="241" t="str"/>
    </x:row>
    <x:row r="9" ht="22" customHeight="1">
      <x:c r="A9" s="238" t="str">
        <x:f>'Employee Validation'!B16</x:f>
        <x:v>EMP-0012</x:v>
      </x:c>
      <x:c r="B9" s="238" t="str">
        <x:f>'Employee Validation'!D16</x:f>
        <x:v>Employee 13</x:v>
      </x:c>
      <x:c r="C9" s="238" t="str">
        <x:v>Policy Acknowledgement</x:v>
      </x:c>
      <x:c r="D9" s="238" t="str">
        <x:f>IF('Employee Validation'!Y16="High Priority Review","High","Medium")</x:f>
        <x:v>High</x:v>
      </x:c>
      <x:c r="E9" s="238" t="str">
        <x:v>HR Admin</x:v>
      </x:c>
      <x:c r="F9" s="238" t="str">
        <x:v>Open</x:v>
      </x:c>
      <x:c r="G9" s="242" t="n">
        <x:v>46251</x:v>
      </x:c>
      <x:c r="H9" s="242" t="n">
        <x:v>46254</x:v>
      </x:c>
      <x:c r="I9" s="238" t="str">
        <x:v>Please provide the missing policy acknowledgement through the secure written channel.</x:v>
      </x:c>
      <x:c r="J9" s="238" t="str"/>
    </x:row>
    <x:row r="10">
      <x:c r="A10" s="241" t="str">
        <x:f>'Employee Validation'!B19</x:f>
        <x:v>EMP-0016</x:v>
      </x:c>
      <x:c r="B10" s="241" t="str">
        <x:f>'Employee Validation'!D19</x:f>
        <x:v>Employee 16</x:v>
      </x:c>
      <x:c r="C10" s="241" t="str">
        <x:v>ID Document</x:v>
      </x:c>
      <x:c r="D10" s="241" t="str">
        <x:f>IF('Employee Validation'!Y19="High Priority Review","High","Medium")</x:f>
        <x:v>Medium</x:v>
      </x:c>
      <x:c r="E10" s="241" t="str">
        <x:v>HR Admin</x:v>
      </x:c>
      <x:c r="F10" s="241" t="str">
        <x:v>Open</x:v>
      </x:c>
      <x:c r="G10" s="243" t="n">
        <x:v>46251</x:v>
      </x:c>
      <x:c r="H10" s="243" t="n">
        <x:v>46254</x:v>
      </x:c>
      <x:c r="I10" s="241" t="str">
        <x:v>Please provide the missing id document through the secure written channel.</x:v>
      </x:c>
      <x:c r="J10" s="241" t="str"/>
    </x:row>
    <x:row r="11">
      <x:c r="A11" s="238" t="str">
        <x:f>'Employee Validation'!B21</x:f>
        <x:v>EMP-0018</x:v>
      </x:c>
      <x:c r="B11" s="238" t="str">
        <x:f>'Employee Validation'!D21</x:f>
        <x:v>Employee 18</x:v>
      </x:c>
      <x:c r="C11" s="238" t="str">
        <x:v>Tax Document</x:v>
      </x:c>
      <x:c r="D11" s="238" t="str">
        <x:f>IF('Employee Validation'!Y21="High Priority Review","High","Medium")</x:f>
        <x:v>Medium</x:v>
      </x:c>
      <x:c r="E11" s="238" t="str">
        <x:v>HR Admin</x:v>
      </x:c>
      <x:c r="F11" s="238" t="str">
        <x:v>Open</x:v>
      </x:c>
      <x:c r="G11" s="242" t="n">
        <x:v>46251</x:v>
      </x:c>
      <x:c r="H11" s="242" t="n">
        <x:v>46254</x:v>
      </x:c>
      <x:c r="I11" s="238" t="str">
        <x:v>Please provide the missing tax document through the secure written channel.</x:v>
      </x:c>
      <x:c r="J11" s="238" t="str"/>
    </x:row>
    <x:row r="12">
      <x:c r="A12" s="241" t="str">
        <x:f>'Employee Validation'!B23</x:f>
        <x:v>EMP-0020</x:v>
      </x:c>
      <x:c r="B12" s="241" t="str">
        <x:f>'Employee Validation'!D23</x:f>
        <x:v>Employee 20</x:v>
      </x:c>
      <x:c r="C12" s="241" t="str">
        <x:v>Bank Form</x:v>
      </x:c>
      <x:c r="D12" s="241" t="str">
        <x:f>IF('Employee Validation'!Y23="High Priority Review","High","Medium")</x:f>
        <x:v>Medium</x:v>
      </x:c>
      <x:c r="E12" s="241" t="str">
        <x:v>HR Admin</x:v>
      </x:c>
      <x:c r="F12" s="241" t="str">
        <x:v>Open</x:v>
      </x:c>
      <x:c r="G12" s="243" t="n">
        <x:v>46251</x:v>
      </x:c>
      <x:c r="H12" s="243" t="n">
        <x:v>46254</x:v>
      </x:c>
      <x:c r="I12" s="241" t="str">
        <x:v>Please provide the missing bank form through the secure written channel.</x:v>
      </x:c>
      <x:c r="J12" s="241" t="str"/>
    </x:row>
    <x:row r="13">
      <x:c r="A13" s="238" t="str">
        <x:f>'Employee Validation'!B25</x:f>
        <x:v>EMP-0022</x:v>
      </x:c>
      <x:c r="B13" s="238" t="str">
        <x:f>'Employee Validation'!D25</x:f>
        <x:v>Employee 22</x:v>
      </x:c>
      <x:c r="C13" s="238" t="str">
        <x:v>Emergency Contact</x:v>
      </x:c>
      <x:c r="D13" s="238" t="str">
        <x:f>IF('Employee Validation'!Y25="High Priority Review","High","Medium")</x:f>
        <x:v>Medium</x:v>
      </x:c>
      <x:c r="E13" s="238" t="str">
        <x:v>HR Admin</x:v>
      </x:c>
      <x:c r="F13" s="238" t="str">
        <x:v>Open</x:v>
      </x:c>
      <x:c r="G13" s="242" t="n">
        <x:v>46251</x:v>
      </x:c>
      <x:c r="H13" s="242" t="n">
        <x:v>46254</x:v>
      </x:c>
      <x:c r="I13" s="238" t="str">
        <x:v>Please provide the missing emergency contact through the secure written channel.</x:v>
      </x:c>
      <x:c r="J13" s="238" t="str"/>
    </x:row>
    <x:row r="14">
      <x:c r="A14" s="241" t="str">
        <x:f>'Employee Validation'!B27</x:f>
        <x:v>EMP-0024</x:v>
      </x:c>
      <x:c r="B14" s="241" t="str">
        <x:f>'Employee Validation'!D27</x:f>
        <x:v>Employee 24</x:v>
      </x:c>
      <x:c r="C14" s="241" t="str">
        <x:v>ID Document</x:v>
      </x:c>
      <x:c r="D14" s="241" t="str">
        <x:f>IF('Employee Validation'!Y27="High Priority Review","High","Medium")</x:f>
        <x:v>Medium</x:v>
      </x:c>
      <x:c r="E14" s="241" t="str">
        <x:v>HR Admin</x:v>
      </x:c>
      <x:c r="F14" s="241" t="str">
        <x:v>Open</x:v>
      </x:c>
      <x:c r="G14" s="243" t="n">
        <x:v>46251</x:v>
      </x:c>
      <x:c r="H14" s="243" t="n">
        <x:v>46254</x:v>
      </x:c>
      <x:c r="I14" s="241" t="str">
        <x:v>Please provide the missing id document through the secure written channel.</x:v>
      </x:c>
      <x:c r="J14" s="241" t="str"/>
    </x:row>
    <x:row r="15">
      <x:c r="A15" s="238" t="str">
        <x:f>'Employee Validation'!B29</x:f>
        <x:v>EMP-0026</x:v>
      </x:c>
      <x:c r="B15" s="238" t="str">
        <x:f>'Employee Validation'!D29</x:f>
        <x:v>Employee 26</x:v>
      </x:c>
      <x:c r="C15" s="238" t="str">
        <x:v>Policy Acknowledgement</x:v>
      </x:c>
      <x:c r="D15" s="238" t="str">
        <x:f>IF('Employee Validation'!Y29="High Priority Review","High","Medium")</x:f>
        <x:v>Medium</x:v>
      </x:c>
      <x:c r="E15" s="238" t="str">
        <x:v>HR Admin</x:v>
      </x:c>
      <x:c r="F15" s="238" t="str">
        <x:v>Open</x:v>
      </x:c>
      <x:c r="G15" s="242" t="n">
        <x:v>46251</x:v>
      </x:c>
      <x:c r="H15" s="242" t="n">
        <x:v>46254</x:v>
      </x:c>
      <x:c r="I15" s="238" t="str">
        <x:v>Please provide the missing policy acknowledgement through the secure written channel.</x:v>
      </x:c>
      <x:c r="J15" s="238" t="str"/>
    </x:row>
    <x:row r="16">
      <x:c r="A16" s="241" t="str">
        <x:f>'Employee Validation'!B30</x:f>
        <x:v>EMP-0027</x:v>
      </x:c>
      <x:c r="B16" s="241" t="str">
        <x:f>'Employee Validation'!D30</x:f>
        <x:v>Employee 27</x:v>
      </x:c>
      <x:c r="C16" s="241" t="str">
        <x:v>Tax Document</x:v>
      </x:c>
      <x:c r="D16" s="241" t="str">
        <x:f>IF('Employee Validation'!Y30="High Priority Review","High","Medium")</x:f>
        <x:v>Medium</x:v>
      </x:c>
      <x:c r="E16" s="241" t="str">
        <x:v>HR Admin</x:v>
      </x:c>
      <x:c r="F16" s="241" t="str">
        <x:v>Open</x:v>
      </x:c>
      <x:c r="G16" s="243" t="n">
        <x:v>46251</x:v>
      </x:c>
      <x:c r="H16" s="243" t="n">
        <x:v>46254</x:v>
      </x:c>
      <x:c r="I16" s="241" t="str">
        <x:v>Please provide the missing tax document through the secure written channel.</x:v>
      </x:c>
      <x:c r="J16" s="241" t="str"/>
    </x:row>
    <x:row r="17">
      <x:c r="A17" s="238" t="str">
        <x:f>'Employee Validation'!B33</x:f>
        <x:v>EMP-0030</x:v>
      </x:c>
      <x:c r="B17" s="238" t="str">
        <x:f>'Employee Validation'!D33</x:f>
        <x:v>Employee 30</x:v>
      </x:c>
      <x:c r="C17" s="238" t="str">
        <x:v>Bank Form</x:v>
      </x:c>
      <x:c r="D17" s="238" t="str">
        <x:f>IF('Employee Validation'!Y33="High Priority Review","High","Medium")</x:f>
        <x:v>Medium</x:v>
      </x:c>
      <x:c r="E17" s="238" t="str">
        <x:v>HR Admin</x:v>
      </x:c>
      <x:c r="F17" s="238" t="str">
        <x:v>Open</x:v>
      </x:c>
      <x:c r="G17" s="242" t="n">
        <x:v>46251</x:v>
      </x:c>
      <x:c r="H17" s="242" t="n">
        <x:v>46254</x:v>
      </x:c>
      <x:c r="I17" s="238" t="str">
        <x:v>Please provide the missing bank form through the secure written channel.</x:v>
      </x:c>
      <x:c r="J17" s="238" t="str"/>
    </x:row>
    <x:row r="18">
      <x:c r="A18" s="241" t="str">
        <x:f>'Employee Validation'!B35</x:f>
        <x:v>EMP-0031</x:v>
      </x:c>
      <x:c r="B18" s="241" t="str">
        <x:f>'Employee Validation'!D35</x:f>
        <x:v>Employee 32</x:v>
      </x:c>
      <x:c r="C18" s="241" t="str">
        <x:v>ID Document</x:v>
      </x:c>
      <x:c r="D18" s="241" t="str">
        <x:f>IF('Employee Validation'!Y35="High Priority Review","High","Medium")</x:f>
        <x:v>High</x:v>
      </x:c>
      <x:c r="E18" s="241" t="str">
        <x:v>HR Admin</x:v>
      </x:c>
      <x:c r="F18" s="241" t="str">
        <x:v>Open</x:v>
      </x:c>
      <x:c r="G18" s="243" t="n">
        <x:v>46251</x:v>
      </x:c>
      <x:c r="H18" s="243" t="n">
        <x:v>46254</x:v>
      </x:c>
      <x:c r="I18" s="241" t="str">
        <x:v>Please provide the missing id document through the secure written channel.</x:v>
      </x:c>
      <x:c r="J18" s="241" t="str"/>
    </x:row>
    <x:row r="19">
      <x:c r="A19" s="238" t="str">
        <x:f>'Employee Validation'!B36</x:f>
        <x:v>EMP-0033</x:v>
      </x:c>
      <x:c r="B19" s="238" t="str">
        <x:f>'Employee Validation'!D36</x:f>
        <x:v>Employee 33</x:v>
      </x:c>
      <x:c r="C19" s="238" t="str">
        <x:v>Emergency Contact</x:v>
      </x:c>
      <x:c r="D19" s="238" t="str">
        <x:f>IF('Employee Validation'!Y36="High Priority Review","High","Medium")</x:f>
        <x:v>Medium</x:v>
      </x:c>
      <x:c r="E19" s="238" t="str">
        <x:v>HR Admin</x:v>
      </x:c>
      <x:c r="F19" s="238" t="str">
        <x:v>Open</x:v>
      </x:c>
      <x:c r="G19" s="242" t="n">
        <x:v>46251</x:v>
      </x:c>
      <x:c r="H19" s="242" t="n">
        <x:v>46254</x:v>
      </x:c>
      <x:c r="I19" s="238" t="str">
        <x:v>Please provide the missing emergency contact through the secure written channel.</x:v>
      </x:c>
      <x:c r="J19" s="238" t="str"/>
    </x:row>
    <x:row r="20">
      <x:c r="A20" s="241" t="str">
        <x:f>'Employee Validation'!B39</x:f>
        <x:v>EMP-0036</x:v>
      </x:c>
      <x:c r="B20" s="241" t="str">
        <x:f>'Employee Validation'!D39</x:f>
        <x:v>Employee 36</x:v>
      </x:c>
      <x:c r="C20" s="241" t="str">
        <x:v>Tax Document</x:v>
      </x:c>
      <x:c r="D20" s="241" t="str">
        <x:f>IF('Employee Validation'!Y39="High Priority Review","High","Medium")</x:f>
        <x:v>Medium</x:v>
      </x:c>
      <x:c r="E20" s="241" t="str">
        <x:v>HR Admin</x:v>
      </x:c>
      <x:c r="F20" s="241" t="str">
        <x:v>Open</x:v>
      </x:c>
      <x:c r="G20" s="243" t="n">
        <x:v>46251</x:v>
      </x:c>
      <x:c r="H20" s="243" t="n">
        <x:v>46254</x:v>
      </x:c>
      <x:c r="I20" s="241" t="str">
        <x:v>Please provide the missing tax document through the secure written channel.</x:v>
      </x:c>
      <x:c r="J20" s="241" t="str"/>
    </x:row>
    <x:row r="21">
      <x:c r="A21" s="238" t="str">
        <x:f>'Employee Validation'!B42</x:f>
        <x:v>EMP-0039</x:v>
      </x:c>
      <x:c r="B21" s="238" t="str">
        <x:f>'Employee Validation'!D42</x:f>
        <x:v>Employee 39</x:v>
      </x:c>
      <x:c r="C21" s="238" t="str">
        <x:v>Policy Acknowledgement</x:v>
      </x:c>
      <x:c r="D21" s="238" t="str">
        <x:f>IF('Employee Validation'!Y42="High Priority Review","High","Medium")</x:f>
        <x:v>Medium</x:v>
      </x:c>
      <x:c r="E21" s="238" t="str">
        <x:v>HR Admin</x:v>
      </x:c>
      <x:c r="F21" s="238" t="str">
        <x:v>Open</x:v>
      </x:c>
      <x:c r="G21" s="242" t="n">
        <x:v>46251</x:v>
      </x:c>
      <x:c r="H21" s="242" t="n">
        <x:v>46254</x:v>
      </x:c>
      <x:c r="I21" s="238" t="str">
        <x:v>Please provide the missing policy acknowledgement through the secure written channel.</x:v>
      </x:c>
      <x:c r="J21" s="238" t="str"/>
    </x:row>
    <x:row r="22">
      <x:c r="A22" s="241" t="str">
        <x:f>'Employee Validation'!B43</x:f>
        <x:v>EMP-0040</x:v>
      </x:c>
      <x:c r="B22" s="241" t="str">
        <x:f>'Employee Validation'!D43</x:f>
        <x:v>Employee 40</x:v>
      </x:c>
      <x:c r="C22" s="241" t="str">
        <x:v>ID Document</x:v>
      </x:c>
      <x:c r="D22" s="241" t="str">
        <x:f>IF('Employee Validation'!Y43="High Priority Review","High","Medium")</x:f>
        <x:v>Medium</x:v>
      </x:c>
      <x:c r="E22" s="241" t="str">
        <x:v>HR Admin</x:v>
      </x:c>
      <x:c r="F22" s="241" t="str">
        <x:v>Open</x:v>
      </x:c>
      <x:c r="G22" s="243" t="n">
        <x:v>46251</x:v>
      </x:c>
      <x:c r="H22" s="243" t="n">
        <x:v>46254</x:v>
      </x:c>
      <x:c r="I22" s="241" t="str">
        <x:v>Please provide the missing id document through the secure written channel.</x:v>
      </x:c>
      <x:c r="J22" s="241" t="str"/>
    </x:row>
    <x:row r="23">
      <x:c r="A23" s="238" t="str">
        <x:f>'Employee Validation'!B43</x:f>
        <x:v>EMP-0040</x:v>
      </x:c>
      <x:c r="B23" s="238" t="str">
        <x:f>'Employee Validation'!D43</x:f>
        <x:v>Employee 40</x:v>
      </x:c>
      <x:c r="C23" s="238" t="str">
        <x:v>Bank Form</x:v>
      </x:c>
      <x:c r="D23" s="238" t="str">
        <x:f>IF('Employee Validation'!Y43="High Priority Review","High","Medium")</x:f>
        <x:v>Medium</x:v>
      </x:c>
      <x:c r="E23" s="238" t="str">
        <x:v>HR Admin</x:v>
      </x:c>
      <x:c r="F23" s="238" t="str">
        <x:v>Open</x:v>
      </x:c>
      <x:c r="G23" s="242" t="n">
        <x:v>46251</x:v>
      </x:c>
      <x:c r="H23" s="242" t="n">
        <x:v>46254</x:v>
      </x:c>
      <x:c r="I23" s="238" t="str">
        <x:v>Please provide the missing bank form through the secure written channel.</x:v>
      </x:c>
      <x:c r="J23" s="238" t="str"/>
    </x:row>
  </x:sheetData>
  <x:mergeCells>
    <x:mergeCell ref="A1:J1"/>
    <x:mergeCell ref="A2:J2"/>
  </x:mergeCells>
  <x:conditionalFormatting sqref="A5:H9">
    <x:cfRule type="expression" dxfId="8" priority="1">
      <x:formula>MOD(ROW(),2)=0</x:formula>
    </x:cfRule>
  </x:conditionalFormatting>
  <x:dataValidations count="5">
    <x:dataValidation type="list" sqref="C5:C9">
      <x:formula1>"High,Medium,Low"</x:formula1>
    </x:dataValidation>
    <x:dataValidation type="list" sqref="E5:E9">
      <x:formula1>"Open,In Progress,Waiting,Complete"</x:formula1>
    </x:dataValidation>
    <x:dataValidation type="list" sqref="D5:D23">
      <x:formula1>"High,Medium,Low"</x:formula1>
    </x:dataValidation>
    <x:dataValidation type="list" sqref="E5:E23">
      <x:formula1>"HR Admin,Hiring Manager,Employee"</x:formula1>
    </x:dataValidation>
    <x:dataValidation type="list" sqref="F5:F23">
      <x:formula1>"Open,In Progress,Waiting,Complete"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5" hidden="0" customWidth="1"/>
    <x:col min="3" max="3" width="52" hidden="0" customWidth="1"/>
    <x:col min="4" max="4" width="27" hidden="0" customWidth="1"/>
    <x:col min="5" max="5" width="20" hidden="0" customWidth="1"/>
    <x:col min="6" max="6" width="36" hidden="0" customWidth="1"/>
  </x:cols>
  <x:sheetData>
    <x:row r="1" ht="36" customHeight="1">
      <x:c r="A1" s="3" t="str">
        <x:v>PROJ-006 | HR DATA ENTRY SOP</x:v>
      </x:c>
      <x:c r="B1" s="3"/>
      <x:c r="C1" s="3"/>
      <x:c r="D1" s="3"/>
      <x:c r="E1" s="3"/>
      <x:c r="F1" s="3"/>
    </x:row>
    <x:row r="2" ht="25" customHeight="1">
      <x:c r="A2" s="6" t="str">
        <x:v>Privacy-aware controls for accurate remote employee-record administration</x:v>
      </x:c>
      <x:c r="B2" s="6"/>
      <x:c r="C2" s="6"/>
      <x:c r="D2" s="6"/>
      <x:c r="E2" s="6"/>
      <x:c r="F2" s="6"/>
    </x:row>
    <x:row r="4" ht="30" customHeight="1">
      <x:c r="A4" s="12" t="str">
        <x:v>Step</x:v>
      </x:c>
      <x:c r="B4" s="12" t="str">
        <x:v>Control</x:v>
      </x:c>
      <x:c r="C4" s="12" t="str">
        <x:v>Procedure</x:v>
      </x:c>
      <x:c r="D4" s="12" t="str">
        <x:v>Evidence</x:v>
      </x:c>
      <x:c r="E4" s="12" t="str">
        <x:v>Owner</x:v>
      </x:c>
      <x:c r="F4" s="12" t="str">
        <x:v>Completion Standard</x:v>
      </x:c>
    </x:row>
    <x:row r="5" ht="22" customHeight="1">
      <x:c r="A5" s="198" t="n">
        <x:v>1</x:v>
      </x:c>
      <x:c r="B5" s="17" t="str">
        <x:v>Use simulated / approved data</x:v>
      </x:c>
      <x:c r="C5" s="17" t="str">
        <x:v>Never place real sensitive data in portfolio evidence</x:v>
      </x:c>
      <x:c r="D5" s="17" t="str">
        <x:v>Approved source</x:v>
      </x:c>
      <x:c r="E5" s="17" t="str">
        <x:v>HR Admin</x:v>
      </x:c>
      <x:c r="F5" s="17" t="str">
        <x:v>Privacy boundary confirmed</x:v>
      </x:c>
    </x:row>
    <x:row r="6" ht="22" customHeight="1">
      <x:c r="A6" s="199" t="n">
        <x:v>2</x:v>
      </x:c>
      <x:c r="B6" s="18" t="str">
        <x:v>Preserve intake</x:v>
      </x:c>
      <x:c r="C6" s="18" t="str">
        <x:v>Save original form without overwriting</x:v>
      </x:c>
      <x:c r="D6" s="18" t="str">
        <x:v>Secure folder</x:v>
      </x:c>
      <x:c r="E6" s="18" t="str">
        <x:v>HR Admin</x:v>
      </x:c>
      <x:c r="F6" s="18" t="str">
        <x:v>Source remains unchanged</x:v>
      </x:c>
    </x:row>
    <x:row r="7" ht="22" customHeight="1">
      <x:c r="A7" s="199" t="n">
        <x:v>3</x:v>
      </x:c>
      <x:c r="B7" s="18" t="str">
        <x:v>Validate Employee ID</x:v>
      </x:c>
      <x:c r="C7" s="18" t="str">
        <x:v>Check uniqueness before entry</x:v>
      </x:c>
      <x:c r="D7" s="18" t="str">
        <x:v>Employee master</x:v>
      </x:c>
      <x:c r="E7" s="18" t="str">
        <x:v>HR Admin</x:v>
      </x:c>
      <x:c r="F7" s="18" t="str">
        <x:v>No silent merge</x:v>
      </x:c>
    </x:row>
    <x:row r="8" ht="22" customHeight="1">
      <x:c r="A8" s="199" t="n">
        <x:v>4</x:v>
      </x:c>
      <x:c r="B8" s="18" t="str">
        <x:v>Use controlled values</x:v>
      </x:c>
      <x:c r="C8" s="18" t="str">
        <x:v>Select department, type and location from references</x:v>
      </x:c>
      <x:c r="D8" s="18" t="str">
        <x:v>Reference sheet</x:v>
      </x:c>
      <x:c r="E8" s="18" t="str">
        <x:v>HR Admin</x:v>
      </x:c>
      <x:c r="F8" s="18" t="str">
        <x:v>No guessed classification</x:v>
      </x:c>
    </x:row>
    <x:row r="9" ht="22" customHeight="1">
      <x:c r="A9" s="199" t="n">
        <x:v>5</x:v>
      </x:c>
      <x:c r="B9" s="18" t="str">
        <x:v>Validate dates</x:v>
      </x:c>
      <x:c r="C9" s="18" t="str">
        <x:v>Check start, probation and contract dates</x:v>
      </x:c>
      <x:c r="D9" s="18" t="str">
        <x:v>Employee form</x:v>
      </x:c>
      <x:c r="E9" s="18" t="str">
        <x:v>HR Admin</x:v>
      </x:c>
      <x:c r="F9" s="18" t="str">
        <x:v>Chronology is valid</x:v>
      </x:c>
    </x:row>
    <x:row r="10" ht="22" customHeight="1">
      <x:c r="A10" s="199" t="n">
        <x:v>6</x:v>
      </x:c>
      <x:c r="B10" s="18" t="str">
        <x:v>Check documents</x:v>
      </x:c>
      <x:c r="C10" s="18" t="str">
        <x:v>Review all required document statuses</x:v>
      </x:c>
      <x:c r="D10" s="18" t="str">
        <x:v>Document checklist</x:v>
      </x:c>
      <x:c r="E10" s="18" t="str">
        <x:v>HR Admin</x:v>
      </x:c>
      <x:c r="F10" s="18" t="str">
        <x:v>Missing items identified</x:v>
      </x:c>
    </x:row>
    <x:row r="11" ht="22" customHeight="1">
      <x:c r="A11" s="199" t="n">
        <x:v>7</x:v>
      </x:c>
      <x:c r="B11" s="18" t="str">
        <x:v>Request in writing</x:v>
      </x:c>
      <x:c r="C11" s="18" t="str">
        <x:v>Use email or task; avoid sensitive details in subject</x:v>
      </x:c>
      <x:c r="D11" s="18" t="str">
        <x:v>Follow-Up Queue</x:v>
      </x:c>
      <x:c r="E11" s="18" t="str">
        <x:v>HR Admin</x:v>
      </x:c>
      <x:c r="F11" s="18" t="str">
        <x:v>Traceable request sent</x:v>
      </x:c>
    </x:row>
    <x:row r="12" ht="22" customHeight="1">
      <x:c r="A12" s="199" t="n">
        <x:v>8</x:v>
      </x:c>
      <x:c r="B12" s="18" t="str">
        <x:v>Track onboarding</x:v>
      </x:c>
      <x:c r="C12" s="18" t="str">
        <x:v>Assign owner, status and due date</x:v>
      </x:c>
      <x:c r="D12" s="18" t="str">
        <x:v>Onboarding Tracker</x:v>
      </x:c>
      <x:c r="E12" s="18" t="str">
        <x:v>HR Admin</x:v>
      </x:c>
      <x:c r="F12" s="18" t="str">
        <x:v>Tasks are accountable</x:v>
      </x:c>
    </x:row>
    <x:row r="13" ht="22" customHeight="1">
      <x:c r="A13" s="200" t="n">
        <x:v>9</x:v>
      </x:c>
      <x:c r="B13" s="19" t="str">
        <x:v>Final QA</x:v>
      </x:c>
      <x:c r="C13" s="19" t="str">
        <x:v>Reconcile dashboard to QA Summary</x:v>
      </x:c>
      <x:c r="D13" s="19" t="str">
        <x:v>QA Summary</x:v>
      </x:c>
      <x:c r="E13" s="19" t="str">
        <x:v>HR Admin</x:v>
      </x:c>
      <x:c r="F13" s="19" t="str">
        <x:v>No formula errors</x:v>
      </x:c>
    </x:row>
  </x:sheetData>
  <x:mergeCells>
    <x:mergeCell ref="A1:F1"/>
    <x:mergeCell ref="A2:F2"/>
  </x:mergeCells>
  <x:conditionalFormatting sqref="A5:F13">
    <x:cfRule type="expression" dxfId="9" priority="1">
      <x:formula>MOD(ROW(),2)=0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2" hidden="0" customWidth="1"/>
  </x:cols>
  <x:sheetData>
    <x:row r="1" ht="36" customHeight="1">
      <x:c r="A1" s="3" t="str">
        <x:v>PROJ-006 | PROJECT NOTES</x:v>
      </x:c>
      <x:c r="B1" s="3"/>
    </x:row>
    <x:row r="2" ht="25" customHeight="1">
      <x:c r="A2" s="6" t="str">
        <x:v>Portfolio scope • privacy boundary • recruiter-facing context</x:v>
      </x:c>
      <x:c r="B2" s="6"/>
    </x:row>
    <x:row r="4" ht="30" customHeight="1">
      <x:c r="A4" s="12" t="str">
        <x:v>Item</x:v>
      </x:c>
      <x:c r="B4" s="12" t="str">
        <x:v>Detail</x:v>
      </x:c>
    </x:row>
    <x:row r="5">
      <x:c r="A5" s="190" t="str">
        <x:v>Classification</x:v>
      </x:c>
      <x:c r="B5" s="47" t="str">
        <x:v>Independent portfolio project; fictional company and simulated employee data</x:v>
      </x:c>
    </x:row>
    <x:row r="6">
      <x:c r="A6" s="190" t="str">
        <x:v>Purpose</x:v>
      </x:c>
      <x:c r="B6" s="47" t="str">
        <x:v>Employee master validation, onboarding tracking and document control</x:v>
      </x:c>
    </x:row>
    <x:row r="7">
      <x:c r="A7" s="190" t="str">
        <x:v>Privacy</x:v>
      </x:c>
      <x:c r="B7" s="47" t="str">
        <x:v>No real ID numbers, addresses, salaries, bank accounts or personal contact data</x:v>
      </x:c>
    </x:row>
    <x:row r="8">
      <x:c r="A8" s="190" t="str">
        <x:v>Communication</x:v>
      </x:c>
      <x:c r="B8" s="47" t="str">
        <x:v>Email, chat, secure task tracking and documented handoff</x:v>
      </x:c>
    </x:row>
    <x:row r="9">
      <x:c r="A9" s="190" t="str">
        <x:v>Primary skills</x:v>
      </x:c>
      <x:c r="B9" s="47" t="str">
        <x:v>HR data entry, validation, document tracking, onboarding administration</x:v>
      </x:c>
    </x:row>
    <x:row r="10">
      <x:c r="A10" s="190" t="str">
        <x:v>Out of scope</x:v>
      </x:c>
      <x:c r="B10" s="47" t="str">
        <x:v>Recruiting interviews, payroll decisions, live HRIS changes, phone support</x:v>
      </x:c>
    </x:row>
    <x:row r="11">
      <x:c r="A11" s="190" t="str">
        <x:v>Impact boundary</x:v>
      </x:c>
      <x:c r="B11" s="47" t="str">
        <x:v>No claims about hiring speed, retention, savings or business impact</x:v>
      </x:c>
    </x:row>
    <x:row r="12">
      <x:c r="A12" s="190" t="str">
        <x:v>Records</x:v>
      </x:c>
      <x:c r="B12" s="47" t="str">
        <x:v>40 simulated employee rows retained</x:v>
      </x:c>
    </x:row>
    <x:row r="13">
      <x:c r="A13" s="190" t="str">
        <x:v>Work model</x:v>
      </x:c>
      <x:c r="B13" s="47" t="str">
        <x:v>Written-first remote administrative workflow; no cold calling required</x:v>
      </x:c>
    </x:row>
  </x:sheetData>
  <x:mergeCells>
    <x:mergeCell ref="A1:B1"/>
    <x:mergeCell ref="A2:B2"/>
  </x:mergeCells>
  <x:pageMargins left="0.7" right="0.7" top="0.75" bottom="0.75" header="0.3" footer="0.3"/>
</x:worksheet>
</file>