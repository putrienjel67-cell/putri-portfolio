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c2790137a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s Raw" sheetId="1" r:id="R33ad005e2b3a4937"/>
    <x:sheet xmlns:r="http://schemas.openxmlformats.org/officeDocument/2006/relationships" name="Patient Registry" sheetId="2" r:id="Rad9d35eb65d741ab"/>
    <x:sheet xmlns:r="http://schemas.openxmlformats.org/officeDocument/2006/relationships" name="References" sheetId="3" r:id="R8f6d57a59e404de6"/>
    <x:sheet xmlns:r="http://schemas.openxmlformats.org/officeDocument/2006/relationships" name="Record Validation" sheetId="4" r:id="R35cbf002d1ea4a64"/>
    <x:sheet xmlns:r="http://schemas.openxmlformats.org/officeDocument/2006/relationships" name="Schedule Control" sheetId="5" r:id="R8325b880be1c40e4"/>
    <x:sheet xmlns:r="http://schemas.openxmlformats.org/officeDocument/2006/relationships" name="QA Summary" sheetId="6" r:id="Re7aeaa45e984440b"/>
    <x:sheet xmlns:r="http://schemas.openxmlformats.org/officeDocument/2006/relationships" name="Dashboard" sheetId="7" r:id="R1498cc05ee284bf1"/>
    <x:sheet xmlns:r="http://schemas.openxmlformats.org/officeDocument/2006/relationships" name="Exception Queue" sheetId="8" r:id="R7c2335c1be714fff"/>
    <x:sheet xmlns:r="http://schemas.openxmlformats.org/officeDocument/2006/relationships" name="Written Templates" sheetId="9" r:id="R520e1e604771414d"/>
    <x:sheet xmlns:r="http://schemas.openxmlformats.org/officeDocument/2006/relationships" name="Healthcare Admin SOP" sheetId="10" r:id="Rfe152e210d634454"/>
    <x:sheet xmlns:r="http://schemas.openxmlformats.org/officeDocument/2006/relationships" name="Project Notes" sheetId="11" r:id="R7881949c6834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i/>
      <x:sz val="10"/>
      <x:color rgb="FF1111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3"/>
      <x:color rgb="FFFFFFFF"/>
      <x:name val="Carlito"/>
    </x:font>
    <x:font>
      <x:b/>
      <x:sz val="13"/>
      <x:color rgb="FF111111"/>
      <x:name val="Carlito"/>
    </x:font>
    <x:font>
      <x:b/>
      <x:sz val="10"/>
      <x:color rgb="FFC6FF00"/>
      <x:name val="Carlito"/>
    </x:font>
    <x:font>
      <x:b/>
      <x:sz val="10"/>
      <x:color rgb="FFFFFFFF"/>
      <x:name val="Aptos"/>
    </x:font>
    <x:font>
      <x:b/>
      <x:i/>
      <x:sz val="10"/>
      <x:color rgb="FF111111"/>
      <x:name val="Aptos"/>
    </x:font>
    <x:font>
      <x:sz val="10"/>
      <x:name val="Aptos"/>
    </x:font>
    <x:font>
      <x:sz val="10"/>
      <x:color rgb="FF0000FF"/>
      <x:name val="Aptos"/>
    </x:font>
    <x:font>
      <x:b/>
      <x:sz val="10"/>
      <x:color rgb="FF111111"/>
      <x:name val="Aptos"/>
    </x:font>
    <x:font>
      <x:b/>
      <x:sz val="10"/>
      <x:color rgb="FFC6FF00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6FF00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CE4C5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E4DFEC"/>
      </x:patternFill>
    </x:fill>
    <x:fill>
      <x:patternFill patternType="solid">
        <x:fgColor rgb="FF2B2B2B"/>
      </x:patternFill>
    </x:fill>
  </x:fills>
  <x:borders count="20">
    <x:border/>
    <x:border>
      <x:bottom style="medium">
        <x:color rgb="FF17365D"/>
      </x:bottom>
    </x:border>
    <x:border>
      <x:bottom style="thin">
        <x:color rgb="FFCBD5D1"/>
      </x:bottom>
    </x:border>
    <x:border>
      <x:top style="thin">
        <x:color rgb="FFCBD5D1"/>
      </x:top>
      <x:bottom style="thin">
        <x:color rgb="FFCBD5D1"/>
      </x:bottom>
    </x:border>
    <x:border>
      <x:top style="thin">
        <x:color rgb="FFCBD5D1"/>
      </x:top>
    </x:border>
    <x:border>
      <x:left style="medium">
        <x:color rgb="FF17365D"/>
      </x:left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left style="medium">
        <x:color rgb="FF17365D"/>
      </x:left>
    </x:border>
    <x:border>
      <x:right style="medium">
        <x:color rgb="FF17365D"/>
      </x:right>
    </x:border>
    <x:border>
      <x:left style="medium">
        <x:color rgb="FF17365D"/>
      </x:left>
      <x:bottom style="medium">
        <x:color rgb="FF17365D"/>
      </x:bottom>
    </x:border>
    <x:border>
      <x:right style="medium">
        <x:color rgb="FF17365D"/>
      </x:right>
      <x:bottom style="medium">
        <x:color rgb="FF17365D"/>
      </x:bottom>
    </x:border>
    <x:border>
      <x:top style="medium">
        <x:color rgb="FF17365D"/>
      </x:top>
    </x:border>
    <x:border>
      <x:left style="medium">
        <x:color rgb="FFC6FF00"/>
      </x:left>
      <x:top style="medium">
        <x:color rgb="FFC6FF00"/>
      </x:top>
    </x:border>
    <x:border>
      <x:top style="medium">
        <x:color rgb="FFC6FF00"/>
      </x:top>
    </x:border>
    <x:border>
      <x:right style="medium">
        <x:color rgb="FFC6FF00"/>
      </x:right>
      <x:top style="medium">
        <x:color rgb="FFC6FF00"/>
      </x:top>
    </x:border>
    <x:border>
      <x:left style="medium">
        <x:color rgb="FFC6FF00"/>
      </x:left>
    </x:border>
    <x:border>
      <x:right style="medium">
        <x:color rgb="FFC6FF00"/>
      </x:right>
    </x:border>
    <x:border>
      <x:left style="medium">
        <x:color rgb="FFC6FF00"/>
      </x:left>
      <x:bottom style="medium">
        <x:color rgb="FFC6FF00"/>
      </x:bottom>
    </x:border>
    <x:border>
      <x:bottom style="medium">
        <x:color rgb="FFC6FF00"/>
      </x:bottom>
    </x:border>
    <x:border>
      <x:right style="medium">
        <x:color rgb="FFC6FF00"/>
      </x:right>
      <x:bottom style="medium">
        <x:color rgb="FFC6FF00"/>
      </x:bottom>
    </x:border>
  </x:borders>
  <x:cellStyleXfs count="1">
    <x:xf numFmtId="0" fontId="0" fillId="0" borderId="0"/>
  </x:cellStyleXfs>
  <x:cellXfs count="3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0" fontId="0" fillId="9" borderId="2" xfId="0" applyNumberFormat="1" applyFont="1" applyFill="1" applyBorder="1" applyAlignment="1">
      <x:alignment vertical="center"/>
    </x:xf>
    <x:xf numFmtId="0" fontId="0" fillId="10" borderId="3" xfId="0" applyNumberFormat="1" applyFont="1" applyFill="1" applyBorder="1" applyAlignment="1">
      <x:alignment vertical="center"/>
    </x:xf>
    <x:xf numFmtId="0" fontId="0" fillId="9" borderId="3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201" fontId="0" fillId="9" borderId="2" xfId="0" applyNumberFormat="1" applyFont="1" applyFill="1" applyBorder="1" applyAlignment="1">
      <x:alignment vertical="center"/>
    </x:xf>
    <x:xf numFmtId="201" fontId="0" fillId="10" borderId="3" xfId="0" applyNumberFormat="1" applyFont="1" applyFill="1" applyBorder="1" applyAlignment="1">
      <x:alignment vertical="center"/>
    </x:xf>
    <x:xf numFmtId="201" fontId="0" fillId="9" borderId="3" xfId="0" applyNumberFormat="1" applyFont="1" applyFill="1" applyBorder="1" applyAlignment="1">
      <x:alignment vertical="center"/>
    </x:xf>
    <x:xf numFmtId="201" fontId="0" fillId="9" borderId="4" xfId="0" applyNumberFormat="1" applyFont="1" applyFill="1" applyBorder="1" applyAlignment="1">
      <x:alignment vertical="center"/>
    </x:xf>
    <x:xf numFmtId="0" fontId="0" fillId="10" borderId="4" xfId="0" applyNumberFormat="1" applyFont="1" applyFill="1" applyBorder="1" applyAlignment="1">
      <x:alignment vertical="center"/>
    </x:xf>
    <x:xf numFmtId="200" fontId="0" fillId="9" borderId="2" xfId="0" applyNumberFormat="1" applyFont="1" applyFill="1" applyBorder="1" applyAlignment="1">
      <x:alignment vertical="center"/>
    </x:xf>
    <x:xf numFmtId="200" fontId="0" fillId="10" borderId="3" xfId="0" applyNumberFormat="1" applyFont="1" applyFill="1" applyBorder="1" applyAlignment="1">
      <x:alignment vertical="center"/>
    </x:xf>
    <x:xf numFmtId="200" fontId="0" fillId="9" borderId="3" xfId="0" applyNumberFormat="1" applyFont="1" applyFill="1" applyBorder="1" applyAlignment="1">
      <x:alignment vertical="center"/>
    </x:xf>
    <x:xf numFmtId="200" fontId="0" fillId="10" borderId="4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vertical="center"/>
    </x:xf>
    <x:xf numFmtId="200" fontId="4" fillId="9" borderId="2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/>
    </x:xf>
    <x:xf numFmtId="200" fontId="4" fillId="10" borderId="3" xfId="0" applyNumberFormat="1" applyFont="1" applyFill="1" applyBorder="1" applyAlignment="1">
      <x:alignment vertical="center"/>
    </x:xf>
    <x:xf numFmtId="0" fontId="4" fillId="9" borderId="3" xfId="0" applyNumberFormat="1" applyFont="1" applyFill="1" applyBorder="1" applyAlignment="1">
      <x:alignment vertical="center"/>
    </x:xf>
    <x:xf numFmtId="200" fontId="4" fillId="9" borderId="3" xfId="0" applyNumberFormat="1" applyFont="1" applyFill="1" applyBorder="1" applyAlignment="1">
      <x:alignment vertical="center"/>
    </x:xf>
    <x:xf numFmtId="0" fontId="4" fillId="10" borderId="4" xfId="0" applyNumberFormat="1" applyFont="1" applyFill="1" applyBorder="1" applyAlignment="1">
      <x:alignment vertical="center"/>
    </x:xf>
    <x:xf numFmtId="200" fontId="4" fillId="10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5" xfId="0" applyNumberFormat="1" applyFont="1" applyFill="1" applyBorder="1"/>
    <x:xf numFmtId="0" fontId="6" fillId="11" borderId="11" xfId="0" applyNumberFormat="1" applyFont="1" applyFill="1" applyBorder="1"/>
    <x:xf numFmtId="0" fontId="6" fillId="11" borderId="6" xfId="0" applyNumberFormat="1" applyFont="1" applyFill="1" applyBorder="1"/>
    <x:xf numFmtId="0" fontId="6" fillId="11" borderId="7" xfId="0" applyNumberFormat="1" applyFont="1" applyFill="1" applyBorder="1"/>
    <x:xf numFmtId="0" fontId="6" fillId="11" borderId="8" xfId="0" applyNumberFormat="1" applyFont="1" applyFill="1" applyBorder="1"/>
    <x:xf numFmtId="0" fontId="6" fillId="11" borderId="9" xfId="0" applyNumberFormat="1" applyFont="1" applyFill="1" applyBorder="1"/>
    <x:xf numFmtId="0" fontId="6" fillId="11" borderId="1" xfId="0" applyNumberFormat="1" applyFont="1" applyFill="1" applyBorder="1"/>
    <x:xf numFmtId="0" fontId="6" fillId="11" borderId="10" xfId="0" applyNumberFormat="1" applyFont="1" applyFill="1" applyBorder="1"/>
    <x:xf numFmtId="0" fontId="6" fillId="11" borderId="5" xfId="0" applyNumberFormat="1" applyFont="1" applyFill="1" applyBorder="1" applyAlignment="1">
      <x:alignment wrapText="1"/>
    </x:xf>
    <x:xf numFmtId="0" fontId="6" fillId="11" borderId="11" xfId="0" applyNumberFormat="1" applyFont="1" applyFill="1" applyBorder="1" applyAlignment="1">
      <x:alignment wrapText="1"/>
    </x:xf>
    <x:xf numFmtId="0" fontId="6" fillId="11" borderId="6" xfId="0" applyNumberFormat="1" applyFont="1" applyFill="1" applyBorder="1" applyAlignment="1">
      <x:alignment wrapText="1"/>
    </x:xf>
    <x:xf numFmtId="0" fontId="6" fillId="11" borderId="7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6" fillId="11" borderId="8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wrapText="1"/>
    </x:xf>
    <x:xf numFmtId="0" fontId="6" fillId="11" borderId="10" xfId="0" applyNumberFormat="1" applyFont="1" applyFill="1" applyBorder="1" applyAlignment="1">
      <x:alignment wrapText="1"/>
    </x:xf>
    <x:xf numFmtId="0" fontId="6" fillId="11" borderId="5" xfId="0" applyNumberFormat="1" applyFont="1" applyFill="1" applyBorder="1" applyAlignment="1">
      <x:alignment horizontal="center" wrapText="1"/>
    </x:xf>
    <x:xf numFmtId="0" fontId="6" fillId="11" borderId="11" xfId="0" applyNumberFormat="1" applyFont="1" applyFill="1" applyBorder="1" applyAlignment="1">
      <x:alignment horizontal="center" wrapText="1"/>
    </x:xf>
    <x:xf numFmtId="0" fontId="6" fillId="11" borderId="6" xfId="0" applyNumberFormat="1" applyFont="1" applyFill="1" applyBorder="1" applyAlignment="1">
      <x:alignment horizontal="center" wrapText="1"/>
    </x:xf>
    <x:xf numFmtId="0" fontId="6" fillId="11" borderId="7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8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1" xfId="0" applyNumberFormat="1" applyFont="1" applyFill="1" applyBorder="1" applyAlignment="1">
      <x:alignment horizontal="center" wrapText="1"/>
    </x:xf>
    <x:xf numFmtId="0" fontId="6" fillId="11" borderId="10" xfId="0" applyNumberFormat="1" applyFont="1" applyFill="1" applyBorder="1" applyAlignment="1">
      <x:alignment horizontal="center" wrapText="1"/>
    </x:xf>
    <x:xf numFmtId="0" fontId="6" fillId="11" borderId="5" xfId="0" applyNumberFormat="1" applyFont="1" applyFill="1" applyBorder="1" applyAlignment="1">
      <x:alignment horizontal="center" vertical="center" wrapText="1"/>
    </x:xf>
    <x:xf numFmtId="0" fontId="6" fillId="11" borderId="11" xfId="0" applyNumberFormat="1" applyFont="1" applyFill="1" applyBorder="1" applyAlignment="1">
      <x:alignment horizontal="center" vertical="center" wrapText="1"/>
    </x:xf>
    <x:xf numFmtId="0" fontId="6" fillId="11" borderId="6" xfId="0" applyNumberFormat="1" applyFont="1" applyFill="1" applyBorder="1" applyAlignment="1">
      <x:alignment horizontal="center" vertical="center" wrapText="1"/>
    </x:xf>
    <x:xf numFmtId="0" fontId="6" fillId="11" borderId="7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8" xfId="0" applyNumberFormat="1" applyFont="1" applyFill="1" applyBorder="1" applyAlignment="1">
      <x:alignment horizontal="center" vertic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6" fillId="11" borderId="10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2" xfId="0" applyNumberFormat="1" applyFont="1" applyFill="1" applyBorder="1"/>
    <x:xf numFmtId="0" fontId="7" fillId="12" borderId="13" xfId="0" applyNumberFormat="1" applyFont="1" applyFill="1" applyBorder="1"/>
    <x:xf numFmtId="0" fontId="7" fillId="12" borderId="14" xfId="0" applyNumberFormat="1" applyFont="1" applyFill="1" applyBorder="1"/>
    <x:xf numFmtId="0" fontId="7" fillId="12" borderId="15" xfId="0" applyNumberFormat="1" applyFont="1" applyFill="1" applyBorder="1"/>
    <x:xf numFmtId="0" fontId="7" fillId="12" borderId="16" xfId="0" applyNumberFormat="1" applyFont="1" applyFill="1" applyBorder="1"/>
    <x:xf numFmtId="0" fontId="7" fillId="12" borderId="17" xfId="0" applyNumberFormat="1" applyFont="1" applyFill="1" applyBorder="1"/>
    <x:xf numFmtId="0" fontId="7" fillId="12" borderId="18" xfId="0" applyNumberFormat="1" applyFont="1" applyFill="1" applyBorder="1"/>
    <x:xf numFmtId="0" fontId="7" fillId="12" borderId="19" xfId="0" applyNumberFormat="1" applyFont="1" applyFill="1" applyBorder="1"/>
    <x:xf numFmtId="0" fontId="7" fillId="12" borderId="12" xfId="0" applyNumberFormat="1" applyFont="1" applyFill="1" applyBorder="1" applyAlignment="1">
      <x:alignment wrapText="1"/>
    </x:xf>
    <x:xf numFmtId="0" fontId="7" fillId="12" borderId="13" xfId="0" applyNumberFormat="1" applyFont="1" applyFill="1" applyBorder="1" applyAlignment="1">
      <x:alignment wrapText="1"/>
    </x:xf>
    <x:xf numFmtId="0" fontId="7" fillId="12" borderId="14" xfId="0" applyNumberFormat="1" applyFont="1" applyFill="1" applyBorder="1" applyAlignment="1">
      <x:alignment wrapText="1"/>
    </x:xf>
    <x:xf numFmtId="0" fontId="7" fillId="12" borderId="15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wrapText="1"/>
    </x:xf>
    <x:xf numFmtId="0" fontId="7" fillId="12" borderId="16" xfId="0" applyNumberFormat="1" applyFont="1" applyFill="1" applyBorder="1" applyAlignment="1">
      <x:alignment wrapText="1"/>
    </x:xf>
    <x:xf numFmtId="0" fontId="7" fillId="12" borderId="17" xfId="0" applyNumberFormat="1" applyFont="1" applyFill="1" applyBorder="1" applyAlignment="1">
      <x:alignment wrapText="1"/>
    </x:xf>
    <x:xf numFmtId="0" fontId="7" fillId="12" borderId="18" xfId="0" applyNumberFormat="1" applyFont="1" applyFill="1" applyBorder="1" applyAlignment="1">
      <x:alignment wrapText="1"/>
    </x:xf>
    <x:xf numFmtId="0" fontId="7" fillId="12" borderId="19" xfId="0" applyNumberFormat="1" applyFont="1" applyFill="1" applyBorder="1" applyAlignment="1">
      <x:alignment wrapText="1"/>
    </x:xf>
    <x:xf numFmtId="0" fontId="7" fillId="12" borderId="12" xfId="0" applyNumberFormat="1" applyFont="1" applyFill="1" applyBorder="1" applyAlignment="1">
      <x:alignment vertical="center" wrapText="1"/>
    </x:xf>
    <x:xf numFmtId="0" fontId="7" fillId="12" borderId="13" xfId="0" applyNumberFormat="1" applyFont="1" applyFill="1" applyBorder="1" applyAlignment="1">
      <x:alignment vertical="center" wrapText="1"/>
    </x:xf>
    <x:xf numFmtId="0" fontId="7" fillId="12" borderId="14" xfId="0" applyNumberFormat="1" applyFont="1" applyFill="1" applyBorder="1" applyAlignment="1">
      <x:alignment vertical="center" wrapText="1"/>
    </x:xf>
    <x:xf numFmtId="0" fontId="7" fillId="12" borderId="15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7" fillId="12" borderId="16" xfId="0" applyNumberFormat="1" applyFont="1" applyFill="1" applyBorder="1" applyAlignment="1">
      <x:alignment vertical="center" wrapText="1"/>
    </x:xf>
    <x:xf numFmtId="0" fontId="7" fillId="12" borderId="17" xfId="0" applyNumberFormat="1" applyFont="1" applyFill="1" applyBorder="1" applyAlignment="1">
      <x:alignment vertical="center" wrapText="1"/>
    </x:xf>
    <x:xf numFmtId="0" fontId="7" fillId="12" borderId="18" xfId="0" applyNumberFormat="1" applyFont="1" applyFill="1" applyBorder="1" applyAlignment="1">
      <x:alignment vertical="center" wrapText="1"/>
    </x:xf>
    <x:xf numFmtId="0" fontId="7" fillId="12" borderId="19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11" fillId="9" borderId="2" xfId="0" applyNumberFormat="1" applyFont="1" applyFill="1" applyBorder="1" applyAlignment="1">
      <x:alignment vertical="center"/>
    </x:xf>
    <x:xf numFmtId="200" fontId="11" fillId="9" borderId="2" xfId="0" applyNumberFormat="1" applyFont="1" applyFill="1" applyBorder="1" applyAlignment="1">
      <x:alignment vertical="center"/>
    </x:xf>
    <x:xf numFmtId="0" fontId="11" fillId="10" borderId="3" xfId="0" applyNumberFormat="1" applyFont="1" applyFill="1" applyBorder="1" applyAlignment="1">
      <x:alignment vertical="center"/>
    </x:xf>
    <x:xf numFmtId="200" fontId="11" fillId="10" borderId="3" xfId="0" applyNumberFormat="1" applyFont="1" applyFill="1" applyBorder="1" applyAlignment="1">
      <x:alignment vertical="center"/>
    </x:xf>
    <x:xf numFmtId="0" fontId="11" fillId="9" borderId="3" xfId="0" applyNumberFormat="1" applyFont="1" applyFill="1" applyBorder="1" applyAlignment="1">
      <x:alignment vertical="center"/>
    </x:xf>
    <x:xf numFmtId="200" fontId="11" fillId="9" borderId="3" xfId="0" applyNumberFormat="1" applyFont="1" applyFill="1" applyBorder="1" applyAlignment="1">
      <x:alignment vertical="center"/>
    </x:xf>
    <x:xf numFmtId="0" fontId="11" fillId="10" borderId="4" xfId="0" applyNumberFormat="1" applyFont="1" applyFill="1" applyBorder="1" applyAlignment="1">
      <x:alignment vertical="center"/>
    </x:xf>
    <x:xf numFmtId="200" fontId="11" fillId="10" borderId="4" xfId="0" applyNumberFormat="1" applyFont="1" applyFill="1" applyBorder="1" applyAlignment="1">
      <x:alignment vertical="center"/>
    </x:xf>
    <x:xf numFmtId="0" fontId="10" fillId="9" borderId="2" xfId="0" applyNumberFormat="1" applyFont="1" applyFill="1" applyBorder="1" applyAlignment="1">
      <x:alignment vertical="center"/>
    </x:xf>
    <x:xf numFmtId="201" fontId="10" fillId="9" borderId="2" xfId="0" applyNumberFormat="1" applyFont="1" applyFill="1" applyBorder="1" applyAlignment="1">
      <x:alignment vertical="center"/>
    </x:xf>
    <x:xf numFmtId="0" fontId="10" fillId="10" borderId="3" xfId="0" applyNumberFormat="1" applyFont="1" applyFill="1" applyBorder="1" applyAlignment="1">
      <x:alignment vertical="center"/>
    </x:xf>
    <x:xf numFmtId="201" fontId="10" fillId="10" borderId="3" xfId="0" applyNumberFormat="1" applyFont="1" applyFill="1" applyBorder="1" applyAlignment="1">
      <x:alignment vertical="center"/>
    </x:xf>
    <x:xf numFmtId="0" fontId="10" fillId="9" borderId="3" xfId="0" applyNumberFormat="1" applyFont="1" applyFill="1" applyBorder="1" applyAlignment="1">
      <x:alignment vertical="center"/>
    </x:xf>
    <x:xf numFmtId="201" fontId="10" fillId="9" borderId="3" xfId="0" applyNumberFormat="1" applyFont="1" applyFill="1" applyBorder="1" applyAlignment="1">
      <x:alignment vertical="center"/>
    </x:xf>
    <x:xf numFmtId="0" fontId="10" fillId="9" borderId="4" xfId="0" applyNumberFormat="1" applyFont="1" applyFill="1" applyBorder="1" applyAlignment="1">
      <x:alignment vertical="center"/>
    </x:xf>
    <x:xf numFmtId="201" fontId="10" fillId="9" borderId="4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0" fontId="10" fillId="5" borderId="2" xfId="0" applyNumberFormat="1" applyFont="1" applyFill="1" applyBorder="1" applyAlignment="1">
      <x:alignment vertical="center"/>
    </x:xf>
    <x:xf numFmtId="0" fontId="10" fillId="6" borderId="3" xfId="0" applyNumberFormat="1" applyFont="1" applyFill="1" applyBorder="1" applyAlignment="1">
      <x:alignment vertical="center"/>
    </x:xf>
    <x:xf numFmtId="0" fontId="10" fillId="7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200" fontId="10" fillId="9" borderId="2" xfId="0" applyNumberFormat="1" applyFont="1" applyFill="1" applyBorder="1" applyAlignment="1">
      <x:alignment vertical="center"/>
    </x:xf>
    <x:xf numFmtId="200" fontId="10" fillId="10" borderId="3" xfId="0" applyNumberFormat="1" applyFont="1" applyFill="1" applyBorder="1" applyAlignment="1">
      <x:alignment vertical="center"/>
    </x:xf>
    <x:xf numFmtId="200" fontId="10" fillId="9" borderId="3" xfId="0" applyNumberFormat="1" applyFont="1" applyFill="1" applyBorder="1" applyAlignment="1">
      <x:alignment vertical="center"/>
    </x:xf>
    <x:xf numFmtId="0" fontId="10" fillId="10" borderId="4" xfId="0" applyNumberFormat="1" applyFont="1" applyFill="1" applyBorder="1" applyAlignment="1">
      <x:alignment vertical="center"/>
    </x:xf>
    <x:xf numFmtId="200" fontId="10" fillId="10" borderId="4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horizontal="center" vertical="center" wrapText="1"/>
    </x:xf>
    <x:xf numFmtId="0" fontId="8" fillId="2" borderId="6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6" xfId="0" applyNumberFormat="1" applyFont="1" applyFill="1" applyBorder="1" applyAlignment="1">
      <x:alignment horizontal="center" vertical="center" wrapText="1"/>
    </x:xf>
    <x:xf numFmtId="0" fontId="12" fillId="7" borderId="5" xfId="0" applyNumberFormat="1" applyFont="1" applyFill="1" applyBorder="1" applyAlignment="1">
      <x:alignment horizontal="center" vertical="center" wrapText="1"/>
    </x:xf>
    <x:xf numFmtId="0" fontId="12" fillId="7" borderId="6" xfId="0" applyNumberFormat="1" applyFont="1" applyFill="1" applyBorder="1" applyAlignment="1">
      <x:alignment horizontal="center" vertical="center" wrapText="1"/>
    </x:xf>
    <x:xf numFmtId="0" fontId="12" fillId="11" borderId="5" xfId="0" applyNumberFormat="1" applyFont="1" applyFill="1" applyBorder="1" applyAlignment="1">
      <x:alignment horizontal="center" vertical="center" wrapText="1"/>
    </x:xf>
    <x:xf numFmtId="0" fontId="12" fillId="11" borderId="11" xfId="0" applyNumberFormat="1" applyFont="1" applyFill="1" applyBorder="1" applyAlignment="1">
      <x:alignment horizontal="center" vertical="center" wrapText="1"/>
    </x:xf>
    <x:xf numFmtId="0" fontId="12" fillId="11" borderId="6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8" fillId="2" borderId="8" xfId="0" applyNumberFormat="1" applyFont="1" applyFill="1" applyBorder="1" applyAlignment="1">
      <x:alignment horizontal="center" vertical="center" wrapText="1"/>
    </x:xf>
    <x:xf numFmtId="0" fontId="12" fillId="5" borderId="7" xfId="0" applyNumberFormat="1" applyFont="1" applyFill="1" applyBorder="1" applyAlignment="1">
      <x:alignment horizontal="center" vertical="center" wrapText="1"/>
    </x:xf>
    <x:xf numFmtId="0" fontId="12" fillId="5" borderId="8" xfId="0" applyNumberFormat="1" applyFont="1" applyFill="1" applyBorder="1" applyAlignment="1">
      <x:alignment horizontal="center" vertical="center" wrapText="1"/>
    </x:xf>
    <x:xf numFmtId="0" fontId="12" fillId="6" borderId="7" xfId="0" applyNumberFormat="1" applyFont="1" applyFill="1" applyBorder="1" applyAlignment="1">
      <x:alignment horizontal="center" vertical="center" wrapText="1"/>
    </x:xf>
    <x:xf numFmtId="0" fontId="12" fillId="6" borderId="8" xfId="0" applyNumberFormat="1" applyFont="1" applyFill="1" applyBorder="1" applyAlignment="1">
      <x:alignment horizontal="center" vertical="center" wrapText="1"/>
    </x:xf>
    <x:xf numFmtId="0" fontId="12" fillId="7" borderId="7" xfId="0" applyNumberFormat="1" applyFont="1" applyFill="1" applyBorder="1" applyAlignment="1">
      <x:alignment horizontal="center" vertical="center" wrapText="1"/>
    </x:xf>
    <x:xf numFmtId="0" fontId="12" fillId="7" borderId="8" xfId="0" applyNumberFormat="1" applyFont="1" applyFill="1" applyBorder="1" applyAlignment="1">
      <x:alignment horizontal="center" vertical="center" wrapText="1"/>
    </x:xf>
    <x:xf numFmtId="0" fontId="12" fillId="11" borderId="7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2" fillId="11" borderId="8" xfId="0" applyNumberFormat="1" applyFont="1" applyFill="1" applyBorder="1" applyAlignment="1">
      <x:alignment horizontal="center" vertical="center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0" fontId="12" fillId="5" borderId="10" xfId="0" applyNumberFormat="1" applyFont="1" applyFill="1" applyBorder="1" applyAlignment="1">
      <x:alignment horizontal="center" vertical="center" wrapText="1"/>
    </x:xf>
    <x:xf numFmtId="0" fontId="12" fillId="6" borderId="9" xfId="0" applyNumberFormat="1" applyFont="1" applyFill="1" applyBorder="1" applyAlignment="1">
      <x:alignment horizontal="center" vertical="center" wrapText="1"/>
    </x:xf>
    <x:xf numFmtId="0" fontId="12" fillId="6" borderId="10" xfId="0" applyNumberFormat="1" applyFont="1" applyFill="1" applyBorder="1" applyAlignment="1">
      <x:alignment horizontal="center" vertical="center" wrapText="1"/>
    </x:xf>
    <x:xf numFmtId="0" fontId="12" fillId="7" borderId="9" xfId="0" applyNumberFormat="1" applyFont="1" applyFill="1" applyBorder="1" applyAlignment="1">
      <x:alignment horizontal="center" vertical="center" wrapText="1"/>
    </x:xf>
    <x:xf numFmtId="0" fontId="12" fillId="7" borderId="10" xfId="0" applyNumberFormat="1" applyFont="1" applyFill="1" applyBorder="1" applyAlignment="1">
      <x:alignment horizontal="center" vertical="center" wrapText="1"/>
    </x:xf>
    <x:xf numFmtId="0" fontId="12" fillId="11" borderId="9" xfId="0" applyNumberFormat="1" applyFont="1" applyFill="1" applyBorder="1" applyAlignment="1">
      <x:alignment horizontal="center" vertical="center" wrapText="1"/>
    </x:xf>
    <x:xf numFmtId="0" fontId="12" fillId="11" borderId="1" xfId="0" applyNumberFormat="1" applyFont="1" applyFill="1" applyBorder="1" applyAlignment="1">
      <x:alignment horizontal="center" vertical="center" wrapText="1"/>
    </x:xf>
    <x:xf numFmtId="0" fontId="12" fillId="11" borderId="10" xfId="0" applyNumberFormat="1" applyFont="1" applyFill="1" applyBorder="1" applyAlignment="1">
      <x:alignment horizontal="center" vertical="center" wrapText="1"/>
    </x:xf>
    <x:xf numFmtId="0" fontId="10" fillId="5" borderId="3" xfId="0" applyNumberFormat="1" applyFont="1" applyFill="1" applyBorder="1" applyAlignment="1">
      <x:alignment vertical="center"/>
    </x:xf>
    <x:xf numFmtId="0" fontId="10" fillId="5" borderId="4" xfId="0" applyNumberFormat="1" applyFont="1" applyFill="1" applyBorder="1" applyAlignment="1">
      <x:alignment vertical="center"/>
    </x:xf>
    <x:xf numFmtId="0" fontId="13" fillId="12" borderId="12" xfId="0" applyNumberFormat="1" applyFont="1" applyFill="1" applyBorder="1" applyAlignment="1">
      <x:alignment vertical="center" wrapText="1"/>
    </x:xf>
    <x:xf numFmtId="0" fontId="13" fillId="12" borderId="13" xfId="0" applyNumberFormat="1" applyFont="1" applyFill="1" applyBorder="1" applyAlignment="1">
      <x:alignment vertical="center" wrapText="1"/>
    </x:xf>
    <x:xf numFmtId="0" fontId="13" fillId="12" borderId="14" xfId="0" applyNumberFormat="1" applyFont="1" applyFill="1" applyBorder="1" applyAlignment="1">
      <x:alignment vertical="center" wrapText="1"/>
    </x:xf>
    <x:xf numFmtId="0" fontId="13" fillId="12" borderId="15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16" xfId="0" applyNumberFormat="1" applyFont="1" applyFill="1" applyBorder="1" applyAlignment="1">
      <x:alignment vertical="center" wrapText="1"/>
    </x:xf>
    <x:xf numFmtId="0" fontId="13" fillId="12" borderId="17" xfId="0" applyNumberFormat="1" applyFont="1" applyFill="1" applyBorder="1" applyAlignment="1">
      <x:alignment vertical="center" wrapText="1"/>
    </x:xf>
    <x:xf numFmtId="0" fontId="13" fillId="12" borderId="18" xfId="0" applyNumberFormat="1" applyFont="1" applyFill="1" applyBorder="1" applyAlignment="1">
      <x:alignment vertical="center" wrapText="1"/>
    </x:xf>
    <x:xf numFmtId="0" fontId="13" fillId="12" borderId="19" xfId="0" applyNumberFormat="1" applyFont="1" applyFill="1" applyBorder="1" applyAlignment="1">
      <x:alignment vertical="center" wrapText="1"/>
    </x:xf>
    <x:xf numFmtId="0" fontId="10" fillId="9" borderId="2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vertical="center" wrapText="1"/>
    </x:xf>
    <x:xf numFmtId="0" fontId="10" fillId="9" borderId="3" xfId="0" applyNumberFormat="1" applyFont="1" applyFill="1" applyBorder="1" applyAlignment="1">
      <x:alignment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0" fontId="10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4C5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4C5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c2fdce39143f7" /><Relationship Type="http://schemas.openxmlformats.org/officeDocument/2006/relationships/theme" Target="/xl/theme/theme1.xml" Id="R825e5385735f4563" /><Relationship Type="http://schemas.openxmlformats.org/officeDocument/2006/relationships/sharedStrings" Target="/xl/sharedStrings.xml" Id="R66c373ddd915412e" /><Relationship Type="http://schemas.openxmlformats.org/officeDocument/2006/relationships/worksheet" Target="/xl/worksheets/sheet1.xml" Id="R33ad005e2b3a4937" /><Relationship Type="http://schemas.openxmlformats.org/officeDocument/2006/relationships/worksheet" Target="/xl/worksheets/sheet2.xml" Id="Rad9d35eb65d741ab" /><Relationship Type="http://schemas.openxmlformats.org/officeDocument/2006/relationships/worksheet" Target="/xl/worksheets/sheet3.xml" Id="R8f6d57a59e404de6" /><Relationship Type="http://schemas.openxmlformats.org/officeDocument/2006/relationships/worksheet" Target="/xl/worksheets/sheet4.xml" Id="R35cbf002d1ea4a64" /><Relationship Type="http://schemas.openxmlformats.org/officeDocument/2006/relationships/worksheet" Target="/xl/worksheets/sheet5.xml" Id="R8325b880be1c40e4" /><Relationship Type="http://schemas.openxmlformats.org/officeDocument/2006/relationships/worksheet" Target="/xl/worksheets/sheet6.xml" Id="Re7aeaa45e984440b" /><Relationship Type="http://schemas.openxmlformats.org/officeDocument/2006/relationships/worksheet" Target="/xl/worksheets/sheet7.xml" Id="R1498cc05ee284bf1" /><Relationship Type="http://schemas.openxmlformats.org/officeDocument/2006/relationships/worksheet" Target="/xl/worksheets/sheet8.xml" Id="R7c2335c1be714fff" /><Relationship Type="http://schemas.openxmlformats.org/officeDocument/2006/relationships/worksheet" Target="/xl/worksheets/sheet9.xml" Id="R520e1e604771414d" /><Relationship Type="http://schemas.openxmlformats.org/officeDocument/2006/relationships/worksheet" Target="/xl/worksheets/sheet10.xml" Id="Rfe152e210d634454" /><Relationship Type="http://schemas.openxmlformats.org/officeDocument/2006/relationships/worksheet" Target="/xl/worksheets/sheet11.xml" Id="R7881949c683447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ad83e98fe340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Administrative Exceptions by Type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'Dashboard'!$A$9:$A$16</c:f>
              <c:strCache>
                <c:ptCount val="0"/>
              </c:strCache>
            </c:strRef>
          </c:cat>
          <c:val>
            <c:numRef>
              <c:f>'Dashboard'!$B$9:$B$16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ad83e98fe340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c219723ef2344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0" hidden="0" customWidth="1"/>
    <x:col min="5" max="5" width="18" hidden="0" customWidth="1"/>
    <x:col min="6" max="6" width="25" hidden="0" customWidth="1"/>
    <x:col min="7" max="7" width="22" hidden="0" customWidth="1"/>
    <x:col min="8" max="8" width="23" hidden="0" customWidth="1"/>
    <x:col min="9" max="9" width="18" hidden="0" customWidth="1"/>
    <x:col min="10" max="10" width="20" hidden="0" customWidth="1"/>
    <x:col min="11" max="11" width="16" hidden="0" customWidth="1"/>
    <x:col min="12" max="12" width="18" hidden="0" customWidth="1"/>
    <x:col min="13" max="13" width="24" hidden="0" customWidth="1"/>
  </x:cols>
  <x:sheetData>
    <x:row r="1" ht="36" customHeight="1">
      <x:c r="A1" s="220" t="str">
        <x:v>PROJ-009 | APPOINTMENTS RAW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</x:row>
    <x:row r="2" ht="25" customHeight="1">
      <x:c r="A2" s="221" t="str">
        <x:v>Preserved source data • 50 simulated administrative appointment records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21"/>
    </x:row>
    <x:row r="3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  <x:c r="M3" s="222"/>
    </x:row>
    <x:row r="4" ht="34" customHeight="1">
      <x:c r="A4" s="223" t="str">
        <x:v>Appointment ID</x:v>
      </x:c>
      <x:c r="B4" s="223" t="str">
        <x:v>Patient ID</x:v>
      </x:c>
      <x:c r="C4" s="223" t="str">
        <x:v>Appointment Date</x:v>
      </x:c>
      <x:c r="D4" s="223" t="str">
        <x:v>Time</x:v>
      </x:c>
      <x:c r="E4" s="223" t="str">
        <x:v>Clinic</x:v>
      </x:c>
      <x:c r="F4" s="223" t="str">
        <x:v>Appointment Type</x:v>
      </x:c>
      <x:c r="G4" s="223" t="str">
        <x:v>Status (Raw)</x:v>
      </x:c>
      <x:c r="H4" s="223" t="str">
        <x:v>Contact Channel (Raw)</x:v>
      </x:c>
      <x:c r="I4" s="223" t="str">
        <x:v>Consent Evidence</x:v>
      </x:c>
      <x:c r="J4" s="223" t="str">
        <x:v>Referral Reference</x:v>
      </x:c>
      <x:c r="K4" s="223" t="str">
        <x:v>Request Received</x:v>
      </x:c>
      <x:c r="L4" s="223" t="str">
        <x:v>Source Reference</x:v>
      </x:c>
      <x:c r="M4" s="223" t="str">
        <x:v>Source Note</x:v>
      </x:c>
    </x:row>
    <x:row r="5" ht="26" customHeight="1">
      <x:c r="A5" s="224" t="str">
        <x:v>APT-2026-001</x:v>
      </x:c>
      <x:c r="B5" s="224" t="str">
        <x:v>PT-DEMO-001</x:v>
      </x:c>
      <x:c r="C5" s="225" t="n">
        <x:v>46253</x:v>
      </x:c>
      <x:c r="D5" s="224" t="str">
        <x:v>08:00</x:v>
      </x:c>
      <x:c r="E5" s="224" t="str">
        <x:v>Central Clinic</x:v>
      </x:c>
      <x:c r="F5" s="224" t="str">
        <x:v>Follow-up</x:v>
      </x:c>
      <x:c r="G5" s="224" t="str">
        <x:v>Confirmed</x:v>
      </x:c>
      <x:c r="H5" s="224" t="str">
        <x:v>Patient Portal</x:v>
      </x:c>
      <x:c r="I5" s="224" t="str">
        <x:v>Recorded</x:v>
      </x:c>
      <x:c r="J5" s="224" t="str"/>
      <x:c r="K5" s="225" t="n">
        <x:v>46251</x:v>
      </x:c>
      <x:c r="L5" s="224" t="str">
        <x:v>SRC-DEMO-001</x:v>
      </x:c>
      <x:c r="M5" s="224" t="str">
        <x:v>Simulated record</x:v>
      </x:c>
    </x:row>
    <x:row r="6" ht="26" customHeight="1">
      <x:c r="A6" s="226" t="str">
        <x:v>APT-2026-002</x:v>
      </x:c>
      <x:c r="B6" s="226" t="str">
        <x:v>PT-DEMO-002</x:v>
      </x:c>
      <x:c r="C6" s="227" t="n">
        <x:v>46254</x:v>
      </x:c>
      <x:c r="D6" s="226" t="str">
        <x:v>09:30</x:v>
      </x:c>
      <x:c r="E6" s="226" t="str">
        <x:v>East Clinic</x:v>
      </x:c>
      <x:c r="F6" s="226" t="str">
        <x:v>Administrative Review</x:v>
      </x:c>
      <x:c r="G6" s="226" t="str">
        <x:v>Completed</x:v>
      </x:c>
      <x:c r="H6" s="226" t="str">
        <x:v>Secure Chat</x:v>
      </x:c>
      <x:c r="I6" s="226" t="str">
        <x:v>Recorded</x:v>
      </x:c>
      <x:c r="J6" s="226" t="str"/>
      <x:c r="K6" s="227" t="n">
        <x:v>46250</x:v>
      </x:c>
      <x:c r="L6" s="226" t="str">
        <x:v>SRC-DEMO-002</x:v>
      </x:c>
      <x:c r="M6" s="226" t="str">
        <x:v>Simulated record</x:v>
      </x:c>
    </x:row>
    <x:row r="7" ht="26" customHeight="1">
      <x:c r="A7" s="228" t="str">
        <x:v>APT-2026-003</x:v>
      </x:c>
      <x:c r="B7" s="228" t="str">
        <x:v>PT-DEMO-003</x:v>
      </x:c>
      <x:c r="C7" s="229" t="n">
        <x:v>46255</x:v>
      </x:c>
      <x:c r="D7" s="228" t="str">
        <x:v>09:00</x:v>
      </x:c>
      <x:c r="E7" s="228" t="str">
        <x:v>North Clinic</x:v>
      </x:c>
      <x:c r="F7" s="228" t="str">
        <x:v>Vaccination Administration</x:v>
      </x:c>
      <x:c r="G7" s="228" t="str">
        <x:v>Cancelled</x:v>
      </x:c>
      <x:c r="H7" s="228" t="str">
        <x:v>Task Tracker</x:v>
      </x:c>
      <x:c r="I7" s="228" t="str">
        <x:v>Recorded</x:v>
      </x:c>
      <x:c r="J7" s="228" t="str"/>
      <x:c r="K7" s="229" t="n">
        <x:v>46251</x:v>
      </x:c>
      <x:c r="L7" s="228" t="str">
        <x:v>SRC-DEMO-003</x:v>
      </x:c>
      <x:c r="M7" s="228" t="str">
        <x:v>Simulated record</x:v>
      </x:c>
    </x:row>
    <x:row r="8" ht="26" customHeight="1">
      <x:c r="A8" s="226" t="str">
        <x:v>APT-2026-004</x:v>
      </x:c>
      <x:c r="B8" s="226" t="str">
        <x:v>PT-DEMO-004</x:v>
      </x:c>
      <x:c r="C8" s="227" t="n">
        <x:v>46256</x:v>
      </x:c>
      <x:c r="D8" s="226" t="str">
        <x:v>10:30</x:v>
      </x:c>
      <x:c r="E8" s="226" t="str">
        <x:v>Central Clinic</x:v>
      </x:c>
      <x:c r="F8" s="226" t="str">
        <x:v>General Consultation</x:v>
      </x:c>
      <x:c r="G8" s="226" t="str">
        <x:v>Reschedule Requested</x:v>
      </x:c>
      <x:c r="H8" s="226" t="str">
        <x:v>Secure Email</x:v>
      </x:c>
      <x:c r="I8" s="226" t="str">
        <x:v>Recorded</x:v>
      </x:c>
      <x:c r="J8" s="226" t="str"/>
      <x:c r="K8" s="227" t="n">
        <x:v>46250</x:v>
      </x:c>
      <x:c r="L8" s="226" t="str">
        <x:v>SRC-DEMO-004</x:v>
      </x:c>
      <x:c r="M8" s="226" t="str">
        <x:v>Simulated record</x:v>
      </x:c>
    </x:row>
    <x:row r="9" ht="26" customHeight="1">
      <x:c r="A9" s="228" t="str">
        <x:v>APT-2026-005</x:v>
      </x:c>
      <x:c r="B9" s="228" t="str">
        <x:v>PT-DEMO-005</x:v>
      </x:c>
      <x:c r="C9" s="229" t="n">
        <x:v>46257</x:v>
      </x:c>
      <x:c r="D9" s="228" t="str">
        <x:v>10:00</x:v>
      </x:c>
      <x:c r="E9" s="228" t="str">
        <x:v>East Clinic</x:v>
      </x:c>
      <x:c r="F9" s="228" t="str">
        <x:v>Follow-up</x:v>
      </x:c>
      <x:c r="G9" s="228" t="str">
        <x:v>Scheduled</x:v>
      </x:c>
      <x:c r="H9" s="228" t="str">
        <x:v>Patient Portal</x:v>
      </x:c>
      <x:c r="I9" s="228" t="str">
        <x:v>Recorded</x:v>
      </x:c>
      <x:c r="J9" s="228" t="str"/>
      <x:c r="K9" s="229" t="n">
        <x:v>46251</x:v>
      </x:c>
      <x:c r="L9" s="228" t="str">
        <x:v>SRC-DEMO-005</x:v>
      </x:c>
      <x:c r="M9" s="228" t="str">
        <x:v>Simulated record</x:v>
      </x:c>
    </x:row>
    <x:row r="10" ht="26" customHeight="1">
      <x:c r="A10" s="226" t="str">
        <x:v>APT-2026-006</x:v>
      </x:c>
      <x:c r="B10" s="226" t="str">
        <x:v>PT-DEMO-006</x:v>
      </x:c>
      <x:c r="C10" s="227" t="n">
        <x:v>46258</x:v>
      </x:c>
      <x:c r="D10" s="226" t="str">
        <x:v>11:30</x:v>
      </x:c>
      <x:c r="E10" s="226" t="str">
        <x:v>North Clinic</x:v>
      </x:c>
      <x:c r="F10" s="226" t="str">
        <x:v>Administrative Review</x:v>
      </x:c>
      <x:c r="G10" s="226" t="str">
        <x:v>Confirmed</x:v>
      </x:c>
      <x:c r="H10" s="226" t="str">
        <x:v>Secure Chat</x:v>
      </x:c>
      <x:c r="I10" s="226" t="str">
        <x:v>Recorded</x:v>
      </x:c>
      <x:c r="J10" s="226" t="str"/>
      <x:c r="K10" s="227" t="n">
        <x:v>46250</x:v>
      </x:c>
      <x:c r="L10" s="226" t="str">
        <x:v>SRC-DEMO-006</x:v>
      </x:c>
      <x:c r="M10" s="226" t="str">
        <x:v>Simulated record</x:v>
      </x:c>
    </x:row>
    <x:row r="11" ht="26" customHeight="1">
      <x:c r="A11" s="228" t="str">
        <x:v>APT-2026-007</x:v>
      </x:c>
      <x:c r="B11" s="228" t="str">
        <x:v>PT-DEMO-007</x:v>
      </x:c>
      <x:c r="C11" s="229" t="n">
        <x:v>46259</x:v>
      </x:c>
      <x:c r="D11" s="228" t="str">
        <x:v>11:00</x:v>
      </x:c>
      <x:c r="E11" s="228" t="str">
        <x:v>Central Clinic</x:v>
      </x:c>
      <x:c r="F11" s="228" t="str">
        <x:v>Vaccination Administration</x:v>
      </x:c>
      <x:c r="G11" s="228" t="str">
        <x:v>Completed</x:v>
      </x:c>
      <x:c r="H11" s="228" t="str">
        <x:v>Task Tracker</x:v>
      </x:c>
      <x:c r="I11" s="228" t="str">
        <x:v>Recorded</x:v>
      </x:c>
      <x:c r="J11" s="228" t="str"/>
      <x:c r="K11" s="229" t="n">
        <x:v>46251</x:v>
      </x:c>
      <x:c r="L11" s="228" t="str">
        <x:v>SRC-DEMO-007</x:v>
      </x:c>
      <x:c r="M11" s="228" t="str">
        <x:v>Simulated record</x:v>
      </x:c>
    </x:row>
    <x:row r="12" ht="26" customHeight="1">
      <x:c r="A12" s="226" t="str">
        <x:v>APT-2026-008</x:v>
      </x:c>
      <x:c r="B12" s="226" t="str">
        <x:v>PT-DEMO-008</x:v>
      </x:c>
      <x:c r="C12" s="227" t="n">
        <x:v>46260</x:v>
      </x:c>
      <x:c r="D12" s="226" t="str">
        <x:v>12:30</x:v>
      </x:c>
      <x:c r="E12" s="226" t="str">
        <x:v>East Clinic</x:v>
      </x:c>
      <x:c r="F12" s="226" t="str">
        <x:v>General Consultation</x:v>
      </x:c>
      <x:c r="G12" s="226" t="str">
        <x:v>Cancelled</x:v>
      </x:c>
      <x:c r="H12" s="226" t="str">
        <x:v>Secure Email</x:v>
      </x:c>
      <x:c r="I12" s="226" t="str">
        <x:v>Recorded</x:v>
      </x:c>
      <x:c r="J12" s="226" t="str"/>
      <x:c r="K12" s="227" t="n">
        <x:v>46250</x:v>
      </x:c>
      <x:c r="L12" s="226" t="str">
        <x:v>SRC-DEMO-008</x:v>
      </x:c>
      <x:c r="M12" s="226" t="str">
        <x:v>Simulated record</x:v>
      </x:c>
    </x:row>
    <x:row r="13" ht="26" customHeight="1">
      <x:c r="A13" s="228" t="str">
        <x:v>APT-2026-009</x:v>
      </x:c>
      <x:c r="B13" s="228" t="str">
        <x:v>PT-DEMO-009</x:v>
      </x:c>
      <x:c r="C13" s="229" t="n">
        <x:v>46261</x:v>
      </x:c>
      <x:c r="D13" s="228" t="str">
        <x:v>12:00</x:v>
      </x:c>
      <x:c r="E13" s="228" t="str">
        <x:v>North Clinic</x:v>
      </x:c>
      <x:c r="F13" s="228" t="str">
        <x:v>Follow-up</x:v>
      </x:c>
      <x:c r="G13" s="228" t="str">
        <x:v>Scheduled</x:v>
      </x:c>
      <x:c r="H13" s="228" t="str">
        <x:v>Patient Portal</x:v>
      </x:c>
      <x:c r="I13" s="228" t="str">
        <x:v>Recorded</x:v>
      </x:c>
      <x:c r="J13" s="228" t="str"/>
      <x:c r="K13" s="229" t="n">
        <x:v>46244</x:v>
      </x:c>
      <x:c r="L13" s="228" t="str">
        <x:v>SRC-DEMO-009</x:v>
      </x:c>
      <x:c r="M13" s="228" t="str">
        <x:v>Simulated record</x:v>
      </x:c>
    </x:row>
    <x:row r="14" ht="26" customHeight="1">
      <x:c r="A14" s="226" t="str">
        <x:v>APT-2026-010</x:v>
      </x:c>
      <x:c r="B14" s="226" t="str">
        <x:v>PT-DEMO-010</x:v>
      </x:c>
      <x:c r="C14" s="227" t="n">
        <x:v>46252</x:v>
      </x:c>
      <x:c r="D14" s="226" t="str">
        <x:v>13:30</x:v>
      </x:c>
      <x:c r="E14" s="226" t="str">
        <x:v>Central Clinic</x:v>
      </x:c>
      <x:c r="F14" s="226" t="str">
        <x:v>Administrative Review</x:v>
      </x:c>
      <x:c r="G14" s="226" t="str">
        <x:v>Scheduled</x:v>
      </x:c>
      <x:c r="H14" s="226" t="str">
        <x:v>Secure Chat</x:v>
      </x:c>
      <x:c r="I14" s="226" t="str">
        <x:v>Recorded</x:v>
      </x:c>
      <x:c r="J14" s="226" t="str"/>
      <x:c r="K14" s="227" t="n">
        <x:v>46250</x:v>
      </x:c>
      <x:c r="L14" s="226" t="str">
        <x:v>SRC-DEMO-010</x:v>
      </x:c>
      <x:c r="M14" s="226" t="str">
        <x:v>Simulated record</x:v>
      </x:c>
    </x:row>
    <x:row r="15" ht="26" customHeight="1">
      <x:c r="A15" s="228" t="str">
        <x:v>APT-2026-011</x:v>
      </x:c>
      <x:c r="B15" s="228" t="str">
        <x:v>PT-DEMO-011</x:v>
      </x:c>
      <x:c r="C15" s="229" t="n">
        <x:v>46253</x:v>
      </x:c>
      <x:c r="D15" s="228" t="str">
        <x:v>13:00</x:v>
      </x:c>
      <x:c r="E15" s="228" t="str">
        <x:v>East Clinic</x:v>
      </x:c>
      <x:c r="F15" s="228" t="str">
        <x:v>Vaccination Administration</x:v>
      </x:c>
      <x:c r="G15" s="228" t="str">
        <x:v>Confirmed</x:v>
      </x:c>
      <x:c r="H15" s="228" t="str">
        <x:v>Task Tracker</x:v>
      </x:c>
      <x:c r="I15" s="228" t="str"/>
      <x:c r="J15" s="228" t="str"/>
      <x:c r="K15" s="229" t="n">
        <x:v>46251</x:v>
      </x:c>
      <x:c r="L15" s="228" t="str">
        <x:v>SRC-DEMO-011</x:v>
      </x:c>
      <x:c r="M15" s="228" t="str">
        <x:v>Simulated record</x:v>
      </x:c>
    </x:row>
    <x:row r="16" ht="26" customHeight="1">
      <x:c r="A16" s="226" t="str">
        <x:v>APT-2026-012</x:v>
      </x:c>
      <x:c r="B16" s="226" t="str">
        <x:v>PT-DEMO-012</x:v>
      </x:c>
      <x:c r="C16" s="227" t="n">
        <x:v>46254</x:v>
      </x:c>
      <x:c r="D16" s="226" t="str">
        <x:v>14:30</x:v>
      </x:c>
      <x:c r="E16" s="226" t="str">
        <x:v>North Clinic</x:v>
      </x:c>
      <x:c r="F16" s="226" t="str">
        <x:v>General Consultation</x:v>
      </x:c>
      <x:c r="G16" s="226" t="str">
        <x:v>Completed</x:v>
      </x:c>
      <x:c r="H16" s="226" t="str">
        <x:v>Secure Email</x:v>
      </x:c>
      <x:c r="I16" s="226" t="str">
        <x:v>Recorded</x:v>
      </x:c>
      <x:c r="J16" s="226" t="str"/>
      <x:c r="K16" s="227" t="n">
        <x:v>46250</x:v>
      </x:c>
      <x:c r="L16" s="226" t="str">
        <x:v>SRC-DEMO-012</x:v>
      </x:c>
      <x:c r="M16" s="226" t="str">
        <x:v>Simulated record</x:v>
      </x:c>
    </x:row>
    <x:row r="17" ht="26" customHeight="1">
      <x:c r="A17" s="228" t="str">
        <x:v>APT-2026-012</x:v>
      </x:c>
      <x:c r="B17" s="228" t="str">
        <x:v>PT-DEMO-013</x:v>
      </x:c>
      <x:c r="C17" s="229" t="n">
        <x:v>46255</x:v>
      </x:c>
      <x:c r="D17" s="228" t="str">
        <x:v>14:00</x:v>
      </x:c>
      <x:c r="E17" s="228" t="str">
        <x:v>Central Clinic</x:v>
      </x:c>
      <x:c r="F17" s="228" t="str">
        <x:v>Follow-up</x:v>
      </x:c>
      <x:c r="G17" s="228" t="str">
        <x:v>Cancelled</x:v>
      </x:c>
      <x:c r="H17" s="228" t="str">
        <x:v>Patient Portal</x:v>
      </x:c>
      <x:c r="I17" s="228" t="str">
        <x:v>Recorded</x:v>
      </x:c>
      <x:c r="J17" s="228" t="str"/>
      <x:c r="K17" s="229" t="n">
        <x:v>46251</x:v>
      </x:c>
      <x:c r="L17" s="228" t="str">
        <x:v>SRC-DEMO-013</x:v>
      </x:c>
      <x:c r="M17" s="228" t="str">
        <x:v>Simulated record</x:v>
      </x:c>
    </x:row>
    <x:row r="18" ht="26" customHeight="1">
      <x:c r="A18" s="226" t="str">
        <x:v>APT-2026-014</x:v>
      </x:c>
      <x:c r="B18" s="226" t="str">
        <x:v>PT-DEMO-014</x:v>
      </x:c>
      <x:c r="C18" s="227" t="n">
        <x:v>46256</x:v>
      </x:c>
      <x:c r="D18" s="226" t="str">
        <x:v>15:30</x:v>
      </x:c>
      <x:c r="E18" s="226" t="str">
        <x:v>East Clinic</x:v>
      </x:c>
      <x:c r="F18" s="226" t="str">
        <x:v>Administrative Review</x:v>
      </x:c>
      <x:c r="G18" s="226" t="str">
        <x:v>Reschedule Requested</x:v>
      </x:c>
      <x:c r="H18" s="226" t="str">
        <x:v>Secure Chat</x:v>
      </x:c>
      <x:c r="I18" s="226" t="str">
        <x:v>Recorded</x:v>
      </x:c>
      <x:c r="J18" s="226" t="str"/>
      <x:c r="K18" s="227" t="n">
        <x:v>46250</x:v>
      </x:c>
      <x:c r="L18" s="226" t="str">
        <x:v>SRC-DEMO-014</x:v>
      </x:c>
      <x:c r="M18" s="226" t="str">
        <x:v>Simulated record</x:v>
      </x:c>
    </x:row>
    <x:row r="19" ht="26" customHeight="1">
      <x:c r="A19" s="228" t="str">
        <x:v>APT-2026-015</x:v>
      </x:c>
      <x:c r="B19" s="228" t="str">
        <x:v>PT-DEMO-015</x:v>
      </x:c>
      <x:c r="C19" s="229" t="n">
        <x:v>46257</x:v>
      </x:c>
      <x:c r="D19" s="228" t="str">
        <x:v>15:00</x:v>
      </x:c>
      <x:c r="E19" s="228" t="str">
        <x:v>North Clinic</x:v>
      </x:c>
      <x:c r="F19" s="228" t="str">
        <x:v>Specialist Consultation</x:v>
      </x:c>
      <x:c r="G19" s="228" t="str">
        <x:v>Scheduled</x:v>
      </x:c>
      <x:c r="H19" s="228" t="str">
        <x:v>Task Tracker</x:v>
      </x:c>
      <x:c r="I19" s="228" t="str">
        <x:v>Recorded</x:v>
      </x:c>
      <x:c r="J19" s="228" t="str"/>
      <x:c r="K19" s="229" t="n">
        <x:v>46251</x:v>
      </x:c>
      <x:c r="L19" s="228" t="str">
        <x:v>SRC-DEMO-015</x:v>
      </x:c>
      <x:c r="M19" s="228" t="str">
        <x:v>Simulated record</x:v>
      </x:c>
    </x:row>
    <x:row r="20" ht="26" customHeight="1">
      <x:c r="A20" s="226" t="str">
        <x:v>APT-2026-016</x:v>
      </x:c>
      <x:c r="B20" s="226" t="str">
        <x:v>PT-DEMO-016</x:v>
      </x:c>
      <x:c r="C20" s="227" t="n">
        <x:v>46255</x:v>
      </x:c>
      <x:c r="D20" s="226" t="str">
        <x:v>10:00</x:v>
      </x:c>
      <x:c r="E20" s="226" t="str">
        <x:v>Central Clinic</x:v>
      </x:c>
      <x:c r="F20" s="226" t="str">
        <x:v>General Consultation</x:v>
      </x:c>
      <x:c r="G20" s="226" t="str">
        <x:v>Confirmed</x:v>
      </x:c>
      <x:c r="H20" s="226" t="str">
        <x:v>Secure Email</x:v>
      </x:c>
      <x:c r="I20" s="226" t="str">
        <x:v>Recorded</x:v>
      </x:c>
      <x:c r="J20" s="226" t="str"/>
      <x:c r="K20" s="227" t="n">
        <x:v>46250</x:v>
      </x:c>
      <x:c r="L20" s="226" t="str">
        <x:v>SRC-DEMO-016</x:v>
      </x:c>
      <x:c r="M20" s="226" t="str">
        <x:v>Simulated record</x:v>
      </x:c>
    </x:row>
    <x:row r="21" ht="26" customHeight="1">
      <x:c r="A21" s="228" t="str">
        <x:v>APT-2026-017</x:v>
      </x:c>
      <x:c r="B21" s="228" t="str">
        <x:v>PT-DEMO-017</x:v>
      </x:c>
      <x:c r="C21" s="229" t="n">
        <x:v>46255</x:v>
      </x:c>
      <x:c r="D21" s="228" t="str">
        <x:v>10:00</x:v>
      </x:c>
      <x:c r="E21" s="228" t="str">
        <x:v>Central Clinic</x:v>
      </x:c>
      <x:c r="F21" s="228" t="str">
        <x:v>Follow-up</x:v>
      </x:c>
      <x:c r="G21" s="228" t="str">
        <x:v>Completed</x:v>
      </x:c>
      <x:c r="H21" s="228" t="str">
        <x:v>Patient Portal</x:v>
      </x:c>
      <x:c r="I21" s="228" t="str">
        <x:v>Recorded</x:v>
      </x:c>
      <x:c r="J21" s="228" t="str"/>
      <x:c r="K21" s="229" t="n">
        <x:v>46251</x:v>
      </x:c>
      <x:c r="L21" s="228" t="str">
        <x:v>SRC-DEMO-017</x:v>
      </x:c>
      <x:c r="M21" s="228" t="str">
        <x:v>Simulated record</x:v>
      </x:c>
    </x:row>
    <x:row r="22" ht="26" customHeight="1">
      <x:c r="A22" s="226" t="str">
        <x:v>APT-2026-018</x:v>
      </x:c>
      <x:c r="B22" s="226" t="str">
        <x:v>PT-DEMO-108</x:v>
      </x:c>
      <x:c r="C22" s="227" t="n">
        <x:v>46260</x:v>
      </x:c>
      <x:c r="D22" s="226" t="str">
        <x:v>09:30</x:v>
      </x:c>
      <x:c r="E22" s="226" t="str">
        <x:v>North Clinic</x:v>
      </x:c>
      <x:c r="F22" s="226" t="str">
        <x:v>Administrative Review</x:v>
      </x:c>
      <x:c r="G22" s="226" t="str">
        <x:v>Cancelled</x:v>
      </x:c>
      <x:c r="H22" s="226" t="str">
        <x:v>Secure Chat</x:v>
      </x:c>
      <x:c r="I22" s="226" t="str">
        <x:v>Recorded</x:v>
      </x:c>
      <x:c r="J22" s="226" t="str"/>
      <x:c r="K22" s="227" t="n">
        <x:v>46250</x:v>
      </x:c>
      <x:c r="L22" s="226" t="str">
        <x:v>SRC-DEMO-018</x:v>
      </x:c>
      <x:c r="M22" s="226" t="str">
        <x:v>Simulated record</x:v>
      </x:c>
    </x:row>
    <x:row r="23" ht="26" customHeight="1">
      <x:c r="A23" s="228" t="str">
        <x:v>APT-2026-019</x:v>
      </x:c>
      <x:c r="B23" s="228" t="str">
        <x:v>PT-DEMO-019</x:v>
      </x:c>
      <x:c r="C23" s="229" t="n">
        <x:v>46261</x:v>
      </x:c>
      <x:c r="D23" s="228" t="str">
        <x:v>09:00</x:v>
      </x:c>
      <x:c r="E23" s="228" t="str">
        <x:v>Central Clinic</x:v>
      </x:c>
      <x:c r="F23" s="228" t="str">
        <x:v>Vaccination Administration</x:v>
      </x:c>
      <x:c r="G23" s="228" t="str">
        <x:v>Reschedule Requested</x:v>
      </x:c>
      <x:c r="H23" s="228" t="str">
        <x:v>Task Tracker</x:v>
      </x:c>
      <x:c r="I23" s="228" t="str">
        <x:v>Recorded</x:v>
      </x:c>
      <x:c r="J23" s="228" t="str"/>
      <x:c r="K23" s="229" t="n">
        <x:v>46251</x:v>
      </x:c>
      <x:c r="L23" s="228" t="str">
        <x:v>SRC-DEMO-019</x:v>
      </x:c>
      <x:c r="M23" s="228" t="str">
        <x:v>Simulated record</x:v>
      </x:c>
    </x:row>
    <x:row r="24" ht="26" customHeight="1">
      <x:c r="A24" s="226" t="str">
        <x:v>APT-2026-020</x:v>
      </x:c>
      <x:c r="B24" s="226" t="str">
        <x:v>PT-DEMO-020</x:v>
      </x:c>
      <x:c r="C24" s="227" t="n">
        <x:v>46252</x:v>
      </x:c>
      <x:c r="D24" s="226" t="str">
        <x:v>10:30</x:v>
      </x:c>
      <x:c r="E24" s="226" t="str">
        <x:v>East Clinic</x:v>
      </x:c>
      <x:c r="F24" s="226" t="str">
        <x:v>General Consultation</x:v>
      </x:c>
      <x:c r="G24" s="226" t="str">
        <x:v>Scheduled</x:v>
      </x:c>
      <x:c r="H24" s="226" t="str">
        <x:v>Secure Email</x:v>
      </x:c>
      <x:c r="I24" s="226" t="str">
        <x:v>Recorded</x:v>
      </x:c>
      <x:c r="J24" s="226" t="str"/>
      <x:c r="K24" s="227" t="n">
        <x:v>46250</x:v>
      </x:c>
      <x:c r="L24" s="226" t="str">
        <x:v>SRC-DEMO-020</x:v>
      </x:c>
      <x:c r="M24" s="226" t="str">
        <x:v>Simulated record</x:v>
      </x:c>
    </x:row>
    <x:row r="25" ht="26" customHeight="1">
      <x:c r="A25" s="228" t="str">
        <x:v>APT-2026-021</x:v>
      </x:c>
      <x:c r="B25" s="228" t="str">
        <x:v>PT-DEMO-021</x:v>
      </x:c>
      <x:c r="C25" s="229" t="n">
        <x:v>46253</x:v>
      </x:c>
      <x:c r="D25" s="228" t="str">
        <x:v>10:00</x:v>
      </x:c>
      <x:c r="E25" s="228" t="str">
        <x:v>North Clinic</x:v>
      </x:c>
      <x:c r="F25" s="228" t="str">
        <x:v>Follow-up</x:v>
      </x:c>
      <x:c r="G25" s="228" t="str">
        <x:v>Pending Call</x:v>
      </x:c>
      <x:c r="H25" s="228" t="str">
        <x:v>Patient Portal</x:v>
      </x:c>
      <x:c r="I25" s="228" t="str">
        <x:v>Recorded</x:v>
      </x:c>
      <x:c r="J25" s="228" t="str"/>
      <x:c r="K25" s="229" t="n">
        <x:v>46251</x:v>
      </x:c>
      <x:c r="L25" s="228" t="str">
        <x:v>SRC-DEMO-021</x:v>
      </x:c>
      <x:c r="M25" s="228" t="str">
        <x:v>Simulated record</x:v>
      </x:c>
    </x:row>
    <x:row r="26" ht="26" customHeight="1">
      <x:c r="A26" s="226" t="str">
        <x:v>APT-2026-022</x:v>
      </x:c>
      <x:c r="B26" s="226" t="str">
        <x:v>PT-DEMO-022</x:v>
      </x:c>
      <x:c r="C26" s="227" t="n">
        <x:v>46254</x:v>
      </x:c>
      <x:c r="D26" s="226" t="str">
        <x:v>11:30</x:v>
      </x:c>
      <x:c r="E26" s="226" t="str">
        <x:v>Central Clinic</x:v>
      </x:c>
      <x:c r="F26" s="226" t="str">
        <x:v>Administrative Review</x:v>
      </x:c>
      <x:c r="G26" s="226" t="str">
        <x:v>Completed</x:v>
      </x:c>
      <x:c r="H26" s="226" t="str">
        <x:v>Secure Chat</x:v>
      </x:c>
      <x:c r="I26" s="226" t="str"/>
      <x:c r="J26" s="226" t="str"/>
      <x:c r="K26" s="227" t="n">
        <x:v>46250</x:v>
      </x:c>
      <x:c r="L26" s="226" t="str">
        <x:v>SRC-DEMO-022</x:v>
      </x:c>
      <x:c r="M26" s="226" t="str">
        <x:v>Simulated record</x:v>
      </x:c>
    </x:row>
    <x:row r="27" ht="26" customHeight="1">
      <x:c r="A27" s="228" t="str">
        <x:v>APT-2026-023</x:v>
      </x:c>
      <x:c r="B27" s="228" t="str">
        <x:v>PT-DEMO-023</x:v>
      </x:c>
      <x:c r="C27" s="229" t="n">
        <x:v>46255</x:v>
      </x:c>
      <x:c r="D27" s="228" t="str">
        <x:v>11:00</x:v>
      </x:c>
      <x:c r="E27" s="228" t="str">
        <x:v>East Clinic</x:v>
      </x:c>
      <x:c r="F27" s="228" t="str">
        <x:v>Vaccination Administration</x:v>
      </x:c>
      <x:c r="G27" s="228" t="str">
        <x:v>Cancelled</x:v>
      </x:c>
      <x:c r="H27" s="228" t="str">
        <x:v>Task Tracker</x:v>
      </x:c>
      <x:c r="I27" s="228" t="str">
        <x:v>Recorded</x:v>
      </x:c>
      <x:c r="J27" s="228" t="str"/>
      <x:c r="K27" s="229" t="n">
        <x:v>46251</x:v>
      </x:c>
      <x:c r="L27" s="228" t="str">
        <x:v>SRC-DEMO-023</x:v>
      </x:c>
      <x:c r="M27" s="228" t="str">
        <x:v>Simulated record</x:v>
      </x:c>
    </x:row>
    <x:row r="28" ht="26" customHeight="1">
      <x:c r="A28" s="226" t="str">
        <x:v>APT-2026-024</x:v>
      </x:c>
      <x:c r="B28" s="226" t="str">
        <x:v>PT-DEMO-024</x:v>
      </x:c>
      <x:c r="C28" s="227" t="n">
        <x:v>46256</x:v>
      </x:c>
      <x:c r="D28" s="226" t="str">
        <x:v>12:30</x:v>
      </x:c>
      <x:c r="E28" s="226" t="str">
        <x:v>North Clinic</x:v>
      </x:c>
      <x:c r="F28" s="226" t="str">
        <x:v>General Consultation</x:v>
      </x:c>
      <x:c r="G28" s="226" t="str">
        <x:v>Reschedule Requested</x:v>
      </x:c>
      <x:c r="H28" s="226" t="str">
        <x:v>Phone Call</x:v>
      </x:c>
      <x:c r="I28" s="226" t="str">
        <x:v>Recorded</x:v>
      </x:c>
      <x:c r="J28" s="226" t="str"/>
      <x:c r="K28" s="227" t="n">
        <x:v>46250</x:v>
      </x:c>
      <x:c r="L28" s="226" t="str">
        <x:v>SRC-DEMO-024</x:v>
      </x:c>
      <x:c r="M28" s="226" t="str">
        <x:v>Simulated record</x:v>
      </x:c>
    </x:row>
    <x:row r="29" ht="26" customHeight="1">
      <x:c r="A29" s="228" t="str">
        <x:v>APT-2026-025</x:v>
      </x:c>
      <x:c r="B29" s="228" t="str">
        <x:v>PT-DEMO-025</x:v>
      </x:c>
      <x:c r="C29" s="229" t="n">
        <x:v>46257</x:v>
      </x:c>
      <x:c r="D29" s="228" t="str">
        <x:v>12:00</x:v>
      </x:c>
      <x:c r="E29" s="228" t="str">
        <x:v>Central Clinic</x:v>
      </x:c>
      <x:c r="F29" s="228" t="str">
        <x:v>Follow-up</x:v>
      </x:c>
      <x:c r="G29" s="228" t="str">
        <x:v>Scheduled</x:v>
      </x:c>
      <x:c r="H29" s="228" t="str">
        <x:v>Patient Portal</x:v>
      </x:c>
      <x:c r="I29" s="228" t="str">
        <x:v>Recorded</x:v>
      </x:c>
      <x:c r="J29" s="228" t="str"/>
      <x:c r="K29" s="229" t="n">
        <x:v>46251</x:v>
      </x:c>
      <x:c r="L29" s="228" t="str">
        <x:v>SRC-DEMO-025</x:v>
      </x:c>
      <x:c r="M29" s="228" t="str">
        <x:v>Simulated record</x:v>
      </x:c>
    </x:row>
    <x:row r="30" ht="26" customHeight="1">
      <x:c r="A30" s="226" t="str">
        <x:v>APT-2026-026</x:v>
      </x:c>
      <x:c r="B30" s="226" t="str">
        <x:v>PT-DEMO-026</x:v>
      </x:c>
      <x:c r="C30" s="227" t="n">
        <x:v>46258</x:v>
      </x:c>
      <x:c r="D30" s="226" t="str">
        <x:v>13:30</x:v>
      </x:c>
      <x:c r="E30" s="226" t="str">
        <x:v>East Clinic</x:v>
      </x:c>
      <x:c r="F30" s="226" t="str">
        <x:v>Administrative Review</x:v>
      </x:c>
      <x:c r="G30" s="226" t="str">
        <x:v>Confirmed</x:v>
      </x:c>
      <x:c r="H30" s="226" t="str">
        <x:v>Secure Chat</x:v>
      </x:c>
      <x:c r="I30" s="226" t="str">
        <x:v>Recorded</x:v>
      </x:c>
      <x:c r="J30" s="226" t="str"/>
      <x:c r="K30" s="227" t="n">
        <x:v>46250</x:v>
      </x:c>
      <x:c r="L30" s="226" t="str">
        <x:v>SRC-DEMO-026</x:v>
      </x:c>
      <x:c r="M30" s="226" t="str">
        <x:v>Simulated record</x:v>
      </x:c>
    </x:row>
    <x:row r="31" ht="26" customHeight="1">
      <x:c r="A31" s="228" t="str">
        <x:v>APT-2026-027</x:v>
      </x:c>
      <x:c r="B31" s="228" t="str">
        <x:v>PT-DEMO-027</x:v>
      </x:c>
      <x:c r="C31" s="229" t="n">
        <x:v>46259</x:v>
      </x:c>
      <x:c r="D31" s="228" t="str">
        <x:v>13:00</x:v>
      </x:c>
      <x:c r="E31" s="228" t="str">
        <x:v>North Clinic</x:v>
      </x:c>
      <x:c r="F31" s="228" t="str">
        <x:v>Vaccination Administration</x:v>
      </x:c>
      <x:c r="G31" s="228" t="str">
        <x:v>Scheduled</x:v>
      </x:c>
      <x:c r="H31" s="228" t="str">
        <x:v>Task Tracker</x:v>
      </x:c>
      <x:c r="I31" s="228" t="str">
        <x:v>Recorded</x:v>
      </x:c>
      <x:c r="J31" s="228" t="str"/>
      <x:c r="K31" s="229" t="n">
        <x:v>46244</x:v>
      </x:c>
      <x:c r="L31" s="228" t="str">
        <x:v>SRC-DEMO-027</x:v>
      </x:c>
      <x:c r="M31" s="228" t="str">
        <x:v>Simulated record</x:v>
      </x:c>
    </x:row>
    <x:row r="32" ht="26" customHeight="1">
      <x:c r="A32" s="226" t="str">
        <x:v>APT-2026-028</x:v>
      </x:c>
      <x:c r="B32" s="226" t="str">
        <x:v>PT-DEMO-028</x:v>
      </x:c>
      <x:c r="C32" s="227" t="n">
        <x:v>46260</x:v>
      </x:c>
      <x:c r="D32" s="226" t="str">
        <x:v>14:30</x:v>
      </x:c>
      <x:c r="E32" s="226" t="str">
        <x:v>Central Clinic</x:v>
      </x:c>
      <x:c r="F32" s="226" t="str">
        <x:v>General Consultation</x:v>
      </x:c>
      <x:c r="G32" s="226" t="str">
        <x:v>Cancelled</x:v>
      </x:c>
      <x:c r="H32" s="226" t="str">
        <x:v>Secure Email</x:v>
      </x:c>
      <x:c r="I32" s="226" t="str">
        <x:v>Recorded</x:v>
      </x:c>
      <x:c r="J32" s="226" t="str"/>
      <x:c r="K32" s="227" t="n">
        <x:v>46250</x:v>
      </x:c>
      <x:c r="L32" s="226" t="str">
        <x:v>SRC-DEMO-028</x:v>
      </x:c>
      <x:c r="M32" s="226" t="str">
        <x:v>Simulated record</x:v>
      </x:c>
    </x:row>
    <x:row r="33" ht="26" customHeight="1">
      <x:c r="A33" s="228" t="str">
        <x:v>APT-2026-029</x:v>
      </x:c>
      <x:c r="B33" s="228" t="str">
        <x:v>PT-DEMO-029</x:v>
      </x:c>
      <x:c r="C33" s="229" t="n">
        <x:v>46261</x:v>
      </x:c>
      <x:c r="D33" s="228" t="str">
        <x:v>14:00</x:v>
      </x:c>
      <x:c r="E33" s="228" t="str">
        <x:v>East Clinic</x:v>
      </x:c>
      <x:c r="F33" s="228" t="str">
        <x:v>Follow-up</x:v>
      </x:c>
      <x:c r="G33" s="228" t="str">
        <x:v>Reschedule Requested</x:v>
      </x:c>
      <x:c r="H33" s="228" t="str">
        <x:v>Patient Portal</x:v>
      </x:c>
      <x:c r="I33" s="228" t="str">
        <x:v>Recorded</x:v>
      </x:c>
      <x:c r="J33" s="228" t="str"/>
      <x:c r="K33" s="229" t="n">
        <x:v>46251</x:v>
      </x:c>
      <x:c r="L33" s="228" t="str">
        <x:v>SRC-DEMO-029</x:v>
      </x:c>
      <x:c r="M33" s="228" t="str">
        <x:v>Simulated record</x:v>
      </x:c>
    </x:row>
    <x:row r="34" ht="26" customHeight="1">
      <x:c r="A34" s="226" t="str">
        <x:v>APT-2026-030</x:v>
      </x:c>
      <x:c r="B34" s="226" t="str">
        <x:v>PT-DEMO-030</x:v>
      </x:c>
      <x:c r="C34" s="227" t="n">
        <x:v>46252</x:v>
      </x:c>
      <x:c r="D34" s="226" t="str">
        <x:v>15:30</x:v>
      </x:c>
      <x:c r="E34" s="226" t="str">
        <x:v>North Clinic</x:v>
      </x:c>
      <x:c r="F34" s="226" t="str">
        <x:v>Specialist Consultation</x:v>
      </x:c>
      <x:c r="G34" s="226" t="str">
        <x:v>Scheduled</x:v>
      </x:c>
      <x:c r="H34" s="226" t="str">
        <x:v>Secure Chat</x:v>
      </x:c>
      <x:c r="I34" s="226" t="str">
        <x:v>Recorded</x:v>
      </x:c>
      <x:c r="J34" s="226" t="str"/>
      <x:c r="K34" s="227" t="n">
        <x:v>46250</x:v>
      </x:c>
      <x:c r="L34" s="226" t="str">
        <x:v>SRC-DEMO-030</x:v>
      </x:c>
      <x:c r="M34" s="226" t="str">
        <x:v>Simulated record</x:v>
      </x:c>
    </x:row>
    <x:row r="35" ht="26" customHeight="1">
      <x:c r="A35" s="228" t="str">
        <x:v>APT-2026-031</x:v>
      </x:c>
      <x:c r="B35" s="228" t="str">
        <x:v>PT-DEMO-031</x:v>
      </x:c>
      <x:c r="C35" s="229" t="n">
        <x:v>46253</x:v>
      </x:c>
      <x:c r="D35" s="228" t="str">
        <x:v>15:00</x:v>
      </x:c>
      <x:c r="E35" s="228" t="str">
        <x:v>Central Clinic</x:v>
      </x:c>
      <x:c r="F35" s="228" t="str">
        <x:v>Vaccination Administration</x:v>
      </x:c>
      <x:c r="G35" s="228" t="str">
        <x:v>Confirmed</x:v>
      </x:c>
      <x:c r="H35" s="228" t="str">
        <x:v>Task Tracker</x:v>
      </x:c>
      <x:c r="I35" s="228" t="str">
        <x:v>Recorded</x:v>
      </x:c>
      <x:c r="J35" s="228" t="str"/>
      <x:c r="K35" s="229" t="n">
        <x:v>46251</x:v>
      </x:c>
      <x:c r="L35" s="228" t="str">
        <x:v>SRC-DEMO-031</x:v>
      </x:c>
      <x:c r="M35" s="228" t="str">
        <x:v>Simulated record</x:v>
      </x:c>
    </x:row>
    <x:row r="36" ht="26" customHeight="1">
      <x:c r="A36" s="226" t="str">
        <x:v>APT-2026-032</x:v>
      </x:c>
      <x:c r="B36" s="226" t="str">
        <x:v>PT-DEMO-032</x:v>
      </x:c>
      <x:c r="C36" s="227" t="n">
        <x:v>46254</x:v>
      </x:c>
      <x:c r="D36" s="226" t="str">
        <x:v>08:30</x:v>
      </x:c>
      <x:c r="E36" s="226" t="str">
        <x:v>East Clinic</x:v>
      </x:c>
      <x:c r="F36" s="226" t="str">
        <x:v>General Consultation</x:v>
      </x:c>
      <x:c r="G36" s="226" t="str">
        <x:v>Completed</x:v>
      </x:c>
      <x:c r="H36" s="226" t="str">
        <x:v>Secure Email</x:v>
      </x:c>
      <x:c r="I36" s="226" t="str">
        <x:v>Recorded</x:v>
      </x:c>
      <x:c r="J36" s="226" t="str"/>
      <x:c r="K36" s="227" t="n">
        <x:v>46250</x:v>
      </x:c>
      <x:c r="L36" s="226" t="str">
        <x:v>SRC-DEMO-032</x:v>
      </x:c>
      <x:c r="M36" s="226" t="str">
        <x:v>Simulated record</x:v>
      </x:c>
    </x:row>
    <x:row r="37" ht="26" customHeight="1">
      <x:c r="A37" s="228" t="str">
        <x:v>APT-2026-033</x:v>
      </x:c>
      <x:c r="B37" s="228" t="str">
        <x:v>PT-DEMO-033</x:v>
      </x:c>
      <x:c r="C37" s="229" t="n">
        <x:v>46255</x:v>
      </x:c>
      <x:c r="D37" s="228" t="str">
        <x:v>08:00</x:v>
      </x:c>
      <x:c r="E37" s="228" t="str">
        <x:v>North Clinic</x:v>
      </x:c>
      <x:c r="F37" s="228" t="str">
        <x:v>Follow-up</x:v>
      </x:c>
      <x:c r="G37" s="228" t="str">
        <x:v>Cancelled</x:v>
      </x:c>
      <x:c r="H37" s="228" t="str">
        <x:v>Patient Portal</x:v>
      </x:c>
      <x:c r="I37" s="228" t="str"/>
      <x:c r="J37" s="228" t="str"/>
      <x:c r="K37" s="229" t="n">
        <x:v>46251</x:v>
      </x:c>
      <x:c r="L37" s="228" t="str">
        <x:v>SRC-DEMO-033</x:v>
      </x:c>
      <x:c r="M37" s="228" t="str">
        <x:v>Simulated record</x:v>
      </x:c>
    </x:row>
    <x:row r="38" ht="26" customHeight="1">
      <x:c r="A38" s="226" t="str">
        <x:v>APT-2026-034</x:v>
      </x:c>
      <x:c r="B38" s="226" t="str">
        <x:v>PT-DEMO-034</x:v>
      </x:c>
      <x:c r="C38" s="227" t="n">
        <x:v>46255</x:v>
      </x:c>
      <x:c r="D38" s="226" t="str">
        <x:v>14:00</x:v>
      </x:c>
      <x:c r="E38" s="226" t="str">
        <x:v>East Clinic</x:v>
      </x:c>
      <x:c r="F38" s="226" t="str">
        <x:v>Administrative Review</x:v>
      </x:c>
      <x:c r="G38" s="226" t="str">
        <x:v>Reschedule Requested</x:v>
      </x:c>
      <x:c r="H38" s="226" t="str">
        <x:v>Secure Chat</x:v>
      </x:c>
      <x:c r="I38" s="226" t="str">
        <x:v>Recorded</x:v>
      </x:c>
      <x:c r="J38" s="226" t="str"/>
      <x:c r="K38" s="227" t="n">
        <x:v>46250</x:v>
      </x:c>
      <x:c r="L38" s="226" t="str">
        <x:v>SRC-DEMO-034</x:v>
      </x:c>
      <x:c r="M38" s="226" t="str">
        <x:v>Simulated record</x:v>
      </x:c>
    </x:row>
    <x:row r="39" ht="26" customHeight="1">
      <x:c r="A39" s="228" t="str">
        <x:v>APT-2026-035</x:v>
      </x:c>
      <x:c r="B39" s="228" t="str">
        <x:v>PT-DEMO-035</x:v>
      </x:c>
      <x:c r="C39" s="229" t="n">
        <x:v>46255</x:v>
      </x:c>
      <x:c r="D39" s="228" t="str">
        <x:v>14:00</x:v>
      </x:c>
      <x:c r="E39" s="228" t="str">
        <x:v>East Clinic</x:v>
      </x:c>
      <x:c r="F39" s="228" t="str">
        <x:v>Vaccination Administration</x:v>
      </x:c>
      <x:c r="G39" s="228" t="str">
        <x:v>Scheduled</x:v>
      </x:c>
      <x:c r="H39" s="228" t="str">
        <x:v>Task Tracker</x:v>
      </x:c>
      <x:c r="I39" s="228" t="str">
        <x:v>Recorded</x:v>
      </x:c>
      <x:c r="J39" s="228" t="str"/>
      <x:c r="K39" s="229" t="n">
        <x:v>46251</x:v>
      </x:c>
      <x:c r="L39" s="228" t="str">
        <x:v>SRC-DEMO-035</x:v>
      </x:c>
      <x:c r="M39" s="228" t="str">
        <x:v>Simulated record</x:v>
      </x:c>
    </x:row>
    <x:row r="40" ht="26" customHeight="1">
      <x:c r="A40" s="226" t="str">
        <x:v>APT-2026-036</x:v>
      </x:c>
      <x:c r="B40" s="226" t="str">
        <x:v>PT-DEMO-036</x:v>
      </x:c>
      <x:c r="C40" s="227" t="n">
        <x:v>46258</x:v>
      </x:c>
      <x:c r="D40" s="226" t="str">
        <x:v>10:30</x:v>
      </x:c>
      <x:c r="E40" s="226" t="str">
        <x:v>North Clinic</x:v>
      </x:c>
      <x:c r="F40" s="226" t="str">
        <x:v>General Consultation</x:v>
      </x:c>
      <x:c r="G40" s="226" t="str">
        <x:v>Confirmed</x:v>
      </x:c>
      <x:c r="H40" s="226" t="str">
        <x:v>Secure Email</x:v>
      </x:c>
      <x:c r="I40" s="226" t="str">
        <x:v>Recorded</x:v>
      </x:c>
      <x:c r="J40" s="226" t="str"/>
      <x:c r="K40" s="227" t="n">
        <x:v>46250</x:v>
      </x:c>
      <x:c r="L40" s="226" t="str">
        <x:v>SRC-DEMO-036</x:v>
      </x:c>
      <x:c r="M40" s="226" t="str">
        <x:v>Simulated record</x:v>
      </x:c>
    </x:row>
    <x:row r="41" ht="26" customHeight="1">
      <x:c r="A41" s="228" t="str">
        <x:v>APT-2026-036</x:v>
      </x:c>
      <x:c r="B41" s="228" t="str">
        <x:v>PT-DEMO-037</x:v>
      </x:c>
      <x:c r="C41" s="229" t="n">
        <x:v>46259</x:v>
      </x:c>
      <x:c r="D41" s="228" t="str">
        <x:v>10:00</x:v>
      </x:c>
      <x:c r="E41" s="228" t="str">
        <x:v>Central Clinic</x:v>
      </x:c>
      <x:c r="F41" s="228" t="str">
        <x:v>Follow-up</x:v>
      </x:c>
      <x:c r="G41" s="228" t="str">
        <x:v>Completed</x:v>
      </x:c>
      <x:c r="H41" s="228" t="str">
        <x:v>Patient Portal</x:v>
      </x:c>
      <x:c r="I41" s="228" t="str">
        <x:v>Recorded</x:v>
      </x:c>
      <x:c r="J41" s="228" t="str"/>
      <x:c r="K41" s="229" t="n">
        <x:v>46251</x:v>
      </x:c>
      <x:c r="L41" s="228" t="str">
        <x:v>SRC-DEMO-037</x:v>
      </x:c>
      <x:c r="M41" s="228" t="str">
        <x:v>Simulated record</x:v>
      </x:c>
    </x:row>
    <x:row r="42" ht="26" customHeight="1">
      <x:c r="A42" s="226" t="str">
        <x:v>APT-2026-038</x:v>
      </x:c>
      <x:c r="B42" s="226" t="str">
        <x:v>PT-DEMO-038</x:v>
      </x:c>
      <x:c r="C42" s="227" t="n">
        <x:v>46260</x:v>
      </x:c>
      <x:c r="D42" s="226" t="str">
        <x:v>11:30</x:v>
      </x:c>
      <x:c r="E42" s="226" t="str">
        <x:v>East Clinic</x:v>
      </x:c>
      <x:c r="F42" s="226" t="str">
        <x:v>Administrative Review</x:v>
      </x:c>
      <x:c r="G42" s="226" t="str">
        <x:v>Cancelled</x:v>
      </x:c>
      <x:c r="H42" s="226" t="str">
        <x:v>Secure Chat</x:v>
      </x:c>
      <x:c r="I42" s="226" t="str">
        <x:v>Recorded</x:v>
      </x:c>
      <x:c r="J42" s="226" t="str"/>
      <x:c r="K42" s="227" t="n">
        <x:v>46250</x:v>
      </x:c>
      <x:c r="L42" s="226" t="str">
        <x:v>SRC-DEMO-038</x:v>
      </x:c>
      <x:c r="M42" s="226" t="str">
        <x:v>Simulated record</x:v>
      </x:c>
    </x:row>
    <x:row r="43" ht="26" customHeight="1">
      <x:c r="A43" s="228" t="str">
        <x:v>APT-2026-039</x:v>
      </x:c>
      <x:c r="B43" s="228" t="str">
        <x:v>PT-DEMO-039</x:v>
      </x:c>
      <x:c r="C43" s="229" t="n">
        <x:v>46261</x:v>
      </x:c>
      <x:c r="D43" s="228" t="str">
        <x:v>11:00</x:v>
      </x:c>
      <x:c r="E43" s="228" t="str">
        <x:v>North Clinic</x:v>
      </x:c>
      <x:c r="F43" s="228" t="str">
        <x:v>Vaccination Administration</x:v>
      </x:c>
      <x:c r="G43" s="228" t="str">
        <x:v>Scheduled</x:v>
      </x:c>
      <x:c r="H43" s="228" t="str">
        <x:v>Task Tracker</x:v>
      </x:c>
      <x:c r="I43" s="228" t="str">
        <x:v>Recorded</x:v>
      </x:c>
      <x:c r="J43" s="228" t="str"/>
      <x:c r="K43" s="229" t="n">
        <x:v>46244</x:v>
      </x:c>
      <x:c r="L43" s="228" t="str">
        <x:v>SRC-DEMO-039</x:v>
      </x:c>
      <x:c r="M43" s="228" t="str">
        <x:v>Simulated record</x:v>
      </x:c>
    </x:row>
    <x:row r="44" ht="26" customHeight="1">
      <x:c r="A44" s="226" t="str">
        <x:v>APT-2026-040</x:v>
      </x:c>
      <x:c r="B44" s="226" t="str">
        <x:v>PT-DEMO-040</x:v>
      </x:c>
      <x:c r="C44" s="227" t="n">
        <x:v>46252</x:v>
      </x:c>
      <x:c r="D44" s="226" t="str">
        <x:v>12:30</x:v>
      </x:c>
      <x:c r="E44" s="226" t="str">
        <x:v>Central Clinic</x:v>
      </x:c>
      <x:c r="F44" s="226" t="str">
        <x:v>General Consultation</x:v>
      </x:c>
      <x:c r="G44" s="226" t="str">
        <x:v>Scheduled</x:v>
      </x:c>
      <x:c r="H44" s="226" t="str">
        <x:v>Secure Email</x:v>
      </x:c>
      <x:c r="I44" s="226" t="str">
        <x:v>Recorded</x:v>
      </x:c>
      <x:c r="J44" s="226" t="str"/>
      <x:c r="K44" s="227" t="n">
        <x:v>46250</x:v>
      </x:c>
      <x:c r="L44" s="226" t="str">
        <x:v>SRC-DEMO-040</x:v>
      </x:c>
      <x:c r="M44" s="226" t="str">
        <x:v>Simulated record</x:v>
      </x:c>
    </x:row>
    <x:row r="45" ht="26" customHeight="1">
      <x:c r="A45" s="228" t="str">
        <x:v>APT-2026-041</x:v>
      </x:c>
      <x:c r="B45" s="228" t="str">
        <x:v>PT-DEMO-041</x:v>
      </x:c>
      <x:c r="C45" s="229" t="n">
        <x:v>46253</x:v>
      </x:c>
      <x:c r="D45" s="228" t="str">
        <x:v>12:00</x:v>
      </x:c>
      <x:c r="E45" s="228" t="str">
        <x:v>East Clinic</x:v>
      </x:c>
      <x:c r="F45" s="228" t="str">
        <x:v>Follow-up</x:v>
      </x:c>
      <x:c r="G45" s="228" t="str">
        <x:v>Confirmed</x:v>
      </x:c>
      <x:c r="H45" s="228" t="str">
        <x:v>Patient Portal</x:v>
      </x:c>
      <x:c r="I45" s="228" t="str">
        <x:v>Recorded</x:v>
      </x:c>
      <x:c r="J45" s="228" t="str"/>
      <x:c r="K45" s="229" t="n">
        <x:v>46251</x:v>
      </x:c>
      <x:c r="L45" s="228" t="str">
        <x:v>SRC-DEMO-041</x:v>
      </x:c>
      <x:c r="M45" s="228" t="str">
        <x:v>Simulated record</x:v>
      </x:c>
    </x:row>
    <x:row r="46" ht="26" customHeight="1">
      <x:c r="A46" s="226" t="str">
        <x:v>APT-2026-042</x:v>
      </x:c>
      <x:c r="B46" s="226" t="str">
        <x:v>PT-DEMO-042</x:v>
      </x:c>
      <x:c r="C46" s="227" t="n">
        <x:v>46254</x:v>
      </x:c>
      <x:c r="D46" s="226" t="str">
        <x:v>13:30</x:v>
      </x:c>
      <x:c r="E46" s="226" t="str">
        <x:v>North Clinic</x:v>
      </x:c>
      <x:c r="F46" s="226" t="str">
        <x:v>Administrative Review</x:v>
      </x:c>
      <x:c r="G46" s="226" t="str">
        <x:v>Completed</x:v>
      </x:c>
      <x:c r="H46" s="226" t="str">
        <x:v>Phone Call</x:v>
      </x:c>
      <x:c r="I46" s="226" t="str">
        <x:v>Recorded</x:v>
      </x:c>
      <x:c r="J46" s="226" t="str"/>
      <x:c r="K46" s="227" t="n">
        <x:v>46250</x:v>
      </x:c>
      <x:c r="L46" s="226" t="str">
        <x:v>SRC-DEMO-042</x:v>
      </x:c>
      <x:c r="M46" s="226" t="str">
        <x:v>Simulated record</x:v>
      </x:c>
    </x:row>
    <x:row r="47" ht="26" customHeight="1">
      <x:c r="A47" s="228" t="str">
        <x:v>APT-2026-043</x:v>
      </x:c>
      <x:c r="B47" s="228" t="str">
        <x:v>PT-DEMO-043</x:v>
      </x:c>
      <x:c r="C47" s="229" t="n">
        <x:v>46255</x:v>
      </x:c>
      <x:c r="D47" s="228" t="str">
        <x:v>13:00</x:v>
      </x:c>
      <x:c r="E47" s="228" t="str">
        <x:v>Central Clinic</x:v>
      </x:c>
      <x:c r="F47" s="228" t="str">
        <x:v>Vaccination Administration</x:v>
      </x:c>
      <x:c r="G47" s="228" t="str">
        <x:v>Cancelled</x:v>
      </x:c>
      <x:c r="H47" s="228" t="str">
        <x:v>Task Tracker</x:v>
      </x:c>
      <x:c r="I47" s="228" t="str">
        <x:v>Recorded</x:v>
      </x:c>
      <x:c r="J47" s="228" t="str"/>
      <x:c r="K47" s="229" t="n">
        <x:v>46251</x:v>
      </x:c>
      <x:c r="L47" s="228" t="str">
        <x:v>SRC-DEMO-043</x:v>
      </x:c>
      <x:c r="M47" s="228" t="str">
        <x:v>Simulated record</x:v>
      </x:c>
    </x:row>
    <x:row r="48" ht="26" customHeight="1">
      <x:c r="A48" s="226" t="str">
        <x:v>APT-2026-044</x:v>
      </x:c>
      <x:c r="B48" s="226" t="str">
        <x:v>PT-DEMO-134</x:v>
      </x:c>
      <x:c r="C48" s="227" t="n">
        <x:v>46256</x:v>
      </x:c>
      <x:c r="D48" s="226" t="str">
        <x:v>14:30</x:v>
      </x:c>
      <x:c r="E48" s="226" t="str">
        <x:v>East Clinic</x:v>
      </x:c>
      <x:c r="F48" s="226" t="str">
        <x:v>General Consultation</x:v>
      </x:c>
      <x:c r="G48" s="226" t="str">
        <x:v>Reschedule Requested</x:v>
      </x:c>
      <x:c r="H48" s="226" t="str">
        <x:v>Secure Email</x:v>
      </x:c>
      <x:c r="I48" s="226" t="str"/>
      <x:c r="J48" s="226" t="str"/>
      <x:c r="K48" s="227" t="n">
        <x:v>46250</x:v>
      </x:c>
      <x:c r="L48" s="226" t="str">
        <x:v>SRC-DEMO-044</x:v>
      </x:c>
      <x:c r="M48" s="226" t="str">
        <x:v>Simulated record</x:v>
      </x:c>
    </x:row>
    <x:row r="49" ht="26" customHeight="1">
      <x:c r="A49" s="228" t="str">
        <x:v>APT-2026-045</x:v>
      </x:c>
      <x:c r="B49" s="228" t="str">
        <x:v>PT-DEMO-045</x:v>
      </x:c>
      <x:c r="C49" s="229" t="n">
        <x:v>46257</x:v>
      </x:c>
      <x:c r="D49" s="228" t="str">
        <x:v>14:00</x:v>
      </x:c>
      <x:c r="E49" s="228" t="str">
        <x:v>North Clinic</x:v>
      </x:c>
      <x:c r="F49" s="228" t="str">
        <x:v>Specialist Consultation</x:v>
      </x:c>
      <x:c r="G49" s="228" t="str">
        <x:v>Scheduled</x:v>
      </x:c>
      <x:c r="H49" s="228" t="str">
        <x:v>Patient Portal</x:v>
      </x:c>
      <x:c r="I49" s="228" t="str"/>
      <x:c r="J49" s="228" t="str"/>
      <x:c r="K49" s="229" t="n">
        <x:v>46251</x:v>
      </x:c>
      <x:c r="L49" s="228" t="str">
        <x:v>SRC-DEMO-045</x:v>
      </x:c>
      <x:c r="M49" s="228" t="str">
        <x:v>Simulated record</x:v>
      </x:c>
    </x:row>
    <x:row r="50" ht="26" customHeight="1">
      <x:c r="A50" s="226" t="str">
        <x:v>APT-2026-046</x:v>
      </x:c>
      <x:c r="B50" s="226" t="str">
        <x:v>PT-DEMO-001</x:v>
      </x:c>
      <x:c r="C50" s="227" t="n">
        <x:v>46258</x:v>
      </x:c>
      <x:c r="D50" s="226" t="str">
        <x:v>15:30</x:v>
      </x:c>
      <x:c r="E50" s="226" t="str">
        <x:v>Central Clinic</x:v>
      </x:c>
      <x:c r="F50" s="226" t="str">
        <x:v>Administrative Review</x:v>
      </x:c>
      <x:c r="G50" s="226" t="str">
        <x:v>Confirmed</x:v>
      </x:c>
      <x:c r="H50" s="226" t="str">
        <x:v>Secure Chat</x:v>
      </x:c>
      <x:c r="I50" s="226" t="str">
        <x:v>Recorded</x:v>
      </x:c>
      <x:c r="J50" s="226" t="str"/>
      <x:c r="K50" s="227" t="n">
        <x:v>46250</x:v>
      </x:c>
      <x:c r="L50" s="226" t="str">
        <x:v>SRC-DEMO-046</x:v>
      </x:c>
      <x:c r="M50" s="226" t="str">
        <x:v>Simulated record</x:v>
      </x:c>
    </x:row>
    <x:row r="51" ht="26" customHeight="1">
      <x:c r="A51" s="228" t="str">
        <x:v>APT-2026-047</x:v>
      </x:c>
      <x:c r="B51" s="228" t="str">
        <x:v>PT-DEMO-002</x:v>
      </x:c>
      <x:c r="C51" s="229" t="n">
        <x:v>46259</x:v>
      </x:c>
      <x:c r="D51" s="228" t="str">
        <x:v>15:00</x:v>
      </x:c>
      <x:c r="E51" s="228" t="str">
        <x:v>East Clinic</x:v>
      </x:c>
      <x:c r="F51" s="228" t="str">
        <x:v>Vaccination Administration</x:v>
      </x:c>
      <x:c r="G51" s="228" t="str">
        <x:v>Pending Call</x:v>
      </x:c>
      <x:c r="H51" s="228" t="str">
        <x:v>Task Tracker</x:v>
      </x:c>
      <x:c r="I51" s="228" t="str">
        <x:v>Recorded</x:v>
      </x:c>
      <x:c r="J51" s="228" t="str"/>
      <x:c r="K51" s="229" t="n">
        <x:v>46251</x:v>
      </x:c>
      <x:c r="L51" s="228" t="str">
        <x:v>SRC-DEMO-047</x:v>
      </x:c>
      <x:c r="M51" s="228" t="str">
        <x:v>Simulated record</x:v>
      </x:c>
    </x:row>
    <x:row r="52" ht="26" customHeight="1">
      <x:c r="A52" s="226" t="str">
        <x:v>APT-2026-048</x:v>
      </x:c>
      <x:c r="B52" s="226" t="str">
        <x:v>PT-DEMO-003</x:v>
      </x:c>
      <x:c r="C52" s="227" t="n">
        <x:v>46260</x:v>
      </x:c>
      <x:c r="D52" s="226" t="str">
        <x:v>08:30</x:v>
      </x:c>
      <x:c r="E52" s="226" t="str">
        <x:v>North Clinic</x:v>
      </x:c>
      <x:c r="F52" s="226" t="str">
        <x:v>General Consultation</x:v>
      </x:c>
      <x:c r="G52" s="226" t="str">
        <x:v>Scheduled</x:v>
      </x:c>
      <x:c r="H52" s="226" t="str">
        <x:v>Secure Email</x:v>
      </x:c>
      <x:c r="I52" s="226" t="str">
        <x:v>Recorded</x:v>
      </x:c>
      <x:c r="J52" s="226" t="str"/>
      <x:c r="K52" s="227" t="n">
        <x:v>46244</x:v>
      </x:c>
      <x:c r="L52" s="226" t="str">
        <x:v>SRC-DEMO-048</x:v>
      </x:c>
      <x:c r="M52" s="226" t="str">
        <x:v>Simulated record</x:v>
      </x:c>
    </x:row>
    <x:row r="53" ht="26" customHeight="1">
      <x:c r="A53" s="228" t="str">
        <x:v>APT-2026-049</x:v>
      </x:c>
      <x:c r="B53" s="228" t="str">
        <x:v>PT-DEMO-004</x:v>
      </x:c>
      <x:c r="C53" s="229" t="n">
        <x:v>46261</x:v>
      </x:c>
      <x:c r="D53" s="228" t="str">
        <x:v>08:00</x:v>
      </x:c>
      <x:c r="E53" s="228" t="str">
        <x:v>Central Clinic</x:v>
      </x:c>
      <x:c r="F53" s="228" t="str">
        <x:v>Follow-up</x:v>
      </x:c>
      <x:c r="G53" s="228" t="str">
        <x:v>Reschedule Requested</x:v>
      </x:c>
      <x:c r="H53" s="228" t="str">
        <x:v>Patient Portal</x:v>
      </x:c>
      <x:c r="I53" s="228" t="str">
        <x:v>Recorded</x:v>
      </x:c>
      <x:c r="J53" s="228" t="str"/>
      <x:c r="K53" s="229" t="n">
        <x:v>46251</x:v>
      </x:c>
      <x:c r="L53" s="228" t="str">
        <x:v>SRC-DEMO-049</x:v>
      </x:c>
      <x:c r="M53" s="228" t="str">
        <x:v>Simulated record</x:v>
      </x:c>
    </x:row>
    <x:row r="54" ht="26" customHeight="1">
      <x:c r="A54" s="230" t="str">
        <x:v>APT-2026-050</x:v>
      </x:c>
      <x:c r="B54" s="230" t="str">
        <x:v>PT-DEMO-005</x:v>
      </x:c>
      <x:c r="C54" s="231" t="n">
        <x:v>46252</x:v>
      </x:c>
      <x:c r="D54" s="230" t="str">
        <x:v>09:30</x:v>
      </x:c>
      <x:c r="E54" s="230" t="str">
        <x:v>East Clinic</x:v>
      </x:c>
      <x:c r="F54" s="230" t="str">
        <x:v>Administrative Review</x:v>
      </x:c>
      <x:c r="G54" s="230" t="str">
        <x:v>Scheduled</x:v>
      </x:c>
      <x:c r="H54" s="230" t="str">
        <x:v>Secure Chat</x:v>
      </x:c>
      <x:c r="I54" s="230" t="str">
        <x:v>Recorded</x:v>
      </x:c>
      <x:c r="J54" s="230" t="str"/>
      <x:c r="K54" s="231" t="n">
        <x:v>46250</x:v>
      </x:c>
      <x:c r="L54" s="230" t="str">
        <x:v>SRC-DEMO-050</x:v>
      </x:c>
      <x:c r="M54" s="230" t="str">
        <x:v>Simulated record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34" hidden="0" customWidth="1"/>
  </x:cols>
  <x:sheetData>
    <x:row r="1" ht="36" customHeight="1">
      <x:c r="A1" s="220" t="str">
        <x:v>PROJ-009 | FICTIONAL PATIENT REGISTRY</x:v>
      </x:c>
      <x:c r="B1" s="220"/>
      <x:c r="C1" s="220"/>
      <x:c r="D1" s="220"/>
      <x:c r="E1" s="220"/>
      <x:c r="F1" s="220"/>
      <x:c r="G1" s="220"/>
      <x:c r="H1" s="220"/>
    </x:row>
    <x:row r="2" ht="25" customHeight="1">
      <x:c r="A2" s="221" t="str">
        <x:v>Minimum-necessary administrative fields • no names, addresses, diagnoses, or real contact details</x:v>
      </x:c>
      <x:c r="B2" s="221"/>
      <x:c r="C2" s="221"/>
      <x:c r="D2" s="221"/>
      <x:c r="E2" s="221"/>
      <x:c r="F2" s="221"/>
      <x:c r="G2" s="221"/>
      <x:c r="H2" s="221"/>
    </x:row>
    <x:row r="3">
      <x:c r="A3" s="222"/>
      <x:c r="B3" s="222"/>
      <x:c r="C3" s="222"/>
      <x:c r="D3" s="222"/>
      <x:c r="E3" s="222"/>
      <x:c r="F3" s="222"/>
      <x:c r="G3" s="222"/>
      <x:c r="H3" s="222"/>
    </x:row>
    <x:row r="4" ht="34" customHeight="1">
      <x:c r="A4" s="223" t="str">
        <x:v>Patient ID</x:v>
      </x:c>
      <x:c r="B4" s="223" t="str">
        <x:v>Display Initials</x:v>
      </x:c>
      <x:c r="C4" s="223" t="str">
        <x:v>Birth Year</x:v>
      </x:c>
      <x:c r="D4" s="223" t="str">
        <x:v>Preferred Channel</x:v>
      </x:c>
      <x:c r="E4" s="223" t="str">
        <x:v>Consent Status</x:v>
      </x:c>
      <x:c r="F4" s="223" t="str">
        <x:v>Referral Flag</x:v>
      </x:c>
      <x:c r="G4" s="223" t="str">
        <x:v>Active Record</x:v>
      </x:c>
      <x:c r="H4" s="223" t="str">
        <x:v>Privacy Note</x:v>
      </x:c>
    </x:row>
    <x:row r="5" ht="26" customHeight="1">
      <x:c r="A5" s="232" t="str">
        <x:v>PT-DEMO-001</x:v>
      </x:c>
      <x:c r="B5" s="232" t="str">
        <x:v>PX-001</x:v>
      </x:c>
      <x:c r="C5" s="233" t="n">
        <x:v>1966</x:v>
      </x:c>
      <x:c r="D5" s="232" t="str">
        <x:v>Patient Portal</x:v>
      </x:c>
      <x:c r="E5" s="232" t="str">
        <x:v>Recorded</x:v>
      </x:c>
      <x:c r="F5" s="232" t="str">
        <x:v>Not Required</x:v>
      </x:c>
      <x:c r="G5" s="232" t="str">
        <x:v>Yes</x:v>
      </x:c>
      <x:c r="H5" s="232" t="str">
        <x:v>Fictional token — no real PHI</x:v>
      </x:c>
    </x:row>
    <x:row r="6" ht="26" customHeight="1">
      <x:c r="A6" s="234" t="str">
        <x:v>PT-DEMO-002</x:v>
      </x:c>
      <x:c r="B6" s="234" t="str">
        <x:v>PX-002</x:v>
      </x:c>
      <x:c r="C6" s="235" t="n">
        <x:v>1967</x:v>
      </x:c>
      <x:c r="D6" s="234" t="str">
        <x:v>Secure Chat</x:v>
      </x:c>
      <x:c r="E6" s="234" t="str">
        <x:v>Recorded</x:v>
      </x:c>
      <x:c r="F6" s="234" t="str">
        <x:v>Not Required</x:v>
      </x:c>
      <x:c r="G6" s="234" t="str">
        <x:v>Yes</x:v>
      </x:c>
      <x:c r="H6" s="234" t="str">
        <x:v>Fictional token — no real PHI</x:v>
      </x:c>
    </x:row>
    <x:row r="7" ht="26" customHeight="1">
      <x:c r="A7" s="236" t="str">
        <x:v>PT-DEMO-003</x:v>
      </x:c>
      <x:c r="B7" s="236" t="str">
        <x:v>PX-003</x:v>
      </x:c>
      <x:c r="C7" s="237" t="n">
        <x:v>1968</x:v>
      </x:c>
      <x:c r="D7" s="236" t="str">
        <x:v>Task Tracker</x:v>
      </x:c>
      <x:c r="E7" s="236" t="str">
        <x:v>Recorded</x:v>
      </x:c>
      <x:c r="F7" s="236" t="str">
        <x:v>Not Required</x:v>
      </x:c>
      <x:c r="G7" s="236" t="str">
        <x:v>Yes</x:v>
      </x:c>
      <x:c r="H7" s="236" t="str">
        <x:v>Fictional token — no real PHI</x:v>
      </x:c>
    </x:row>
    <x:row r="8" ht="26" customHeight="1">
      <x:c r="A8" s="234" t="str">
        <x:v>PT-DEMO-004</x:v>
      </x:c>
      <x:c r="B8" s="234" t="str">
        <x:v>PX-004</x:v>
      </x:c>
      <x:c r="C8" s="235" t="n">
        <x:v>1969</x:v>
      </x:c>
      <x:c r="D8" s="234" t="str">
        <x:v>Secure Email</x:v>
      </x:c>
      <x:c r="E8" s="234" t="str">
        <x:v>Recorded</x:v>
      </x:c>
      <x:c r="F8" s="234" t="str">
        <x:v>Not Required</x:v>
      </x:c>
      <x:c r="G8" s="234" t="str">
        <x:v>Yes</x:v>
      </x:c>
      <x:c r="H8" s="234" t="str">
        <x:v>Fictional token — no real PHI</x:v>
      </x:c>
    </x:row>
    <x:row r="9" ht="26" customHeight="1">
      <x:c r="A9" s="236" t="str">
        <x:v>PT-DEMO-005</x:v>
      </x:c>
      <x:c r="B9" s="236" t="str">
        <x:v>PX-005</x:v>
      </x:c>
      <x:c r="C9" s="237" t="n">
        <x:v>1970</x:v>
      </x:c>
      <x:c r="D9" s="236" t="str">
        <x:v>Patient Portal</x:v>
      </x:c>
      <x:c r="E9" s="236" t="str">
        <x:v>Recorded</x:v>
      </x:c>
      <x:c r="F9" s="236" t="str">
        <x:v>Available</x:v>
      </x:c>
      <x:c r="G9" s="236" t="str">
        <x:v>Yes</x:v>
      </x:c>
      <x:c r="H9" s="236" t="str">
        <x:v>Fictional token — no real PHI</x:v>
      </x:c>
    </x:row>
    <x:row r="10" ht="26" customHeight="1">
      <x:c r="A10" s="234" t="str">
        <x:v>PT-DEMO-006</x:v>
      </x:c>
      <x:c r="B10" s="234" t="str">
        <x:v>PX-006</x:v>
      </x:c>
      <x:c r="C10" s="235" t="n">
        <x:v>1971</x:v>
      </x:c>
      <x:c r="D10" s="234" t="str">
        <x:v>Secure Chat</x:v>
      </x:c>
      <x:c r="E10" s="234" t="str">
        <x:v>Recorded</x:v>
      </x:c>
      <x:c r="F10" s="234" t="str">
        <x:v>Not Required</x:v>
      </x:c>
      <x:c r="G10" s="234" t="str">
        <x:v>Yes</x:v>
      </x:c>
      <x:c r="H10" s="234" t="str">
        <x:v>Fictional token — no real PHI</x:v>
      </x:c>
    </x:row>
    <x:row r="11" ht="26" customHeight="1">
      <x:c r="A11" s="236" t="str">
        <x:v>PT-DEMO-007</x:v>
      </x:c>
      <x:c r="B11" s="236" t="str">
        <x:v>PX-007</x:v>
      </x:c>
      <x:c r="C11" s="237" t="n">
        <x:v>1972</x:v>
      </x:c>
      <x:c r="D11" s="236" t="str">
        <x:v>Task Tracker</x:v>
      </x:c>
      <x:c r="E11" s="236" t="str">
        <x:v>Recorded</x:v>
      </x:c>
      <x:c r="F11" s="236" t="str">
        <x:v>Not Required</x:v>
      </x:c>
      <x:c r="G11" s="236" t="str">
        <x:v>Yes</x:v>
      </x:c>
      <x:c r="H11" s="236" t="str">
        <x:v>Fictional token — no real PHI</x:v>
      </x:c>
    </x:row>
    <x:row r="12" ht="26" customHeight="1">
      <x:c r="A12" s="234" t="str">
        <x:v>PT-DEMO-008</x:v>
      </x:c>
      <x:c r="B12" s="234" t="str">
        <x:v>PX-008</x:v>
      </x:c>
      <x:c r="C12" s="235" t="n">
        <x:v>1973</x:v>
      </x:c>
      <x:c r="D12" s="234" t="str">
        <x:v>Secure Email</x:v>
      </x:c>
      <x:c r="E12" s="234" t="str">
        <x:v>Recorded</x:v>
      </x:c>
      <x:c r="F12" s="234" t="str">
        <x:v>Not Required</x:v>
      </x:c>
      <x:c r="G12" s="234" t="str">
        <x:v>Yes</x:v>
      </x:c>
      <x:c r="H12" s="234" t="str">
        <x:v>Fictional token — no real PHI</x:v>
      </x:c>
    </x:row>
    <x:row r="13" ht="26" customHeight="1">
      <x:c r="A13" s="236" t="str">
        <x:v>PT-DEMO-009</x:v>
      </x:c>
      <x:c r="B13" s="236" t="str">
        <x:v>PX-009</x:v>
      </x:c>
      <x:c r="C13" s="237" t="n">
        <x:v>1974</x:v>
      </x:c>
      <x:c r="D13" s="236" t="str">
        <x:v>Patient Portal</x:v>
      </x:c>
      <x:c r="E13" s="236" t="str">
        <x:v>Recorded</x:v>
      </x:c>
      <x:c r="F13" s="236" t="str">
        <x:v>Not Required</x:v>
      </x:c>
      <x:c r="G13" s="236" t="str">
        <x:v>Yes</x:v>
      </x:c>
      <x:c r="H13" s="236" t="str">
        <x:v>Fictional token — no real PHI</x:v>
      </x:c>
    </x:row>
    <x:row r="14" ht="26" customHeight="1">
      <x:c r="A14" s="234" t="str">
        <x:v>PT-DEMO-010</x:v>
      </x:c>
      <x:c r="B14" s="234" t="str">
        <x:v>PX-010</x:v>
      </x:c>
      <x:c r="C14" s="235" t="n">
        <x:v>1975</x:v>
      </x:c>
      <x:c r="D14" s="234" t="str">
        <x:v>Secure Chat</x:v>
      </x:c>
      <x:c r="E14" s="234" t="str">
        <x:v>Recorded</x:v>
      </x:c>
      <x:c r="F14" s="234" t="str">
        <x:v>Available</x:v>
      </x:c>
      <x:c r="G14" s="234" t="str">
        <x:v>Yes</x:v>
      </x:c>
      <x:c r="H14" s="234" t="str">
        <x:v>Fictional token — no real PHI</x:v>
      </x:c>
    </x:row>
    <x:row r="15" ht="26" customHeight="1">
      <x:c r="A15" s="236" t="str">
        <x:v>PT-DEMO-011</x:v>
      </x:c>
      <x:c r="B15" s="236" t="str">
        <x:v>PX-011</x:v>
      </x:c>
      <x:c r="C15" s="237" t="n">
        <x:v>1976</x:v>
      </x:c>
      <x:c r="D15" s="236" t="str">
        <x:v>Task Tracker</x:v>
      </x:c>
      <x:c r="E15" s="236" t="str">
        <x:v>Missing</x:v>
      </x:c>
      <x:c r="F15" s="236" t="str">
        <x:v>Not Required</x:v>
      </x:c>
      <x:c r="G15" s="236" t="str">
        <x:v>Yes</x:v>
      </x:c>
      <x:c r="H15" s="236" t="str">
        <x:v>Fictional token — no real PHI</x:v>
      </x:c>
    </x:row>
    <x:row r="16" ht="26" customHeight="1">
      <x:c r="A16" s="234" t="str">
        <x:v>PT-DEMO-012</x:v>
      </x:c>
      <x:c r="B16" s="234" t="str">
        <x:v>PX-012</x:v>
      </x:c>
      <x:c r="C16" s="235" t="n">
        <x:v>1977</x:v>
      </x:c>
      <x:c r="D16" s="234" t="str">
        <x:v>Secure Email</x:v>
      </x:c>
      <x:c r="E16" s="234" t="str">
        <x:v>Recorded</x:v>
      </x:c>
      <x:c r="F16" s="234" t="str">
        <x:v>Not Required</x:v>
      </x:c>
      <x:c r="G16" s="234" t="str">
        <x:v>Yes</x:v>
      </x:c>
      <x:c r="H16" s="234" t="str">
        <x:v>Fictional token — no real PHI</x:v>
      </x:c>
    </x:row>
    <x:row r="17" ht="26" customHeight="1">
      <x:c r="A17" s="236" t="str">
        <x:v>PT-DEMO-013</x:v>
      </x:c>
      <x:c r="B17" s="236" t="str">
        <x:v>PX-013</x:v>
      </x:c>
      <x:c r="C17" s="237" t="n">
        <x:v>1978</x:v>
      </x:c>
      <x:c r="D17" s="236" t="str">
        <x:v>Patient Portal</x:v>
      </x:c>
      <x:c r="E17" s="236" t="str">
        <x:v>Recorded</x:v>
      </x:c>
      <x:c r="F17" s="236" t="str">
        <x:v>Not Required</x:v>
      </x:c>
      <x:c r="G17" s="236" t="str">
        <x:v>Yes</x:v>
      </x:c>
      <x:c r="H17" s="236" t="str">
        <x:v>Fictional token — no real PHI</x:v>
      </x:c>
    </x:row>
    <x:row r="18" ht="26" customHeight="1">
      <x:c r="A18" s="234" t="str">
        <x:v>PT-DEMO-014</x:v>
      </x:c>
      <x:c r="B18" s="234" t="str">
        <x:v>PX-014</x:v>
      </x:c>
      <x:c r="C18" s="235" t="n">
        <x:v>1979</x:v>
      </x:c>
      <x:c r="D18" s="234" t="str">
        <x:v>Secure Chat</x:v>
      </x:c>
      <x:c r="E18" s="234" t="str">
        <x:v>Recorded</x:v>
      </x:c>
      <x:c r="F18" s="234" t="str">
        <x:v>Not Required</x:v>
      </x:c>
      <x:c r="G18" s="234" t="str">
        <x:v>Yes</x:v>
      </x:c>
      <x:c r="H18" s="234" t="str">
        <x:v>Fictional token — no real PHI</x:v>
      </x:c>
    </x:row>
    <x:row r="19" ht="26" customHeight="1">
      <x:c r="A19" s="236" t="str">
        <x:v>PT-DEMO-015</x:v>
      </x:c>
      <x:c r="B19" s="236" t="str">
        <x:v>PX-015</x:v>
      </x:c>
      <x:c r="C19" s="237" t="n">
        <x:v>1980</x:v>
      </x:c>
      <x:c r="D19" s="236" t="str">
        <x:v>Task Tracker</x:v>
      </x:c>
      <x:c r="E19" s="236" t="str">
        <x:v>Recorded</x:v>
      </x:c>
      <x:c r="F19" s="236" t="str">
        <x:v>Available</x:v>
      </x:c>
      <x:c r="G19" s="236" t="str">
        <x:v>Yes</x:v>
      </x:c>
      <x:c r="H19" s="236" t="str">
        <x:v>Fictional token — no real PHI</x:v>
      </x:c>
    </x:row>
    <x:row r="20" ht="26" customHeight="1">
      <x:c r="A20" s="234" t="str">
        <x:v>PT-DEMO-016</x:v>
      </x:c>
      <x:c r="B20" s="234" t="str">
        <x:v>PX-016</x:v>
      </x:c>
      <x:c r="C20" s="235" t="n">
        <x:v>1981</x:v>
      </x:c>
      <x:c r="D20" s="234" t="str">
        <x:v>Secure Email</x:v>
      </x:c>
      <x:c r="E20" s="234" t="str">
        <x:v>Recorded</x:v>
      </x:c>
      <x:c r="F20" s="234" t="str">
        <x:v>Not Required</x:v>
      </x:c>
      <x:c r="G20" s="234" t="str">
        <x:v>Yes</x:v>
      </x:c>
      <x:c r="H20" s="234" t="str">
        <x:v>Fictional token — no real PHI</x:v>
      </x:c>
    </x:row>
    <x:row r="21" ht="26" customHeight="1">
      <x:c r="A21" s="236" t="str">
        <x:v>PT-DEMO-017</x:v>
      </x:c>
      <x:c r="B21" s="236" t="str">
        <x:v>PX-017</x:v>
      </x:c>
      <x:c r="C21" s="237" t="n">
        <x:v>1982</x:v>
      </x:c>
      <x:c r="D21" s="236" t="str">
        <x:v>Patient Portal</x:v>
      </x:c>
      <x:c r="E21" s="236" t="str">
        <x:v>Recorded</x:v>
      </x:c>
      <x:c r="F21" s="236" t="str">
        <x:v>Not Required</x:v>
      </x:c>
      <x:c r="G21" s="236" t="str">
        <x:v>Yes</x:v>
      </x:c>
      <x:c r="H21" s="236" t="str">
        <x:v>Fictional token — no real PHI</x:v>
      </x:c>
    </x:row>
    <x:row r="22" ht="26" customHeight="1">
      <x:c r="A22" s="234" t="str">
        <x:v>PT-DEMO-018</x:v>
      </x:c>
      <x:c r="B22" s="234" t="str">
        <x:v>PX-018</x:v>
      </x:c>
      <x:c r="C22" s="235" t="n">
        <x:v>1983</x:v>
      </x:c>
      <x:c r="D22" s="234" t="str">
        <x:v>Secure Chat</x:v>
      </x:c>
      <x:c r="E22" s="234" t="str">
        <x:v>Recorded</x:v>
      </x:c>
      <x:c r="F22" s="234" t="str">
        <x:v>Not Required</x:v>
      </x:c>
      <x:c r="G22" s="234" t="str">
        <x:v>Yes</x:v>
      </x:c>
      <x:c r="H22" s="234" t="str">
        <x:v>Fictional token — no real PHI</x:v>
      </x:c>
    </x:row>
    <x:row r="23" ht="26" customHeight="1">
      <x:c r="A23" s="236" t="str">
        <x:v>PT-DEMO-019</x:v>
      </x:c>
      <x:c r="B23" s="236" t="str">
        <x:v>PX-019</x:v>
      </x:c>
      <x:c r="C23" s="237" t="n">
        <x:v>1984</x:v>
      </x:c>
      <x:c r="D23" s="236" t="str">
        <x:v>Task Tracker</x:v>
      </x:c>
      <x:c r="E23" s="236" t="str">
        <x:v>Recorded</x:v>
      </x:c>
      <x:c r="F23" s="236" t="str">
        <x:v>Not Required</x:v>
      </x:c>
      <x:c r="G23" s="236" t="str">
        <x:v>Yes</x:v>
      </x:c>
      <x:c r="H23" s="236" t="str">
        <x:v>Fictional token — no real PHI</x:v>
      </x:c>
    </x:row>
    <x:row r="24" ht="26" customHeight="1">
      <x:c r="A24" s="234" t="str">
        <x:v>PT-DEMO-020</x:v>
      </x:c>
      <x:c r="B24" s="234" t="str">
        <x:v>PX-020</x:v>
      </x:c>
      <x:c r="C24" s="235" t="n">
        <x:v>1985</x:v>
      </x:c>
      <x:c r="D24" s="234" t="str">
        <x:v>Secure Email</x:v>
      </x:c>
      <x:c r="E24" s="234" t="str">
        <x:v>Recorded</x:v>
      </x:c>
      <x:c r="F24" s="234" t="str">
        <x:v>Available</x:v>
      </x:c>
      <x:c r="G24" s="234" t="str">
        <x:v>Yes</x:v>
      </x:c>
      <x:c r="H24" s="234" t="str">
        <x:v>Fictional token — no real PHI</x:v>
      </x:c>
    </x:row>
    <x:row r="25" ht="26" customHeight="1">
      <x:c r="A25" s="236" t="str">
        <x:v>PT-DEMO-021</x:v>
      </x:c>
      <x:c r="B25" s="236" t="str">
        <x:v>PX-021</x:v>
      </x:c>
      <x:c r="C25" s="237" t="n">
        <x:v>1986</x:v>
      </x:c>
      <x:c r="D25" s="236" t="str">
        <x:v>Patient Portal</x:v>
      </x:c>
      <x:c r="E25" s="236" t="str">
        <x:v>Recorded</x:v>
      </x:c>
      <x:c r="F25" s="236" t="str">
        <x:v>Not Required</x:v>
      </x:c>
      <x:c r="G25" s="236" t="str">
        <x:v>Yes</x:v>
      </x:c>
      <x:c r="H25" s="236" t="str">
        <x:v>Fictional token — no real PHI</x:v>
      </x:c>
    </x:row>
    <x:row r="26" ht="26" customHeight="1">
      <x:c r="A26" s="234" t="str">
        <x:v>PT-DEMO-022</x:v>
      </x:c>
      <x:c r="B26" s="234" t="str">
        <x:v>PX-022</x:v>
      </x:c>
      <x:c r="C26" s="235" t="n">
        <x:v>1987</x:v>
      </x:c>
      <x:c r="D26" s="234" t="str">
        <x:v>Secure Chat</x:v>
      </x:c>
      <x:c r="E26" s="234" t="str">
        <x:v>Missing</x:v>
      </x:c>
      <x:c r="F26" s="234" t="str">
        <x:v>Not Required</x:v>
      </x:c>
      <x:c r="G26" s="234" t="str">
        <x:v>Yes</x:v>
      </x:c>
      <x:c r="H26" s="234" t="str">
        <x:v>Fictional token — no real PHI</x:v>
      </x:c>
    </x:row>
    <x:row r="27" ht="26" customHeight="1">
      <x:c r="A27" s="236" t="str">
        <x:v>PT-DEMO-023</x:v>
      </x:c>
      <x:c r="B27" s="236" t="str">
        <x:v>PX-023</x:v>
      </x:c>
      <x:c r="C27" s="237" t="n">
        <x:v>1988</x:v>
      </x:c>
      <x:c r="D27" s="236" t="str">
        <x:v>Task Tracker</x:v>
      </x:c>
      <x:c r="E27" s="236" t="str">
        <x:v>Recorded</x:v>
      </x:c>
      <x:c r="F27" s="236" t="str">
        <x:v>Not Required</x:v>
      </x:c>
      <x:c r="G27" s="236" t="str">
        <x:v>Yes</x:v>
      </x:c>
      <x:c r="H27" s="236" t="str">
        <x:v>Fictional token — no real PHI</x:v>
      </x:c>
    </x:row>
    <x:row r="28" ht="26" customHeight="1">
      <x:c r="A28" s="234" t="str">
        <x:v>PT-DEMO-024</x:v>
      </x:c>
      <x:c r="B28" s="234" t="str">
        <x:v>PX-024</x:v>
      </x:c>
      <x:c r="C28" s="235" t="n">
        <x:v>1989</x:v>
      </x:c>
      <x:c r="D28" s="234" t="str">
        <x:v>Secure Email</x:v>
      </x:c>
      <x:c r="E28" s="234" t="str">
        <x:v>Recorded</x:v>
      </x:c>
      <x:c r="F28" s="234" t="str">
        <x:v>Not Required</x:v>
      </x:c>
      <x:c r="G28" s="234" t="str">
        <x:v>Yes</x:v>
      </x:c>
      <x:c r="H28" s="234" t="str">
        <x:v>Fictional token — no real PHI</x:v>
      </x:c>
    </x:row>
    <x:row r="29" ht="26" customHeight="1">
      <x:c r="A29" s="236" t="str">
        <x:v>PT-DEMO-025</x:v>
      </x:c>
      <x:c r="B29" s="236" t="str">
        <x:v>PX-025</x:v>
      </x:c>
      <x:c r="C29" s="237" t="n">
        <x:v>1990</x:v>
      </x:c>
      <x:c r="D29" s="236" t="str">
        <x:v>Patient Portal</x:v>
      </x:c>
      <x:c r="E29" s="236" t="str">
        <x:v>Recorded</x:v>
      </x:c>
      <x:c r="F29" s="236" t="str">
        <x:v>Available</x:v>
      </x:c>
      <x:c r="G29" s="236" t="str">
        <x:v>Yes</x:v>
      </x:c>
      <x:c r="H29" s="236" t="str">
        <x:v>Fictional token — no real PHI</x:v>
      </x:c>
    </x:row>
    <x:row r="30" ht="26" customHeight="1">
      <x:c r="A30" s="234" t="str">
        <x:v>PT-DEMO-026</x:v>
      </x:c>
      <x:c r="B30" s="234" t="str">
        <x:v>PX-026</x:v>
      </x:c>
      <x:c r="C30" s="235" t="n">
        <x:v>1991</x:v>
      </x:c>
      <x:c r="D30" s="234" t="str">
        <x:v>Secure Chat</x:v>
      </x:c>
      <x:c r="E30" s="234" t="str">
        <x:v>Recorded</x:v>
      </x:c>
      <x:c r="F30" s="234" t="str">
        <x:v>Not Required</x:v>
      </x:c>
      <x:c r="G30" s="234" t="str">
        <x:v>Yes</x:v>
      </x:c>
      <x:c r="H30" s="234" t="str">
        <x:v>Fictional token — no real PHI</x:v>
      </x:c>
    </x:row>
    <x:row r="31" ht="26" customHeight="1">
      <x:c r="A31" s="236" t="str">
        <x:v>PT-DEMO-027</x:v>
      </x:c>
      <x:c r="B31" s="236" t="str">
        <x:v>PX-027</x:v>
      </x:c>
      <x:c r="C31" s="237" t="n">
        <x:v>1992</x:v>
      </x:c>
      <x:c r="D31" s="236" t="str">
        <x:v>Task Tracker</x:v>
      </x:c>
      <x:c r="E31" s="236" t="str">
        <x:v>Recorded</x:v>
      </x:c>
      <x:c r="F31" s="236" t="str">
        <x:v>Not Required</x:v>
      </x:c>
      <x:c r="G31" s="236" t="str">
        <x:v>Yes</x:v>
      </x:c>
      <x:c r="H31" s="236" t="str">
        <x:v>Fictional token — no real PHI</x:v>
      </x:c>
    </x:row>
    <x:row r="32" ht="26" customHeight="1">
      <x:c r="A32" s="234" t="str">
        <x:v>PT-DEMO-028</x:v>
      </x:c>
      <x:c r="B32" s="234" t="str">
        <x:v>PX-028</x:v>
      </x:c>
      <x:c r="C32" s="235" t="n">
        <x:v>1993</x:v>
      </x:c>
      <x:c r="D32" s="234" t="str">
        <x:v>Secure Email</x:v>
      </x:c>
      <x:c r="E32" s="234" t="str">
        <x:v>Recorded</x:v>
      </x:c>
      <x:c r="F32" s="234" t="str">
        <x:v>Not Required</x:v>
      </x:c>
      <x:c r="G32" s="234" t="str">
        <x:v>Yes</x:v>
      </x:c>
      <x:c r="H32" s="234" t="str">
        <x:v>Fictional token — no real PHI</x:v>
      </x:c>
    </x:row>
    <x:row r="33" ht="26" customHeight="1">
      <x:c r="A33" s="236" t="str">
        <x:v>PT-DEMO-029</x:v>
      </x:c>
      <x:c r="B33" s="236" t="str">
        <x:v>PX-029</x:v>
      </x:c>
      <x:c r="C33" s="237" t="n">
        <x:v>1994</x:v>
      </x:c>
      <x:c r="D33" s="236" t="str">
        <x:v>Patient Portal</x:v>
      </x:c>
      <x:c r="E33" s="236" t="str">
        <x:v>Recorded</x:v>
      </x:c>
      <x:c r="F33" s="236" t="str">
        <x:v>Not Required</x:v>
      </x:c>
      <x:c r="G33" s="236" t="str">
        <x:v>Yes</x:v>
      </x:c>
      <x:c r="H33" s="236" t="str">
        <x:v>Fictional token — no real PHI</x:v>
      </x:c>
    </x:row>
    <x:row r="34" ht="26" customHeight="1">
      <x:c r="A34" s="234" t="str">
        <x:v>PT-DEMO-030</x:v>
      </x:c>
      <x:c r="B34" s="234" t="str">
        <x:v>PX-030</x:v>
      </x:c>
      <x:c r="C34" s="235" t="n">
        <x:v>1995</x:v>
      </x:c>
      <x:c r="D34" s="234" t="str">
        <x:v>Secure Chat</x:v>
      </x:c>
      <x:c r="E34" s="234" t="str">
        <x:v>Recorded</x:v>
      </x:c>
      <x:c r="F34" s="234" t="str">
        <x:v>Available</x:v>
      </x:c>
      <x:c r="G34" s="234" t="str">
        <x:v>Yes</x:v>
      </x:c>
      <x:c r="H34" s="234" t="str">
        <x:v>Fictional token — no real PHI</x:v>
      </x:c>
    </x:row>
    <x:row r="35" ht="26" customHeight="1">
      <x:c r="A35" s="236" t="str">
        <x:v>PT-DEMO-031</x:v>
      </x:c>
      <x:c r="B35" s="236" t="str">
        <x:v>PX-031</x:v>
      </x:c>
      <x:c r="C35" s="237" t="n">
        <x:v>1996</x:v>
      </x:c>
      <x:c r="D35" s="236" t="str">
        <x:v>Task Tracker</x:v>
      </x:c>
      <x:c r="E35" s="236" t="str">
        <x:v>Recorded</x:v>
      </x:c>
      <x:c r="F35" s="236" t="str">
        <x:v>Not Required</x:v>
      </x:c>
      <x:c r="G35" s="236" t="str">
        <x:v>Yes</x:v>
      </x:c>
      <x:c r="H35" s="236" t="str">
        <x:v>Fictional token — no real PHI</x:v>
      </x:c>
    </x:row>
    <x:row r="36" ht="26" customHeight="1">
      <x:c r="A36" s="234" t="str">
        <x:v>PT-DEMO-032</x:v>
      </x:c>
      <x:c r="B36" s="234" t="str">
        <x:v>PX-032</x:v>
      </x:c>
      <x:c r="C36" s="235" t="n">
        <x:v>1997</x:v>
      </x:c>
      <x:c r="D36" s="234" t="str">
        <x:v>Secure Email</x:v>
      </x:c>
      <x:c r="E36" s="234" t="str">
        <x:v>Recorded</x:v>
      </x:c>
      <x:c r="F36" s="234" t="str">
        <x:v>Not Required</x:v>
      </x:c>
      <x:c r="G36" s="234" t="str">
        <x:v>Yes</x:v>
      </x:c>
      <x:c r="H36" s="234" t="str">
        <x:v>Fictional token — no real PHI</x:v>
      </x:c>
    </x:row>
    <x:row r="37" ht="26" customHeight="1">
      <x:c r="A37" s="236" t="str">
        <x:v>PT-DEMO-033</x:v>
      </x:c>
      <x:c r="B37" s="236" t="str">
        <x:v>PX-033</x:v>
      </x:c>
      <x:c r="C37" s="237" t="n">
        <x:v>1998</x:v>
      </x:c>
      <x:c r="D37" s="236" t="str">
        <x:v>Patient Portal</x:v>
      </x:c>
      <x:c r="E37" s="236" t="str">
        <x:v>Missing</x:v>
      </x:c>
      <x:c r="F37" s="236" t="str">
        <x:v>Not Required</x:v>
      </x:c>
      <x:c r="G37" s="236" t="str">
        <x:v>Yes</x:v>
      </x:c>
      <x:c r="H37" s="236" t="str">
        <x:v>Fictional token — no real PHI</x:v>
      </x:c>
    </x:row>
    <x:row r="38" ht="26" customHeight="1">
      <x:c r="A38" s="234" t="str">
        <x:v>PT-DEMO-034</x:v>
      </x:c>
      <x:c r="B38" s="234" t="str">
        <x:v>PX-034</x:v>
      </x:c>
      <x:c r="C38" s="235" t="n">
        <x:v>1999</x:v>
      </x:c>
      <x:c r="D38" s="234" t="str">
        <x:v>Secure Chat</x:v>
      </x:c>
      <x:c r="E38" s="234" t="str">
        <x:v>Recorded</x:v>
      </x:c>
      <x:c r="F38" s="234" t="str">
        <x:v>Not Required</x:v>
      </x:c>
      <x:c r="G38" s="234" t="str">
        <x:v>Yes</x:v>
      </x:c>
      <x:c r="H38" s="234" t="str">
        <x:v>Fictional token — no real PHI</x:v>
      </x:c>
    </x:row>
    <x:row r="39" ht="26" customHeight="1">
      <x:c r="A39" s="236" t="str">
        <x:v>PT-DEMO-035</x:v>
      </x:c>
      <x:c r="B39" s="236" t="str">
        <x:v>PX-035</x:v>
      </x:c>
      <x:c r="C39" s="237" t="n">
        <x:v>2000</x:v>
      </x:c>
      <x:c r="D39" s="236" t="str">
        <x:v>Task Tracker</x:v>
      </x:c>
      <x:c r="E39" s="236" t="str">
        <x:v>Recorded</x:v>
      </x:c>
      <x:c r="F39" s="236" t="str">
        <x:v>Available</x:v>
      </x:c>
      <x:c r="G39" s="236" t="str">
        <x:v>Yes</x:v>
      </x:c>
      <x:c r="H39" s="236" t="str">
        <x:v>Fictional token — no real PHI</x:v>
      </x:c>
    </x:row>
    <x:row r="40" ht="26" customHeight="1">
      <x:c r="A40" s="234" t="str">
        <x:v>PT-DEMO-036</x:v>
      </x:c>
      <x:c r="B40" s="234" t="str">
        <x:v>PX-036</x:v>
      </x:c>
      <x:c r="C40" s="235" t="n">
        <x:v>1965</x:v>
      </x:c>
      <x:c r="D40" s="234" t="str">
        <x:v>Secure Email</x:v>
      </x:c>
      <x:c r="E40" s="234" t="str">
        <x:v>Recorded</x:v>
      </x:c>
      <x:c r="F40" s="234" t="str">
        <x:v>Not Required</x:v>
      </x:c>
      <x:c r="G40" s="234" t="str">
        <x:v>Yes</x:v>
      </x:c>
      <x:c r="H40" s="234" t="str">
        <x:v>Fictional token — no real PHI</x:v>
      </x:c>
    </x:row>
    <x:row r="41" ht="26" customHeight="1">
      <x:c r="A41" s="236" t="str">
        <x:v>PT-DEMO-037</x:v>
      </x:c>
      <x:c r="B41" s="236" t="str">
        <x:v>PX-037</x:v>
      </x:c>
      <x:c r="C41" s="237" t="n">
        <x:v>1966</x:v>
      </x:c>
      <x:c r="D41" s="236" t="str">
        <x:v>Patient Portal</x:v>
      </x:c>
      <x:c r="E41" s="236" t="str">
        <x:v>Recorded</x:v>
      </x:c>
      <x:c r="F41" s="236" t="str">
        <x:v>Not Required</x:v>
      </x:c>
      <x:c r="G41" s="236" t="str">
        <x:v>Yes</x:v>
      </x:c>
      <x:c r="H41" s="236" t="str">
        <x:v>Fictional token — no real PHI</x:v>
      </x:c>
    </x:row>
    <x:row r="42" ht="26" customHeight="1">
      <x:c r="A42" s="234" t="str">
        <x:v>PT-DEMO-038</x:v>
      </x:c>
      <x:c r="B42" s="234" t="str">
        <x:v>PX-038</x:v>
      </x:c>
      <x:c r="C42" s="235" t="n">
        <x:v>1967</x:v>
      </x:c>
      <x:c r="D42" s="234" t="str">
        <x:v>Secure Chat</x:v>
      </x:c>
      <x:c r="E42" s="234" t="str">
        <x:v>Recorded</x:v>
      </x:c>
      <x:c r="F42" s="234" t="str">
        <x:v>Not Required</x:v>
      </x:c>
      <x:c r="G42" s="234" t="str">
        <x:v>Yes</x:v>
      </x:c>
      <x:c r="H42" s="234" t="str">
        <x:v>Fictional token — no real PHI</x:v>
      </x:c>
    </x:row>
    <x:row r="43" ht="26" customHeight="1">
      <x:c r="A43" s="236" t="str">
        <x:v>PT-DEMO-039</x:v>
      </x:c>
      <x:c r="B43" s="236" t="str">
        <x:v>PX-039</x:v>
      </x:c>
      <x:c r="C43" s="237" t="n">
        <x:v>1968</x:v>
      </x:c>
      <x:c r="D43" s="236" t="str">
        <x:v>Task Tracker</x:v>
      </x:c>
      <x:c r="E43" s="236" t="str">
        <x:v>Recorded</x:v>
      </x:c>
      <x:c r="F43" s="236" t="str">
        <x:v>Not Required</x:v>
      </x:c>
      <x:c r="G43" s="236" t="str">
        <x:v>Yes</x:v>
      </x:c>
      <x:c r="H43" s="236" t="str">
        <x:v>Fictional token — no real PHI</x:v>
      </x:c>
    </x:row>
    <x:row r="44" ht="26" customHeight="1">
      <x:c r="A44" s="234" t="str">
        <x:v>PT-DEMO-040</x:v>
      </x:c>
      <x:c r="B44" s="234" t="str">
        <x:v>PX-040</x:v>
      </x:c>
      <x:c r="C44" s="235" t="n">
        <x:v>1969</x:v>
      </x:c>
      <x:c r="D44" s="234" t="str">
        <x:v>Secure Email</x:v>
      </x:c>
      <x:c r="E44" s="234" t="str">
        <x:v>Recorded</x:v>
      </x:c>
      <x:c r="F44" s="234" t="str">
        <x:v>Available</x:v>
      </x:c>
      <x:c r="G44" s="234" t="str">
        <x:v>Yes</x:v>
      </x:c>
      <x:c r="H44" s="234" t="str">
        <x:v>Fictional token — no real PHI</x:v>
      </x:c>
    </x:row>
    <x:row r="45" ht="26" customHeight="1">
      <x:c r="A45" s="236" t="str">
        <x:v>PT-DEMO-041</x:v>
      </x:c>
      <x:c r="B45" s="236" t="str">
        <x:v>PX-041</x:v>
      </x:c>
      <x:c r="C45" s="237" t="n">
        <x:v>1970</x:v>
      </x:c>
      <x:c r="D45" s="236" t="str">
        <x:v>Patient Portal</x:v>
      </x:c>
      <x:c r="E45" s="236" t="str">
        <x:v>Recorded</x:v>
      </x:c>
      <x:c r="F45" s="236" t="str">
        <x:v>Not Required</x:v>
      </x:c>
      <x:c r="G45" s="236" t="str">
        <x:v>Yes</x:v>
      </x:c>
      <x:c r="H45" s="236" t="str">
        <x:v>Fictional token — no real PHI</x:v>
      </x:c>
    </x:row>
    <x:row r="46" ht="26" customHeight="1">
      <x:c r="A46" s="234" t="str">
        <x:v>PT-DEMO-042</x:v>
      </x:c>
      <x:c r="B46" s="234" t="str">
        <x:v>PX-042</x:v>
      </x:c>
      <x:c r="C46" s="235" t="n">
        <x:v>1971</x:v>
      </x:c>
      <x:c r="D46" s="234" t="str">
        <x:v>Secure Chat</x:v>
      </x:c>
      <x:c r="E46" s="234" t="str">
        <x:v>Recorded</x:v>
      </x:c>
      <x:c r="F46" s="234" t="str">
        <x:v>Not Required</x:v>
      </x:c>
      <x:c r="G46" s="234" t="str">
        <x:v>Yes</x:v>
      </x:c>
      <x:c r="H46" s="234" t="str">
        <x:v>Fictional token — no real PHI</x:v>
      </x:c>
    </x:row>
    <x:row r="47" ht="26" customHeight="1">
      <x:c r="A47" s="236" t="str">
        <x:v>PT-DEMO-043</x:v>
      </x:c>
      <x:c r="B47" s="236" t="str">
        <x:v>PX-043</x:v>
      </x:c>
      <x:c r="C47" s="237" t="n">
        <x:v>1972</x:v>
      </x:c>
      <x:c r="D47" s="236" t="str">
        <x:v>Task Tracker</x:v>
      </x:c>
      <x:c r="E47" s="236" t="str">
        <x:v>Recorded</x:v>
      </x:c>
      <x:c r="F47" s="236" t="str">
        <x:v>Not Required</x:v>
      </x:c>
      <x:c r="G47" s="236" t="str">
        <x:v>Yes</x:v>
      </x:c>
      <x:c r="H47" s="236" t="str">
        <x:v>Fictional token — no real PHI</x:v>
      </x:c>
    </x:row>
    <x:row r="48" ht="26" customHeight="1">
      <x:c r="A48" s="234" t="str">
        <x:v>PT-DEMO-044</x:v>
      </x:c>
      <x:c r="B48" s="234" t="str">
        <x:v>PX-044</x:v>
      </x:c>
      <x:c r="C48" s="235" t="n">
        <x:v>1973</x:v>
      </x:c>
      <x:c r="D48" s="234" t="str">
        <x:v>Secure Email</x:v>
      </x:c>
      <x:c r="E48" s="234" t="str">
        <x:v>Missing</x:v>
      </x:c>
      <x:c r="F48" s="234" t="str">
        <x:v>Not Required</x:v>
      </x:c>
      <x:c r="G48" s="234" t="str">
        <x:v>Yes</x:v>
      </x:c>
      <x:c r="H48" s="234" t="str">
        <x:v>Fictional token — no real PHI</x:v>
      </x:c>
    </x:row>
    <x:row r="49" ht="26" customHeight="1">
      <x:c r="A49" s="238" t="str">
        <x:v>PT-DEMO-045</x:v>
      </x:c>
      <x:c r="B49" s="238" t="str">
        <x:v>PX-045</x:v>
      </x:c>
      <x:c r="C49" s="239" t="n">
        <x:v>1974</x:v>
      </x:c>
      <x:c r="D49" s="238" t="str">
        <x:v>Patient Portal</x:v>
      </x:c>
      <x:c r="E49" s="238" t="str">
        <x:v>Recorded</x:v>
      </x:c>
      <x:c r="F49" s="238" t="str">
        <x:v>Available</x:v>
      </x:c>
      <x:c r="G49" s="238" t="str">
        <x:v>Yes</x:v>
      </x:c>
      <x:c r="H49" s="238" t="str">
        <x:v>Fictional token — no real PHI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4" hidden="0" customWidth="1"/>
    <x:col min="4" max="4" width="25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36" customHeight="1">
      <x:c r="A1" s="220" t="str">
        <x:v>PROJ-009 | CONTROL REFERENCES</x:v>
      </x:c>
      <x:c r="B1" s="220"/>
      <x:c r="C1" s="220"/>
      <x:c r="D1" s="220"/>
      <x:c r="E1" s="220"/>
      <x:c r="F1" s="220"/>
      <x:c r="G1" s="220"/>
      <x:c r="H1" s="220"/>
    </x:row>
    <x:row r="2" ht="25" customHeight="1">
      <x:c r="A2" s="221" t="str">
        <x:v>Editable rules • codes • thresholds • privacy boundaries</x:v>
      </x:c>
      <x:c r="B2" s="221"/>
      <x:c r="C2" s="221"/>
      <x:c r="D2" s="221"/>
      <x:c r="E2" s="221"/>
      <x:c r="F2" s="221"/>
      <x:c r="G2" s="221"/>
      <x:c r="H2" s="221"/>
    </x:row>
    <x:row r="3">
      <x:c r="A3" s="222"/>
      <x:c r="B3" s="222"/>
      <x:c r="C3" s="222"/>
      <x:c r="D3" s="222"/>
      <x:c r="E3" s="222"/>
      <x:c r="F3" s="222"/>
      <x:c r="G3" s="222"/>
      <x:c r="H3" s="222"/>
    </x:row>
    <x:row r="4" ht="34" customHeight="1">
      <x:c r="A4" s="223" t="str">
        <x:v>Appointment Type</x:v>
      </x:c>
      <x:c r="B4" s="223" t="str">
        <x:v>Referral Required</x:v>
      </x:c>
      <x:c r="C4" s="222"/>
      <x:c r="D4" s="223" t="str">
        <x:v>Allowed Status</x:v>
      </x:c>
      <x:c r="E4" s="222"/>
      <x:c r="F4" s="223" t="str">
        <x:v>Allowed Channel</x:v>
      </x:c>
      <x:c r="G4" s="222"/>
      <x:c r="H4" s="222"/>
    </x:row>
    <x:row r="5" ht="26" customHeight="1">
      <x:c r="A5" s="240" t="str">
        <x:v>General Consultation</x:v>
      </x:c>
      <x:c r="B5" s="240" t="str">
        <x:v>No</x:v>
      </x:c>
      <x:c r="C5" s="222"/>
      <x:c r="D5" s="240" t="str">
        <x:v>Scheduled</x:v>
      </x:c>
      <x:c r="E5" s="222"/>
      <x:c r="F5" s="240" t="str">
        <x:v>Secure Email</x:v>
      </x:c>
      <x:c r="G5" s="222"/>
      <x:c r="H5" s="222"/>
    </x:row>
    <x:row r="6" ht="26" customHeight="1">
      <x:c r="A6" s="241" t="str">
        <x:v>Follow-up</x:v>
      </x:c>
      <x:c r="B6" s="241" t="str">
        <x:v>No</x:v>
      </x:c>
      <x:c r="C6" s="222"/>
      <x:c r="D6" s="241" t="str">
        <x:v>Confirmed</x:v>
      </x:c>
      <x:c r="E6" s="222"/>
      <x:c r="F6" s="241" t="str">
        <x:v>Patient Portal</x:v>
      </x:c>
      <x:c r="G6" s="222"/>
      <x:c r="H6" s="222"/>
    </x:row>
    <x:row r="7" ht="26" customHeight="1">
      <x:c r="A7" s="241" t="str">
        <x:v>Specialist Consultation</x:v>
      </x:c>
      <x:c r="B7" s="241" t="str">
        <x:v>Yes</x:v>
      </x:c>
      <x:c r="C7" s="222"/>
      <x:c r="D7" s="241" t="str">
        <x:v>Completed</x:v>
      </x:c>
      <x:c r="E7" s="222"/>
      <x:c r="F7" s="241" t="str">
        <x:v>Secure Chat</x:v>
      </x:c>
      <x:c r="G7" s="222"/>
      <x:c r="H7" s="222"/>
    </x:row>
    <x:row r="8" ht="26" customHeight="1">
      <x:c r="A8" s="241" t="str">
        <x:v>Administrative Review</x:v>
      </x:c>
      <x:c r="B8" s="241" t="str">
        <x:v>No</x:v>
      </x:c>
      <x:c r="C8" s="222"/>
      <x:c r="D8" s="241" t="str">
        <x:v>Cancelled</x:v>
      </x:c>
      <x:c r="E8" s="222"/>
      <x:c r="F8" s="242" t="str">
        <x:v>Task Tracker</x:v>
      </x:c>
      <x:c r="G8" s="222"/>
      <x:c r="H8" s="222"/>
    </x:row>
    <x:row r="9" ht="26" customHeight="1">
      <x:c r="A9" s="242" t="str">
        <x:v>Vaccination Administration</x:v>
      </x:c>
      <x:c r="B9" s="242" t="str">
        <x:v>No</x:v>
      </x:c>
      <x:c r="C9" s="222"/>
      <x:c r="D9" s="242" t="str">
        <x:v>Reschedule Requested</x:v>
      </x:c>
      <x:c r="E9" s="222"/>
      <x:c r="F9" s="222"/>
      <x:c r="G9" s="222"/>
      <x:c r="H9" s="222"/>
    </x:row>
    <x:row r="10">
      <x:c r="A10" s="222"/>
      <x:c r="B10" s="222"/>
      <x:c r="C10" s="222"/>
      <x:c r="D10" s="222"/>
      <x:c r="E10" s="222"/>
      <x:c r="F10" s="222"/>
      <x:c r="G10" s="222"/>
      <x:c r="H10" s="222"/>
    </x:row>
    <x:row r="11">
      <x:c r="A11" s="222"/>
      <x:c r="B11" s="222"/>
      <x:c r="C11" s="222"/>
      <x:c r="D11" s="222"/>
      <x:c r="E11" s="222"/>
      <x:c r="F11" s="222"/>
      <x:c r="G11" s="222"/>
      <x:c r="H11" s="222"/>
    </x:row>
    <x:row r="12" ht="34" customHeight="1">
      <x:c r="A12" s="223" t="str">
        <x:v>Rule</x:v>
      </x:c>
      <x:c r="B12" s="223" t="str">
        <x:v>Value</x:v>
      </x:c>
      <x:c r="C12" s="222"/>
      <x:c r="D12" s="223" t="str">
        <x:v>COLOR LEGEND</x:v>
      </x:c>
      <x:c r="E12" s="223"/>
      <x:c r="F12" s="223"/>
      <x:c r="G12" s="223"/>
      <x:c r="H12" s="223"/>
    </x:row>
    <x:row r="13" ht="26" customHeight="1">
      <x:c r="A13" s="240" t="str">
        <x:v>As-of date</x:v>
      </x:c>
      <x:c r="B13" s="243" t="n">
        <x:v>46251</x:v>
      </x:c>
      <x:c r="C13" s="222"/>
      <x:c r="D13" s="244" t="str">
        <x:v>GREEN</x:v>
      </x:c>
      <x:c r="E13" s="240" t="str">
        <x:v>Ready / control passed</x:v>
      </x:c>
      <x:c r="F13" s="240"/>
      <x:c r="G13" s="240"/>
      <x:c r="H13" s="240"/>
    </x:row>
    <x:row r="14" ht="26" customHeight="1">
      <x:c r="A14" s="241" t="str">
        <x:v>Follow-up SLA days</x:v>
      </x:c>
      <x:c r="B14" s="241" t="n">
        <x:v>3</x:v>
      </x:c>
      <x:c r="C14" s="222"/>
      <x:c r="D14" s="245" t="str">
        <x:v>ORANGE</x:v>
      </x:c>
      <x:c r="E14" s="241" t="str">
        <x:v>Review / caution</x:v>
      </x:c>
      <x:c r="F14" s="241"/>
      <x:c r="G14" s="241"/>
      <x:c r="H14" s="241"/>
    </x:row>
    <x:row r="15" ht="26" customHeight="1">
      <x:c r="A15" s="241" t="str">
        <x:v>Slot duration minutes</x:v>
      </x:c>
      <x:c r="B15" s="241" t="n">
        <x:v>30</x:v>
      </x:c>
      <x:c r="C15" s="222"/>
      <x:c r="D15" s="246" t="str">
        <x:v>RED</x:v>
      </x:c>
      <x:c r="E15" s="241" t="str">
        <x:v>High priority / conflict</x:v>
      </x:c>
      <x:c r="F15" s="241"/>
      <x:c r="G15" s="241"/>
      <x:c r="H15" s="241"/>
    </x:row>
    <x:row r="16" ht="26" customHeight="1">
      <x:c r="A16" s="242" t="str">
        <x:v>Privacy classification</x:v>
      </x:c>
      <x:c r="B16" s="242" t="str">
        <x:v>SIMULATED / NO REAL PHI</x:v>
      </x:c>
      <x:c r="C16" s="222"/>
      <x:c r="D16" s="247" t="str">
        <x:v>YELLOW</x:v>
      </x:c>
      <x:c r="E16" s="242" t="str">
        <x:v>Editable input or rule</x:v>
      </x:c>
      <x:c r="F16" s="242"/>
      <x:c r="G16" s="242"/>
      <x:c r="H16" s="242"/>
    </x:row>
  </x:sheetData>
  <x:mergeCells>
    <x:mergeCell ref="A1:H1"/>
    <x:mergeCell ref="A2:H2"/>
    <x:mergeCell ref="D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5" hidden="0" customWidth="1"/>
    <x:col min="5" max="5" width="9" hidden="0" customWidth="1"/>
    <x:col min="6" max="6" width="18" hidden="0" customWidth="1"/>
    <x:col min="7" max="7" width="24" hidden="0" customWidth="1"/>
    <x:col min="8" max="8" width="22" hidden="0" customWidth="1"/>
    <x:col min="9" max="9" width="22" hidden="0" customWidth="1"/>
    <x:col min="10" max="10" width="18" hidden="0" customWidth="1"/>
    <x:col min="11" max="11" width="20" hidden="0" customWidth="1"/>
    <x:col min="12" max="12" width="16" hidden="0" customWidth="1"/>
    <x:col min="13" max="13" width="14" hidden="0" customWidth="1"/>
    <x:col min="14" max="14" width="19" hidden="0" customWidth="1"/>
    <x:col min="15" max="15" width="17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</x:cols>
  <x:sheetData>
    <x:row r="1" ht="36" customHeight="1">
      <x:c r="A1" s="220" t="str">
        <x:v>PROJ-009 | RECORD VALIDATION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</x:row>
    <x:row r="2" ht="25" customHeight="1">
      <x:c r="A2" s="221" t="str">
        <x:v>Formula-linked controls • identity • status • channel • consent • referral • follow-up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21"/>
      <x:c r="N2" s="221"/>
      <x:c r="O2" s="221"/>
      <x:c r="P2" s="221"/>
      <x:c r="Q2" s="221"/>
      <x:c r="R2" s="221"/>
      <x:c r="S2" s="221"/>
    </x:row>
    <x:row r="3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</x:row>
    <x:row r="4" ht="34" customHeight="1">
      <x:c r="A4" s="223" t="str">
        <x:v>Raw Row</x:v>
      </x:c>
      <x:c r="B4" s="223" t="str">
        <x:v>Appointment ID</x:v>
      </x:c>
      <x:c r="C4" s="223" t="str">
        <x:v>Patient ID</x:v>
      </x:c>
      <x:c r="D4" s="223" t="str">
        <x:v>Appointment Date</x:v>
      </x:c>
      <x:c r="E4" s="223" t="str">
        <x:v>Time</x:v>
      </x:c>
      <x:c r="F4" s="223" t="str">
        <x:v>Clinic</x:v>
      </x:c>
      <x:c r="G4" s="223" t="str">
        <x:v>Appointment Type</x:v>
      </x:c>
      <x:c r="H4" s="223" t="str">
        <x:v>Status</x:v>
      </x:c>
      <x:c r="I4" s="223" t="str">
        <x:v>Contact Channel</x:v>
      </x:c>
      <x:c r="J4" s="223" t="str">
        <x:v>Consent Evidence</x:v>
      </x:c>
      <x:c r="K4" s="223" t="str">
        <x:v>Referral Reference</x:v>
      </x:c>
      <x:c r="L4" s="223" t="str">
        <x:v>Request Received</x:v>
      </x:c>
      <x:c r="M4" s="223" t="str">
        <x:v>Appointment ID Count</x:v>
      </x:c>
      <x:c r="N4" s="223" t="str">
        <x:v>Patient Check</x:v>
      </x:c>
      <x:c r="O4" s="223" t="str">
        <x:v>Status Check</x:v>
      </x:c>
      <x:c r="P4" s="223" t="str">
        <x:v>Channel Check</x:v>
      </x:c>
      <x:c r="Q4" s="223" t="str">
        <x:v>Consent Check</x:v>
      </x:c>
      <x:c r="R4" s="223" t="str">
        <x:v>Referral Check</x:v>
      </x:c>
      <x:c r="S4" s="223" t="str">
        <x:v>Record Status</x:v>
      </x:c>
    </x:row>
    <x:row r="5" ht="26" customHeight="1">
      <x:c r="A5" s="232" t="n">
        <x:f>ROW('Appointments Raw'!A5)</x:f>
        <x:v>5</x:v>
      </x:c>
      <x:c r="B5" s="232" t="str">
        <x:f>'Appointments Raw'!A5</x:f>
        <x:v>APT-2026-001</x:v>
      </x:c>
      <x:c r="C5" s="232" t="str">
        <x:f>'Appointments Raw'!B5</x:f>
        <x:v>PT-DEMO-001</x:v>
      </x:c>
      <x:c r="D5" s="248" t="n">
        <x:f>'Appointments Raw'!C5</x:f>
        <x:v>46253</x:v>
      </x:c>
      <x:c r="E5" s="232" t="str">
        <x:f>'Appointments Raw'!D5</x:f>
        <x:v>08:00</x:v>
      </x:c>
      <x:c r="F5" s="232" t="str">
        <x:f>'Appointments Raw'!E5</x:f>
        <x:v>Central Clinic</x:v>
      </x:c>
      <x:c r="G5" s="232" t="str">
        <x:f>'Appointments Raw'!F5</x:f>
        <x:v>Follow-up</x:v>
      </x:c>
      <x:c r="H5" s="232" t="str">
        <x:f>'Appointments Raw'!G5</x:f>
        <x:v>Confirmed</x:v>
      </x:c>
      <x:c r="I5" s="232" t="str">
        <x:f>'Appointments Raw'!H5</x:f>
        <x:v>Patient Portal</x:v>
      </x:c>
      <x:c r="J5" s="232" t="str">
        <x:f>IF('Appointments Raw'!I5="","",'Appointments Raw'!I5)</x:f>
        <x:v>Recorded</x:v>
      </x:c>
      <x:c r="K5" s="232" t="str">
        <x:f>IF('Appointments Raw'!J5="","",'Appointments Raw'!J5)</x:f>
      </x:c>
      <x:c r="L5" s="248" t="n">
        <x:f>'Appointments Raw'!K5</x:f>
        <x:v>46251</x:v>
      </x:c>
      <x:c r="M5" s="232" t="n">
        <x:f>COUNTIF('Appointments Raw'!$A$5:$A$54,B5)</x:f>
        <x:v>1</x:v>
      </x:c>
      <x:c r="N5" s="232" t="str">
        <x:f>IF(COUNTIF('Patient Registry'!$A$5:$A$49,C5)=1,"OK","Patient ID Not Found")</x:f>
        <x:v>OK</x:v>
      </x:c>
      <x:c r="O5" s="232" t="str">
        <x:f>IF(COUNTIF('References'!$D$5:$D$9,H5)=1,"OK","Invalid Status")</x:f>
        <x:v>OK</x:v>
      </x:c>
      <x:c r="P5" s="232" t="str">
        <x:f>IF(COUNTIF('References'!$F$5:$F$8,I5)=1,"OK","Invalid Channel")</x:f>
        <x:v>OK</x:v>
      </x:c>
      <x:c r="Q5" s="232" t="str">
        <x:f>IF(J5="","Missing Consent","OK")</x:f>
        <x:v>OK</x:v>
      </x:c>
      <x:c r="R5" s="232" t="str">
        <x:f>IF(AND(G5="Specialist Consultation",K5=""),"Missing Referral","OK")</x:f>
        <x:v>OK</x:v>
      </x:c>
      <x:c r="S5" s="232" t="str">
        <x:f>IF(OR(M5&gt;1,N5&lt;&gt;"OK",O5&lt;&gt;"OK",P5&lt;&gt;"OK",Q5&lt;&gt;"OK",R5&lt;&gt;"OK"),IF(OR(M5&gt;1,N5&lt;&gt;"OK"),"High Priority Review","Review"),"Ready")</x:f>
        <x:v>Ready</x:v>
      </x:c>
    </x:row>
    <x:row r="6" ht="26" customHeight="1">
      <x:c r="A6" s="234" t="n">
        <x:f>ROW('Appointments Raw'!A6)</x:f>
        <x:v>6</x:v>
      </x:c>
      <x:c r="B6" s="234" t="str">
        <x:f>'Appointments Raw'!A6</x:f>
        <x:v>APT-2026-002</x:v>
      </x:c>
      <x:c r="C6" s="234" t="str">
        <x:f>'Appointments Raw'!B6</x:f>
        <x:v>PT-DEMO-002</x:v>
      </x:c>
      <x:c r="D6" s="249" t="n">
        <x:f>'Appointments Raw'!C6</x:f>
        <x:v>46254</x:v>
      </x:c>
      <x:c r="E6" s="234" t="str">
        <x:f>'Appointments Raw'!D6</x:f>
        <x:v>09:30</x:v>
      </x:c>
      <x:c r="F6" s="234" t="str">
        <x:f>'Appointments Raw'!E6</x:f>
        <x:v>East Clinic</x:v>
      </x:c>
      <x:c r="G6" s="234" t="str">
        <x:f>'Appointments Raw'!F6</x:f>
        <x:v>Administrative Review</x:v>
      </x:c>
      <x:c r="H6" s="234" t="str">
        <x:f>'Appointments Raw'!G6</x:f>
        <x:v>Completed</x:v>
      </x:c>
      <x:c r="I6" s="234" t="str">
        <x:f>'Appointments Raw'!H6</x:f>
        <x:v>Secure Chat</x:v>
      </x:c>
      <x:c r="J6" s="234" t="str">
        <x:f>IF('Appointments Raw'!I6="","",'Appointments Raw'!I6)</x:f>
        <x:v>Recorded</x:v>
      </x:c>
      <x:c r="K6" s="234" t="str">
        <x:f>IF('Appointments Raw'!J6="","",'Appointments Raw'!J6)</x:f>
      </x:c>
      <x:c r="L6" s="249" t="n">
        <x:f>'Appointments Raw'!K6</x:f>
        <x:v>46250</x:v>
      </x:c>
      <x:c r="M6" s="234" t="n">
        <x:f>COUNTIF('Appointments Raw'!$A$5:$A$54,B6)</x:f>
        <x:v>1</x:v>
      </x:c>
      <x:c r="N6" s="234" t="str">
        <x:f>IF(COUNTIF('Patient Registry'!$A$5:$A$49,C6)=1,"OK","Patient ID Not Found")</x:f>
        <x:v>OK</x:v>
      </x:c>
      <x:c r="O6" s="234" t="str">
        <x:f>IF(COUNTIF('References'!$D$5:$D$9,H6)=1,"OK","Invalid Status")</x:f>
        <x:v>OK</x:v>
      </x:c>
      <x:c r="P6" s="234" t="str">
        <x:f>IF(COUNTIF('References'!$F$5:$F$8,I6)=1,"OK","Invalid Channel")</x:f>
        <x:v>OK</x:v>
      </x:c>
      <x:c r="Q6" s="234" t="str">
        <x:f>IF(J6="","Missing Consent","OK")</x:f>
        <x:v>OK</x:v>
      </x:c>
      <x:c r="R6" s="234" t="str">
        <x:f>IF(AND(G6="Specialist Consultation",K6=""),"Missing Referral","OK")</x:f>
        <x:v>OK</x:v>
      </x:c>
      <x:c r="S6" s="234" t="str">
        <x:f>IF(OR(M6&gt;1,N6&lt;&gt;"OK",O6&lt;&gt;"OK",P6&lt;&gt;"OK",Q6&lt;&gt;"OK",R6&lt;&gt;"OK"),IF(OR(M6&gt;1,N6&lt;&gt;"OK"),"High Priority Review","Review"),"Ready")</x:f>
        <x:v>Ready</x:v>
      </x:c>
    </x:row>
    <x:row r="7" ht="26" customHeight="1">
      <x:c r="A7" s="236" t="n">
        <x:f>ROW('Appointments Raw'!A7)</x:f>
        <x:v>7</x:v>
      </x:c>
      <x:c r="B7" s="236" t="str">
        <x:f>'Appointments Raw'!A7</x:f>
        <x:v>APT-2026-003</x:v>
      </x:c>
      <x:c r="C7" s="236" t="str">
        <x:f>'Appointments Raw'!B7</x:f>
        <x:v>PT-DEMO-003</x:v>
      </x:c>
      <x:c r="D7" s="250" t="n">
        <x:f>'Appointments Raw'!C7</x:f>
        <x:v>46255</x:v>
      </x:c>
      <x:c r="E7" s="236" t="str">
        <x:f>'Appointments Raw'!D7</x:f>
        <x:v>09:00</x:v>
      </x:c>
      <x:c r="F7" s="236" t="str">
        <x:f>'Appointments Raw'!E7</x:f>
        <x:v>North Clinic</x:v>
      </x:c>
      <x:c r="G7" s="236" t="str">
        <x:f>'Appointments Raw'!F7</x:f>
        <x:v>Vaccination Administration</x:v>
      </x:c>
      <x:c r="H7" s="236" t="str">
        <x:f>'Appointments Raw'!G7</x:f>
        <x:v>Cancelled</x:v>
      </x:c>
      <x:c r="I7" s="236" t="str">
        <x:f>'Appointments Raw'!H7</x:f>
        <x:v>Task Tracker</x:v>
      </x:c>
      <x:c r="J7" s="236" t="str">
        <x:f>IF('Appointments Raw'!I7="","",'Appointments Raw'!I7)</x:f>
        <x:v>Recorded</x:v>
      </x:c>
      <x:c r="K7" s="236" t="str">
        <x:f>IF('Appointments Raw'!J7="","",'Appointments Raw'!J7)</x:f>
      </x:c>
      <x:c r="L7" s="250" t="n">
        <x:f>'Appointments Raw'!K7</x:f>
        <x:v>46251</x:v>
      </x:c>
      <x:c r="M7" s="236" t="n">
        <x:f>COUNTIF('Appointments Raw'!$A$5:$A$54,B7)</x:f>
        <x:v>1</x:v>
      </x:c>
      <x:c r="N7" s="236" t="str">
        <x:f>IF(COUNTIF('Patient Registry'!$A$5:$A$49,C7)=1,"OK","Patient ID Not Found")</x:f>
        <x:v>OK</x:v>
      </x:c>
      <x:c r="O7" s="236" t="str">
        <x:f>IF(COUNTIF('References'!$D$5:$D$9,H7)=1,"OK","Invalid Status")</x:f>
        <x:v>OK</x:v>
      </x:c>
      <x:c r="P7" s="236" t="str">
        <x:f>IF(COUNTIF('References'!$F$5:$F$8,I7)=1,"OK","Invalid Channel")</x:f>
        <x:v>OK</x:v>
      </x:c>
      <x:c r="Q7" s="236" t="str">
        <x:f>IF(J7="","Missing Consent","OK")</x:f>
        <x:v>OK</x:v>
      </x:c>
      <x:c r="R7" s="236" t="str">
        <x:f>IF(AND(G7="Specialist Consultation",K7=""),"Missing Referral","OK")</x:f>
        <x:v>OK</x:v>
      </x:c>
      <x:c r="S7" s="236" t="str">
        <x:f>IF(OR(M7&gt;1,N7&lt;&gt;"OK",O7&lt;&gt;"OK",P7&lt;&gt;"OK",Q7&lt;&gt;"OK",R7&lt;&gt;"OK"),IF(OR(M7&gt;1,N7&lt;&gt;"OK"),"High Priority Review","Review"),"Ready")</x:f>
        <x:v>Ready</x:v>
      </x:c>
    </x:row>
    <x:row r="8" ht="26" customHeight="1">
      <x:c r="A8" s="234" t="n">
        <x:f>ROW('Appointments Raw'!A8)</x:f>
        <x:v>8</x:v>
      </x:c>
      <x:c r="B8" s="234" t="str">
        <x:f>'Appointments Raw'!A8</x:f>
        <x:v>APT-2026-004</x:v>
      </x:c>
      <x:c r="C8" s="234" t="str">
        <x:f>'Appointments Raw'!B8</x:f>
        <x:v>PT-DEMO-004</x:v>
      </x:c>
      <x:c r="D8" s="249" t="n">
        <x:f>'Appointments Raw'!C8</x:f>
        <x:v>46256</x:v>
      </x:c>
      <x:c r="E8" s="234" t="str">
        <x:f>'Appointments Raw'!D8</x:f>
        <x:v>10:30</x:v>
      </x:c>
      <x:c r="F8" s="234" t="str">
        <x:f>'Appointments Raw'!E8</x:f>
        <x:v>Central Clinic</x:v>
      </x:c>
      <x:c r="G8" s="234" t="str">
        <x:f>'Appointments Raw'!F8</x:f>
        <x:v>General Consultation</x:v>
      </x:c>
      <x:c r="H8" s="234" t="str">
        <x:f>'Appointments Raw'!G8</x:f>
        <x:v>Reschedule Requested</x:v>
      </x:c>
      <x:c r="I8" s="234" t="str">
        <x:f>'Appointments Raw'!H8</x:f>
        <x:v>Secure Email</x:v>
      </x:c>
      <x:c r="J8" s="234" t="str">
        <x:f>IF('Appointments Raw'!I8="","",'Appointments Raw'!I8)</x:f>
        <x:v>Recorded</x:v>
      </x:c>
      <x:c r="K8" s="234" t="str">
        <x:f>IF('Appointments Raw'!J8="","",'Appointments Raw'!J8)</x:f>
      </x:c>
      <x:c r="L8" s="249" t="n">
        <x:f>'Appointments Raw'!K8</x:f>
        <x:v>46250</x:v>
      </x:c>
      <x:c r="M8" s="234" t="n">
        <x:f>COUNTIF('Appointments Raw'!$A$5:$A$54,B8)</x:f>
        <x:v>1</x:v>
      </x:c>
      <x:c r="N8" s="234" t="str">
        <x:f>IF(COUNTIF('Patient Registry'!$A$5:$A$49,C8)=1,"OK","Patient ID Not Found")</x:f>
        <x:v>OK</x:v>
      </x:c>
      <x:c r="O8" s="234" t="str">
        <x:f>IF(COUNTIF('References'!$D$5:$D$9,H8)=1,"OK","Invalid Status")</x:f>
        <x:v>OK</x:v>
      </x:c>
      <x:c r="P8" s="234" t="str">
        <x:f>IF(COUNTIF('References'!$F$5:$F$8,I8)=1,"OK","Invalid Channel")</x:f>
        <x:v>OK</x:v>
      </x:c>
      <x:c r="Q8" s="234" t="str">
        <x:f>IF(J8="","Missing Consent","OK")</x:f>
        <x:v>OK</x:v>
      </x:c>
      <x:c r="R8" s="234" t="str">
        <x:f>IF(AND(G8="Specialist Consultation",K8=""),"Missing Referral","OK")</x:f>
        <x:v>OK</x:v>
      </x:c>
      <x:c r="S8" s="234" t="str">
        <x:f>IF(OR(M8&gt;1,N8&lt;&gt;"OK",O8&lt;&gt;"OK",P8&lt;&gt;"OK",Q8&lt;&gt;"OK",R8&lt;&gt;"OK"),IF(OR(M8&gt;1,N8&lt;&gt;"OK"),"High Priority Review","Review"),"Ready")</x:f>
        <x:v>Ready</x:v>
      </x:c>
    </x:row>
    <x:row r="9" ht="26" customHeight="1">
      <x:c r="A9" s="236" t="n">
        <x:f>ROW('Appointments Raw'!A9)</x:f>
        <x:v>9</x:v>
      </x:c>
      <x:c r="B9" s="236" t="str">
        <x:f>'Appointments Raw'!A9</x:f>
        <x:v>APT-2026-005</x:v>
      </x:c>
      <x:c r="C9" s="236" t="str">
        <x:f>'Appointments Raw'!B9</x:f>
        <x:v>PT-DEMO-005</x:v>
      </x:c>
      <x:c r="D9" s="250" t="n">
        <x:f>'Appointments Raw'!C9</x:f>
        <x:v>46257</x:v>
      </x:c>
      <x:c r="E9" s="236" t="str">
        <x:f>'Appointments Raw'!D9</x:f>
        <x:v>10:00</x:v>
      </x:c>
      <x:c r="F9" s="236" t="str">
        <x:f>'Appointments Raw'!E9</x:f>
        <x:v>East Clinic</x:v>
      </x:c>
      <x:c r="G9" s="236" t="str">
        <x:f>'Appointments Raw'!F9</x:f>
        <x:v>Follow-up</x:v>
      </x:c>
      <x:c r="H9" s="236" t="str">
        <x:f>'Appointments Raw'!G9</x:f>
        <x:v>Scheduled</x:v>
      </x:c>
      <x:c r="I9" s="236" t="str">
        <x:f>'Appointments Raw'!H9</x:f>
        <x:v>Patient Portal</x:v>
      </x:c>
      <x:c r="J9" s="236" t="str">
        <x:f>IF('Appointments Raw'!I9="","",'Appointments Raw'!I9)</x:f>
        <x:v>Recorded</x:v>
      </x:c>
      <x:c r="K9" s="236" t="str">
        <x:f>IF('Appointments Raw'!J9="","",'Appointments Raw'!J9)</x:f>
      </x:c>
      <x:c r="L9" s="250" t="n">
        <x:f>'Appointments Raw'!K9</x:f>
        <x:v>46251</x:v>
      </x:c>
      <x:c r="M9" s="236" t="n">
        <x:f>COUNTIF('Appointments Raw'!$A$5:$A$54,B9)</x:f>
        <x:v>1</x:v>
      </x:c>
      <x:c r="N9" s="236" t="str">
        <x:f>IF(COUNTIF('Patient Registry'!$A$5:$A$49,C9)=1,"OK","Patient ID Not Found")</x:f>
        <x:v>OK</x:v>
      </x:c>
      <x:c r="O9" s="236" t="str">
        <x:f>IF(COUNTIF('References'!$D$5:$D$9,H9)=1,"OK","Invalid Status")</x:f>
        <x:v>OK</x:v>
      </x:c>
      <x:c r="P9" s="236" t="str">
        <x:f>IF(COUNTIF('References'!$F$5:$F$8,I9)=1,"OK","Invalid Channel")</x:f>
        <x:v>OK</x:v>
      </x:c>
      <x:c r="Q9" s="236" t="str">
        <x:f>IF(J9="","Missing Consent","OK")</x:f>
        <x:v>OK</x:v>
      </x:c>
      <x:c r="R9" s="236" t="str">
        <x:f>IF(AND(G9="Specialist Consultation",K9=""),"Missing Referral","OK")</x:f>
        <x:v>OK</x:v>
      </x:c>
      <x:c r="S9" s="236" t="str">
        <x:f>IF(OR(M9&gt;1,N9&lt;&gt;"OK",O9&lt;&gt;"OK",P9&lt;&gt;"OK",Q9&lt;&gt;"OK",R9&lt;&gt;"OK"),IF(OR(M9&gt;1,N9&lt;&gt;"OK"),"High Priority Review","Review"),"Ready")</x:f>
        <x:v>Ready</x:v>
      </x:c>
    </x:row>
    <x:row r="10" ht="26" customHeight="1">
      <x:c r="A10" s="234" t="n">
        <x:f>ROW('Appointments Raw'!A10)</x:f>
        <x:v>10</x:v>
      </x:c>
      <x:c r="B10" s="234" t="str">
        <x:f>'Appointments Raw'!A10</x:f>
        <x:v>APT-2026-006</x:v>
      </x:c>
      <x:c r="C10" s="234" t="str">
        <x:f>'Appointments Raw'!B10</x:f>
        <x:v>PT-DEMO-006</x:v>
      </x:c>
      <x:c r="D10" s="249" t="n">
        <x:f>'Appointments Raw'!C10</x:f>
        <x:v>46258</x:v>
      </x:c>
      <x:c r="E10" s="234" t="str">
        <x:f>'Appointments Raw'!D10</x:f>
        <x:v>11:30</x:v>
      </x:c>
      <x:c r="F10" s="234" t="str">
        <x:f>'Appointments Raw'!E10</x:f>
        <x:v>North Clinic</x:v>
      </x:c>
      <x:c r="G10" s="234" t="str">
        <x:f>'Appointments Raw'!F10</x:f>
        <x:v>Administrative Review</x:v>
      </x:c>
      <x:c r="H10" s="234" t="str">
        <x:f>'Appointments Raw'!G10</x:f>
        <x:v>Confirmed</x:v>
      </x:c>
      <x:c r="I10" s="234" t="str">
        <x:f>'Appointments Raw'!H10</x:f>
        <x:v>Secure Chat</x:v>
      </x:c>
      <x:c r="J10" s="234" t="str">
        <x:f>IF('Appointments Raw'!I10="","",'Appointments Raw'!I10)</x:f>
        <x:v>Recorded</x:v>
      </x:c>
      <x:c r="K10" s="234" t="str">
        <x:f>IF('Appointments Raw'!J10="","",'Appointments Raw'!J10)</x:f>
      </x:c>
      <x:c r="L10" s="249" t="n">
        <x:f>'Appointments Raw'!K10</x:f>
        <x:v>46250</x:v>
      </x:c>
      <x:c r="M10" s="234" t="n">
        <x:f>COUNTIF('Appointments Raw'!$A$5:$A$54,B10)</x:f>
        <x:v>1</x:v>
      </x:c>
      <x:c r="N10" s="234" t="str">
        <x:f>IF(COUNTIF('Patient Registry'!$A$5:$A$49,C10)=1,"OK","Patient ID Not Found")</x:f>
        <x:v>OK</x:v>
      </x:c>
      <x:c r="O10" s="234" t="str">
        <x:f>IF(COUNTIF('References'!$D$5:$D$9,H10)=1,"OK","Invalid Status")</x:f>
        <x:v>OK</x:v>
      </x:c>
      <x:c r="P10" s="234" t="str">
        <x:f>IF(COUNTIF('References'!$F$5:$F$8,I10)=1,"OK","Invalid Channel")</x:f>
        <x:v>OK</x:v>
      </x:c>
      <x:c r="Q10" s="234" t="str">
        <x:f>IF(J10="","Missing Consent","OK")</x:f>
        <x:v>OK</x:v>
      </x:c>
      <x:c r="R10" s="234" t="str">
        <x:f>IF(AND(G10="Specialist Consultation",K10=""),"Missing Referral","OK")</x:f>
        <x:v>OK</x:v>
      </x:c>
      <x:c r="S10" s="234" t="str">
        <x:f>IF(OR(M10&gt;1,N10&lt;&gt;"OK",O10&lt;&gt;"OK",P10&lt;&gt;"OK",Q10&lt;&gt;"OK",R10&lt;&gt;"OK"),IF(OR(M10&gt;1,N10&lt;&gt;"OK"),"High Priority Review","Review"),"Ready")</x:f>
        <x:v>Ready</x:v>
      </x:c>
    </x:row>
    <x:row r="11" ht="26" customHeight="1">
      <x:c r="A11" s="236" t="n">
        <x:f>ROW('Appointments Raw'!A11)</x:f>
        <x:v>11</x:v>
      </x:c>
      <x:c r="B11" s="236" t="str">
        <x:f>'Appointments Raw'!A11</x:f>
        <x:v>APT-2026-007</x:v>
      </x:c>
      <x:c r="C11" s="236" t="str">
        <x:f>'Appointments Raw'!B11</x:f>
        <x:v>PT-DEMO-007</x:v>
      </x:c>
      <x:c r="D11" s="250" t="n">
        <x:f>'Appointments Raw'!C11</x:f>
        <x:v>46259</x:v>
      </x:c>
      <x:c r="E11" s="236" t="str">
        <x:f>'Appointments Raw'!D11</x:f>
        <x:v>11:00</x:v>
      </x:c>
      <x:c r="F11" s="236" t="str">
        <x:f>'Appointments Raw'!E11</x:f>
        <x:v>Central Clinic</x:v>
      </x:c>
      <x:c r="G11" s="236" t="str">
        <x:f>'Appointments Raw'!F11</x:f>
        <x:v>Vaccination Administration</x:v>
      </x:c>
      <x:c r="H11" s="236" t="str">
        <x:f>'Appointments Raw'!G11</x:f>
        <x:v>Completed</x:v>
      </x:c>
      <x:c r="I11" s="236" t="str">
        <x:f>'Appointments Raw'!H11</x:f>
        <x:v>Task Tracker</x:v>
      </x:c>
      <x:c r="J11" s="236" t="str">
        <x:f>IF('Appointments Raw'!I11="","",'Appointments Raw'!I11)</x:f>
        <x:v>Recorded</x:v>
      </x:c>
      <x:c r="K11" s="236" t="str">
        <x:f>IF('Appointments Raw'!J11="","",'Appointments Raw'!J11)</x:f>
      </x:c>
      <x:c r="L11" s="250" t="n">
        <x:f>'Appointments Raw'!K11</x:f>
        <x:v>46251</x:v>
      </x:c>
      <x:c r="M11" s="236" t="n">
        <x:f>COUNTIF('Appointments Raw'!$A$5:$A$54,B11)</x:f>
        <x:v>1</x:v>
      </x:c>
      <x:c r="N11" s="236" t="str">
        <x:f>IF(COUNTIF('Patient Registry'!$A$5:$A$49,C11)=1,"OK","Patient ID Not Found")</x:f>
        <x:v>OK</x:v>
      </x:c>
      <x:c r="O11" s="236" t="str">
        <x:f>IF(COUNTIF('References'!$D$5:$D$9,H11)=1,"OK","Invalid Status")</x:f>
        <x:v>OK</x:v>
      </x:c>
      <x:c r="P11" s="236" t="str">
        <x:f>IF(COUNTIF('References'!$F$5:$F$8,I11)=1,"OK","Invalid Channel")</x:f>
        <x:v>OK</x:v>
      </x:c>
      <x:c r="Q11" s="236" t="str">
        <x:f>IF(J11="","Missing Consent","OK")</x:f>
        <x:v>OK</x:v>
      </x:c>
      <x:c r="R11" s="236" t="str">
        <x:f>IF(AND(G11="Specialist Consultation",K11=""),"Missing Referral","OK")</x:f>
        <x:v>OK</x:v>
      </x:c>
      <x:c r="S11" s="236" t="str">
        <x:f>IF(OR(M11&gt;1,N11&lt;&gt;"OK",O11&lt;&gt;"OK",P11&lt;&gt;"OK",Q11&lt;&gt;"OK",R11&lt;&gt;"OK"),IF(OR(M11&gt;1,N11&lt;&gt;"OK"),"High Priority Review","Review"),"Ready")</x:f>
        <x:v>Ready</x:v>
      </x:c>
    </x:row>
    <x:row r="12" ht="26" customHeight="1">
      <x:c r="A12" s="234" t="n">
        <x:f>ROW('Appointments Raw'!A12)</x:f>
        <x:v>12</x:v>
      </x:c>
      <x:c r="B12" s="234" t="str">
        <x:f>'Appointments Raw'!A12</x:f>
        <x:v>APT-2026-008</x:v>
      </x:c>
      <x:c r="C12" s="234" t="str">
        <x:f>'Appointments Raw'!B12</x:f>
        <x:v>PT-DEMO-008</x:v>
      </x:c>
      <x:c r="D12" s="249" t="n">
        <x:f>'Appointments Raw'!C12</x:f>
        <x:v>46260</x:v>
      </x:c>
      <x:c r="E12" s="234" t="str">
        <x:f>'Appointments Raw'!D12</x:f>
        <x:v>12:30</x:v>
      </x:c>
      <x:c r="F12" s="234" t="str">
        <x:f>'Appointments Raw'!E12</x:f>
        <x:v>East Clinic</x:v>
      </x:c>
      <x:c r="G12" s="234" t="str">
        <x:f>'Appointments Raw'!F12</x:f>
        <x:v>General Consultation</x:v>
      </x:c>
      <x:c r="H12" s="234" t="str">
        <x:f>'Appointments Raw'!G12</x:f>
        <x:v>Cancelled</x:v>
      </x:c>
      <x:c r="I12" s="234" t="str">
        <x:f>'Appointments Raw'!H12</x:f>
        <x:v>Secure Email</x:v>
      </x:c>
      <x:c r="J12" s="234" t="str">
        <x:f>IF('Appointments Raw'!I12="","",'Appointments Raw'!I12)</x:f>
        <x:v>Recorded</x:v>
      </x:c>
      <x:c r="K12" s="234" t="str">
        <x:f>IF('Appointments Raw'!J12="","",'Appointments Raw'!J12)</x:f>
      </x:c>
      <x:c r="L12" s="249" t="n">
        <x:f>'Appointments Raw'!K12</x:f>
        <x:v>46250</x:v>
      </x:c>
      <x:c r="M12" s="234" t="n">
        <x:f>COUNTIF('Appointments Raw'!$A$5:$A$54,B12)</x:f>
        <x:v>1</x:v>
      </x:c>
      <x:c r="N12" s="234" t="str">
        <x:f>IF(COUNTIF('Patient Registry'!$A$5:$A$49,C12)=1,"OK","Patient ID Not Found")</x:f>
        <x:v>OK</x:v>
      </x:c>
      <x:c r="O12" s="234" t="str">
        <x:f>IF(COUNTIF('References'!$D$5:$D$9,H12)=1,"OK","Invalid Status")</x:f>
        <x:v>OK</x:v>
      </x:c>
      <x:c r="P12" s="234" t="str">
        <x:f>IF(COUNTIF('References'!$F$5:$F$8,I12)=1,"OK","Invalid Channel")</x:f>
        <x:v>OK</x:v>
      </x:c>
      <x:c r="Q12" s="234" t="str">
        <x:f>IF(J12="","Missing Consent","OK")</x:f>
        <x:v>OK</x:v>
      </x:c>
      <x:c r="R12" s="234" t="str">
        <x:f>IF(AND(G12="Specialist Consultation",K12=""),"Missing Referral","OK")</x:f>
        <x:v>OK</x:v>
      </x:c>
      <x:c r="S12" s="234" t="str">
        <x:f>IF(OR(M12&gt;1,N12&lt;&gt;"OK",O12&lt;&gt;"OK",P12&lt;&gt;"OK",Q12&lt;&gt;"OK",R12&lt;&gt;"OK"),IF(OR(M12&gt;1,N12&lt;&gt;"OK"),"High Priority Review","Review"),"Ready")</x:f>
        <x:v>Ready</x:v>
      </x:c>
    </x:row>
    <x:row r="13" ht="26" customHeight="1">
      <x:c r="A13" s="236" t="n">
        <x:f>ROW('Appointments Raw'!A13)</x:f>
        <x:v>13</x:v>
      </x:c>
      <x:c r="B13" s="236" t="str">
        <x:f>'Appointments Raw'!A13</x:f>
        <x:v>APT-2026-009</x:v>
      </x:c>
      <x:c r="C13" s="236" t="str">
        <x:f>'Appointments Raw'!B13</x:f>
        <x:v>PT-DEMO-009</x:v>
      </x:c>
      <x:c r="D13" s="250" t="n">
        <x:f>'Appointments Raw'!C13</x:f>
        <x:v>46261</x:v>
      </x:c>
      <x:c r="E13" s="236" t="str">
        <x:f>'Appointments Raw'!D13</x:f>
        <x:v>12:00</x:v>
      </x:c>
      <x:c r="F13" s="236" t="str">
        <x:f>'Appointments Raw'!E13</x:f>
        <x:v>North Clinic</x:v>
      </x:c>
      <x:c r="G13" s="236" t="str">
        <x:f>'Appointments Raw'!F13</x:f>
        <x:v>Follow-up</x:v>
      </x:c>
      <x:c r="H13" s="236" t="str">
        <x:f>'Appointments Raw'!G13</x:f>
        <x:v>Scheduled</x:v>
      </x:c>
      <x:c r="I13" s="236" t="str">
        <x:f>'Appointments Raw'!H13</x:f>
        <x:v>Patient Portal</x:v>
      </x:c>
      <x:c r="J13" s="236" t="str">
        <x:f>IF('Appointments Raw'!I13="","",'Appointments Raw'!I13)</x:f>
        <x:v>Recorded</x:v>
      </x:c>
      <x:c r="K13" s="236" t="str">
        <x:f>IF('Appointments Raw'!J13="","",'Appointments Raw'!J13)</x:f>
      </x:c>
      <x:c r="L13" s="250" t="n">
        <x:f>'Appointments Raw'!K13</x:f>
        <x:v>46244</x:v>
      </x:c>
      <x:c r="M13" s="236" t="n">
        <x:f>COUNTIF('Appointments Raw'!$A$5:$A$54,B13)</x:f>
        <x:v>1</x:v>
      </x:c>
      <x:c r="N13" s="236" t="str">
        <x:f>IF(COUNTIF('Patient Registry'!$A$5:$A$49,C13)=1,"OK","Patient ID Not Found")</x:f>
        <x:v>OK</x:v>
      </x:c>
      <x:c r="O13" s="236" t="str">
        <x:f>IF(COUNTIF('References'!$D$5:$D$9,H13)=1,"OK","Invalid Status")</x:f>
        <x:v>OK</x:v>
      </x:c>
      <x:c r="P13" s="236" t="str">
        <x:f>IF(COUNTIF('References'!$F$5:$F$8,I13)=1,"OK","Invalid Channel")</x:f>
        <x:v>OK</x:v>
      </x:c>
      <x:c r="Q13" s="236" t="str">
        <x:f>IF(J13="","Missing Consent","OK")</x:f>
        <x:v>OK</x:v>
      </x:c>
      <x:c r="R13" s="236" t="str">
        <x:f>IF(AND(G13="Specialist Consultation",K13=""),"Missing Referral","OK")</x:f>
        <x:v>OK</x:v>
      </x:c>
      <x:c r="S13" s="236" t="str">
        <x:f>IF(OR(M13&gt;1,N13&lt;&gt;"OK",O13&lt;&gt;"OK",P13&lt;&gt;"OK",Q13&lt;&gt;"OK",R13&lt;&gt;"OK"),IF(OR(M13&gt;1,N13&lt;&gt;"OK"),"High Priority Review","Review"),"Ready")</x:f>
        <x:v>Ready</x:v>
      </x:c>
    </x:row>
    <x:row r="14" ht="26" customHeight="1">
      <x:c r="A14" s="234" t="n">
        <x:f>ROW('Appointments Raw'!A14)</x:f>
        <x:v>14</x:v>
      </x:c>
      <x:c r="B14" s="234" t="str">
        <x:f>'Appointments Raw'!A14</x:f>
        <x:v>APT-2026-010</x:v>
      </x:c>
      <x:c r="C14" s="234" t="str">
        <x:f>'Appointments Raw'!B14</x:f>
        <x:v>PT-DEMO-010</x:v>
      </x:c>
      <x:c r="D14" s="249" t="n">
        <x:f>'Appointments Raw'!C14</x:f>
        <x:v>46252</x:v>
      </x:c>
      <x:c r="E14" s="234" t="str">
        <x:f>'Appointments Raw'!D14</x:f>
        <x:v>13:30</x:v>
      </x:c>
      <x:c r="F14" s="234" t="str">
        <x:f>'Appointments Raw'!E14</x:f>
        <x:v>Central Clinic</x:v>
      </x:c>
      <x:c r="G14" s="234" t="str">
        <x:f>'Appointments Raw'!F14</x:f>
        <x:v>Administrative Review</x:v>
      </x:c>
      <x:c r="H14" s="234" t="str">
        <x:f>'Appointments Raw'!G14</x:f>
        <x:v>Scheduled</x:v>
      </x:c>
      <x:c r="I14" s="234" t="str">
        <x:f>'Appointments Raw'!H14</x:f>
        <x:v>Secure Chat</x:v>
      </x:c>
      <x:c r="J14" s="234" t="str">
        <x:f>IF('Appointments Raw'!I14="","",'Appointments Raw'!I14)</x:f>
        <x:v>Recorded</x:v>
      </x:c>
      <x:c r="K14" s="234" t="str">
        <x:f>IF('Appointments Raw'!J14="","",'Appointments Raw'!J14)</x:f>
      </x:c>
      <x:c r="L14" s="249" t="n">
        <x:f>'Appointments Raw'!K14</x:f>
        <x:v>46250</x:v>
      </x:c>
      <x:c r="M14" s="234" t="n">
        <x:f>COUNTIF('Appointments Raw'!$A$5:$A$54,B14)</x:f>
        <x:v>1</x:v>
      </x:c>
      <x:c r="N14" s="234" t="str">
        <x:f>IF(COUNTIF('Patient Registry'!$A$5:$A$49,C14)=1,"OK","Patient ID Not Found")</x:f>
        <x:v>OK</x:v>
      </x:c>
      <x:c r="O14" s="234" t="str">
        <x:f>IF(COUNTIF('References'!$D$5:$D$9,H14)=1,"OK","Invalid Status")</x:f>
        <x:v>OK</x:v>
      </x:c>
      <x:c r="P14" s="234" t="str">
        <x:f>IF(COUNTIF('References'!$F$5:$F$8,I14)=1,"OK","Invalid Channel")</x:f>
        <x:v>OK</x:v>
      </x:c>
      <x:c r="Q14" s="234" t="str">
        <x:f>IF(J14="","Missing Consent","OK")</x:f>
        <x:v>OK</x:v>
      </x:c>
      <x:c r="R14" s="234" t="str">
        <x:f>IF(AND(G14="Specialist Consultation",K14=""),"Missing Referral","OK")</x:f>
        <x:v>OK</x:v>
      </x:c>
      <x:c r="S14" s="234" t="str">
        <x:f>IF(OR(M14&gt;1,N14&lt;&gt;"OK",O14&lt;&gt;"OK",P14&lt;&gt;"OK",Q14&lt;&gt;"OK",R14&lt;&gt;"OK"),IF(OR(M14&gt;1,N14&lt;&gt;"OK"),"High Priority Review","Review"),"Ready")</x:f>
        <x:v>Ready</x:v>
      </x:c>
    </x:row>
    <x:row r="15" ht="26" customHeight="1">
      <x:c r="A15" s="236" t="n">
        <x:f>ROW('Appointments Raw'!A15)</x:f>
        <x:v>15</x:v>
      </x:c>
      <x:c r="B15" s="236" t="str">
        <x:f>'Appointments Raw'!A15</x:f>
        <x:v>APT-2026-011</x:v>
      </x:c>
      <x:c r="C15" s="236" t="str">
        <x:f>'Appointments Raw'!B15</x:f>
        <x:v>PT-DEMO-011</x:v>
      </x:c>
      <x:c r="D15" s="250" t="n">
        <x:f>'Appointments Raw'!C15</x:f>
        <x:v>46253</x:v>
      </x:c>
      <x:c r="E15" s="236" t="str">
        <x:f>'Appointments Raw'!D15</x:f>
        <x:v>13:00</x:v>
      </x:c>
      <x:c r="F15" s="236" t="str">
        <x:f>'Appointments Raw'!E15</x:f>
        <x:v>East Clinic</x:v>
      </x:c>
      <x:c r="G15" s="236" t="str">
        <x:f>'Appointments Raw'!F15</x:f>
        <x:v>Vaccination Administration</x:v>
      </x:c>
      <x:c r="H15" s="236" t="str">
        <x:f>'Appointments Raw'!G15</x:f>
        <x:v>Confirmed</x:v>
      </x:c>
      <x:c r="I15" s="236" t="str">
        <x:f>'Appointments Raw'!H15</x:f>
        <x:v>Task Tracker</x:v>
      </x:c>
      <x:c r="J15" s="236" t="str">
        <x:f>IF('Appointments Raw'!I15="","",'Appointments Raw'!I15)</x:f>
      </x:c>
      <x:c r="K15" s="236" t="str">
        <x:f>IF('Appointments Raw'!J15="","",'Appointments Raw'!J15)</x:f>
      </x:c>
      <x:c r="L15" s="250" t="n">
        <x:f>'Appointments Raw'!K15</x:f>
        <x:v>46251</x:v>
      </x:c>
      <x:c r="M15" s="236" t="n">
        <x:f>COUNTIF('Appointments Raw'!$A$5:$A$54,B15)</x:f>
        <x:v>1</x:v>
      </x:c>
      <x:c r="N15" s="236" t="str">
        <x:f>IF(COUNTIF('Patient Registry'!$A$5:$A$49,C15)=1,"OK","Patient ID Not Found")</x:f>
        <x:v>OK</x:v>
      </x:c>
      <x:c r="O15" s="236" t="str">
        <x:f>IF(COUNTIF('References'!$D$5:$D$9,H15)=1,"OK","Invalid Status")</x:f>
        <x:v>OK</x:v>
      </x:c>
      <x:c r="P15" s="236" t="str">
        <x:f>IF(COUNTIF('References'!$F$5:$F$8,I15)=1,"OK","Invalid Channel")</x:f>
        <x:v>OK</x:v>
      </x:c>
      <x:c r="Q15" s="236" t="str">
        <x:f>IF(J15="","Missing Consent","OK")</x:f>
        <x:v>Missing Consent</x:v>
      </x:c>
      <x:c r="R15" s="236" t="str">
        <x:f>IF(AND(G15="Specialist Consultation",K15=""),"Missing Referral","OK")</x:f>
        <x:v>OK</x:v>
      </x:c>
      <x:c r="S15" s="236" t="str">
        <x:f>IF(OR(M15&gt;1,N15&lt;&gt;"OK",O15&lt;&gt;"OK",P15&lt;&gt;"OK",Q15&lt;&gt;"OK",R15&lt;&gt;"OK"),IF(OR(M15&gt;1,N15&lt;&gt;"OK"),"High Priority Review","Review"),"Ready")</x:f>
        <x:v>Review</x:v>
      </x:c>
    </x:row>
    <x:row r="16" ht="26" customHeight="1">
      <x:c r="A16" s="234" t="n">
        <x:f>ROW('Appointments Raw'!A16)</x:f>
        <x:v>16</x:v>
      </x:c>
      <x:c r="B16" s="234" t="str">
        <x:f>'Appointments Raw'!A16</x:f>
        <x:v>APT-2026-012</x:v>
      </x:c>
      <x:c r="C16" s="234" t="str">
        <x:f>'Appointments Raw'!B16</x:f>
        <x:v>PT-DEMO-012</x:v>
      </x:c>
      <x:c r="D16" s="249" t="n">
        <x:f>'Appointments Raw'!C16</x:f>
        <x:v>46254</x:v>
      </x:c>
      <x:c r="E16" s="234" t="str">
        <x:f>'Appointments Raw'!D16</x:f>
        <x:v>14:30</x:v>
      </x:c>
      <x:c r="F16" s="234" t="str">
        <x:f>'Appointments Raw'!E16</x:f>
        <x:v>North Clinic</x:v>
      </x:c>
      <x:c r="G16" s="234" t="str">
        <x:f>'Appointments Raw'!F16</x:f>
        <x:v>General Consultation</x:v>
      </x:c>
      <x:c r="H16" s="234" t="str">
        <x:f>'Appointments Raw'!G16</x:f>
        <x:v>Completed</x:v>
      </x:c>
      <x:c r="I16" s="234" t="str">
        <x:f>'Appointments Raw'!H16</x:f>
        <x:v>Secure Email</x:v>
      </x:c>
      <x:c r="J16" s="234" t="str">
        <x:f>IF('Appointments Raw'!I16="","",'Appointments Raw'!I16)</x:f>
        <x:v>Recorded</x:v>
      </x:c>
      <x:c r="K16" s="234" t="str">
        <x:f>IF('Appointments Raw'!J16="","",'Appointments Raw'!J16)</x:f>
      </x:c>
      <x:c r="L16" s="249" t="n">
        <x:f>'Appointments Raw'!K16</x:f>
        <x:v>46250</x:v>
      </x:c>
      <x:c r="M16" s="234" t="n">
        <x:f>COUNTIF('Appointments Raw'!$A$5:$A$54,B16)</x:f>
        <x:v>2</x:v>
      </x:c>
      <x:c r="N16" s="234" t="str">
        <x:f>IF(COUNTIF('Patient Registry'!$A$5:$A$49,C16)=1,"OK","Patient ID Not Found")</x:f>
        <x:v>OK</x:v>
      </x:c>
      <x:c r="O16" s="234" t="str">
        <x:f>IF(COUNTIF('References'!$D$5:$D$9,H16)=1,"OK","Invalid Status")</x:f>
        <x:v>OK</x:v>
      </x:c>
      <x:c r="P16" s="234" t="str">
        <x:f>IF(COUNTIF('References'!$F$5:$F$8,I16)=1,"OK","Invalid Channel")</x:f>
        <x:v>OK</x:v>
      </x:c>
      <x:c r="Q16" s="234" t="str">
        <x:f>IF(J16="","Missing Consent","OK")</x:f>
        <x:v>OK</x:v>
      </x:c>
      <x:c r="R16" s="234" t="str">
        <x:f>IF(AND(G16="Specialist Consultation",K16=""),"Missing Referral","OK")</x:f>
        <x:v>OK</x:v>
      </x:c>
      <x:c r="S16" s="234" t="str">
        <x:f>IF(OR(M16&gt;1,N16&lt;&gt;"OK",O16&lt;&gt;"OK",P16&lt;&gt;"OK",Q16&lt;&gt;"OK",R16&lt;&gt;"OK"),IF(OR(M16&gt;1,N16&lt;&gt;"OK"),"High Priority Review","Review"),"Ready")</x:f>
        <x:v>High Priority Review</x:v>
      </x:c>
    </x:row>
    <x:row r="17" ht="26" customHeight="1">
      <x:c r="A17" s="236" t="n">
        <x:f>ROW('Appointments Raw'!A17)</x:f>
        <x:v>17</x:v>
      </x:c>
      <x:c r="B17" s="236" t="str">
        <x:f>'Appointments Raw'!A17</x:f>
        <x:v>APT-2026-012</x:v>
      </x:c>
      <x:c r="C17" s="236" t="str">
        <x:f>'Appointments Raw'!B17</x:f>
        <x:v>PT-DEMO-013</x:v>
      </x:c>
      <x:c r="D17" s="250" t="n">
        <x:f>'Appointments Raw'!C17</x:f>
        <x:v>46255</x:v>
      </x:c>
      <x:c r="E17" s="236" t="str">
        <x:f>'Appointments Raw'!D17</x:f>
        <x:v>14:00</x:v>
      </x:c>
      <x:c r="F17" s="236" t="str">
        <x:f>'Appointments Raw'!E17</x:f>
        <x:v>Central Clinic</x:v>
      </x:c>
      <x:c r="G17" s="236" t="str">
        <x:f>'Appointments Raw'!F17</x:f>
        <x:v>Follow-up</x:v>
      </x:c>
      <x:c r="H17" s="236" t="str">
        <x:f>'Appointments Raw'!G17</x:f>
        <x:v>Cancelled</x:v>
      </x:c>
      <x:c r="I17" s="236" t="str">
        <x:f>'Appointments Raw'!H17</x:f>
        <x:v>Patient Portal</x:v>
      </x:c>
      <x:c r="J17" s="236" t="str">
        <x:f>IF('Appointments Raw'!I17="","",'Appointments Raw'!I17)</x:f>
        <x:v>Recorded</x:v>
      </x:c>
      <x:c r="K17" s="236" t="str">
        <x:f>IF('Appointments Raw'!J17="","",'Appointments Raw'!J17)</x:f>
      </x:c>
      <x:c r="L17" s="250" t="n">
        <x:f>'Appointments Raw'!K17</x:f>
        <x:v>46251</x:v>
      </x:c>
      <x:c r="M17" s="236" t="n">
        <x:f>COUNTIF('Appointments Raw'!$A$5:$A$54,B17)</x:f>
        <x:v>2</x:v>
      </x:c>
      <x:c r="N17" s="236" t="str">
        <x:f>IF(COUNTIF('Patient Registry'!$A$5:$A$49,C17)=1,"OK","Patient ID Not Found")</x:f>
        <x:v>OK</x:v>
      </x:c>
      <x:c r="O17" s="236" t="str">
        <x:f>IF(COUNTIF('References'!$D$5:$D$9,H17)=1,"OK","Invalid Status")</x:f>
        <x:v>OK</x:v>
      </x:c>
      <x:c r="P17" s="236" t="str">
        <x:f>IF(COUNTIF('References'!$F$5:$F$8,I17)=1,"OK","Invalid Channel")</x:f>
        <x:v>OK</x:v>
      </x:c>
      <x:c r="Q17" s="236" t="str">
        <x:f>IF(J17="","Missing Consent","OK")</x:f>
        <x:v>OK</x:v>
      </x:c>
      <x:c r="R17" s="236" t="str">
        <x:f>IF(AND(G17="Specialist Consultation",K17=""),"Missing Referral","OK")</x:f>
        <x:v>OK</x:v>
      </x:c>
      <x:c r="S17" s="236" t="str">
        <x:f>IF(OR(M17&gt;1,N17&lt;&gt;"OK",O17&lt;&gt;"OK",P17&lt;&gt;"OK",Q17&lt;&gt;"OK",R17&lt;&gt;"OK"),IF(OR(M17&gt;1,N17&lt;&gt;"OK"),"High Priority Review","Review"),"Ready")</x:f>
        <x:v>High Priority Review</x:v>
      </x:c>
    </x:row>
    <x:row r="18" ht="26" customHeight="1">
      <x:c r="A18" s="234" t="n">
        <x:f>ROW('Appointments Raw'!A18)</x:f>
        <x:v>18</x:v>
      </x:c>
      <x:c r="B18" s="234" t="str">
        <x:f>'Appointments Raw'!A18</x:f>
        <x:v>APT-2026-014</x:v>
      </x:c>
      <x:c r="C18" s="234" t="str">
        <x:f>'Appointments Raw'!B18</x:f>
        <x:v>PT-DEMO-014</x:v>
      </x:c>
      <x:c r="D18" s="249" t="n">
        <x:f>'Appointments Raw'!C18</x:f>
        <x:v>46256</x:v>
      </x:c>
      <x:c r="E18" s="234" t="str">
        <x:f>'Appointments Raw'!D18</x:f>
        <x:v>15:30</x:v>
      </x:c>
      <x:c r="F18" s="234" t="str">
        <x:f>'Appointments Raw'!E18</x:f>
        <x:v>East Clinic</x:v>
      </x:c>
      <x:c r="G18" s="234" t="str">
        <x:f>'Appointments Raw'!F18</x:f>
        <x:v>Administrative Review</x:v>
      </x:c>
      <x:c r="H18" s="234" t="str">
        <x:f>'Appointments Raw'!G18</x:f>
        <x:v>Reschedule Requested</x:v>
      </x:c>
      <x:c r="I18" s="234" t="str">
        <x:f>'Appointments Raw'!H18</x:f>
        <x:v>Secure Chat</x:v>
      </x:c>
      <x:c r="J18" s="234" t="str">
        <x:f>IF('Appointments Raw'!I18="","",'Appointments Raw'!I18)</x:f>
        <x:v>Recorded</x:v>
      </x:c>
      <x:c r="K18" s="234" t="str">
        <x:f>IF('Appointments Raw'!J18="","",'Appointments Raw'!J18)</x:f>
      </x:c>
      <x:c r="L18" s="249" t="n">
        <x:f>'Appointments Raw'!K18</x:f>
        <x:v>46250</x:v>
      </x:c>
      <x:c r="M18" s="234" t="n">
        <x:f>COUNTIF('Appointments Raw'!$A$5:$A$54,B18)</x:f>
        <x:v>1</x:v>
      </x:c>
      <x:c r="N18" s="234" t="str">
        <x:f>IF(COUNTIF('Patient Registry'!$A$5:$A$49,C18)=1,"OK","Patient ID Not Found")</x:f>
        <x:v>OK</x:v>
      </x:c>
      <x:c r="O18" s="234" t="str">
        <x:f>IF(COUNTIF('References'!$D$5:$D$9,H18)=1,"OK","Invalid Status")</x:f>
        <x:v>OK</x:v>
      </x:c>
      <x:c r="P18" s="234" t="str">
        <x:f>IF(COUNTIF('References'!$F$5:$F$8,I18)=1,"OK","Invalid Channel")</x:f>
        <x:v>OK</x:v>
      </x:c>
      <x:c r="Q18" s="234" t="str">
        <x:f>IF(J18="","Missing Consent","OK")</x:f>
        <x:v>OK</x:v>
      </x:c>
      <x:c r="R18" s="234" t="str">
        <x:f>IF(AND(G18="Specialist Consultation",K18=""),"Missing Referral","OK")</x:f>
        <x:v>OK</x:v>
      </x:c>
      <x:c r="S18" s="234" t="str">
        <x:f>IF(OR(M18&gt;1,N18&lt;&gt;"OK",O18&lt;&gt;"OK",P18&lt;&gt;"OK",Q18&lt;&gt;"OK",R18&lt;&gt;"OK"),IF(OR(M18&gt;1,N18&lt;&gt;"OK"),"High Priority Review","Review"),"Ready")</x:f>
        <x:v>Ready</x:v>
      </x:c>
    </x:row>
    <x:row r="19" ht="26" customHeight="1">
      <x:c r="A19" s="236" t="n">
        <x:f>ROW('Appointments Raw'!A19)</x:f>
        <x:v>19</x:v>
      </x:c>
      <x:c r="B19" s="236" t="str">
        <x:f>'Appointments Raw'!A19</x:f>
        <x:v>APT-2026-015</x:v>
      </x:c>
      <x:c r="C19" s="236" t="str">
        <x:f>'Appointments Raw'!B19</x:f>
        <x:v>PT-DEMO-015</x:v>
      </x:c>
      <x:c r="D19" s="250" t="n">
        <x:f>'Appointments Raw'!C19</x:f>
        <x:v>46257</x:v>
      </x:c>
      <x:c r="E19" s="236" t="str">
        <x:f>'Appointments Raw'!D19</x:f>
        <x:v>15:00</x:v>
      </x:c>
      <x:c r="F19" s="236" t="str">
        <x:f>'Appointments Raw'!E19</x:f>
        <x:v>North Clinic</x:v>
      </x:c>
      <x:c r="G19" s="236" t="str">
        <x:f>'Appointments Raw'!F19</x:f>
        <x:v>Specialist Consultation</x:v>
      </x:c>
      <x:c r="H19" s="236" t="str">
        <x:f>'Appointments Raw'!G19</x:f>
        <x:v>Scheduled</x:v>
      </x:c>
      <x:c r="I19" s="236" t="str">
        <x:f>'Appointments Raw'!H19</x:f>
        <x:v>Task Tracker</x:v>
      </x:c>
      <x:c r="J19" s="236" t="str">
        <x:f>IF('Appointments Raw'!I19="","",'Appointments Raw'!I19)</x:f>
        <x:v>Recorded</x:v>
      </x:c>
      <x:c r="K19" s="236" t="str">
        <x:f>IF('Appointments Raw'!J19="","",'Appointments Raw'!J19)</x:f>
      </x:c>
      <x:c r="L19" s="250" t="n">
        <x:f>'Appointments Raw'!K19</x:f>
        <x:v>46251</x:v>
      </x:c>
      <x:c r="M19" s="236" t="n">
        <x:f>COUNTIF('Appointments Raw'!$A$5:$A$54,B19)</x:f>
        <x:v>1</x:v>
      </x:c>
      <x:c r="N19" s="236" t="str">
        <x:f>IF(COUNTIF('Patient Registry'!$A$5:$A$49,C19)=1,"OK","Patient ID Not Found")</x:f>
        <x:v>OK</x:v>
      </x:c>
      <x:c r="O19" s="236" t="str">
        <x:f>IF(COUNTIF('References'!$D$5:$D$9,H19)=1,"OK","Invalid Status")</x:f>
        <x:v>OK</x:v>
      </x:c>
      <x:c r="P19" s="236" t="str">
        <x:f>IF(COUNTIF('References'!$F$5:$F$8,I19)=1,"OK","Invalid Channel")</x:f>
        <x:v>OK</x:v>
      </x:c>
      <x:c r="Q19" s="236" t="str">
        <x:f>IF(J19="","Missing Consent","OK")</x:f>
        <x:v>OK</x:v>
      </x:c>
      <x:c r="R19" s="236" t="str">
        <x:f>IF(AND(G19="Specialist Consultation",K19=""),"Missing Referral","OK")</x:f>
        <x:v>Missing Referral</x:v>
      </x:c>
      <x:c r="S19" s="236" t="str">
        <x:f>IF(OR(M19&gt;1,N19&lt;&gt;"OK",O19&lt;&gt;"OK",P19&lt;&gt;"OK",Q19&lt;&gt;"OK",R19&lt;&gt;"OK"),IF(OR(M19&gt;1,N19&lt;&gt;"OK"),"High Priority Review","Review"),"Ready")</x:f>
        <x:v>Review</x:v>
      </x:c>
    </x:row>
    <x:row r="20" ht="26" customHeight="1">
      <x:c r="A20" s="234" t="n">
        <x:f>ROW('Appointments Raw'!A20)</x:f>
        <x:v>20</x:v>
      </x:c>
      <x:c r="B20" s="234" t="str">
        <x:f>'Appointments Raw'!A20</x:f>
        <x:v>APT-2026-016</x:v>
      </x:c>
      <x:c r="C20" s="234" t="str">
        <x:f>'Appointments Raw'!B20</x:f>
        <x:v>PT-DEMO-016</x:v>
      </x:c>
      <x:c r="D20" s="249" t="n">
        <x:f>'Appointments Raw'!C20</x:f>
        <x:v>46255</x:v>
      </x:c>
      <x:c r="E20" s="234" t="str">
        <x:f>'Appointments Raw'!D20</x:f>
        <x:v>10:00</x:v>
      </x:c>
      <x:c r="F20" s="234" t="str">
        <x:f>'Appointments Raw'!E20</x:f>
        <x:v>Central Clinic</x:v>
      </x:c>
      <x:c r="G20" s="234" t="str">
        <x:f>'Appointments Raw'!F20</x:f>
        <x:v>General Consultation</x:v>
      </x:c>
      <x:c r="H20" s="234" t="str">
        <x:f>'Appointments Raw'!G20</x:f>
        <x:v>Confirmed</x:v>
      </x:c>
      <x:c r="I20" s="234" t="str">
        <x:f>'Appointments Raw'!H20</x:f>
        <x:v>Secure Email</x:v>
      </x:c>
      <x:c r="J20" s="234" t="str">
        <x:f>IF('Appointments Raw'!I20="","",'Appointments Raw'!I20)</x:f>
        <x:v>Recorded</x:v>
      </x:c>
      <x:c r="K20" s="234" t="str">
        <x:f>IF('Appointments Raw'!J20="","",'Appointments Raw'!J20)</x:f>
      </x:c>
      <x:c r="L20" s="249" t="n">
        <x:f>'Appointments Raw'!K20</x:f>
        <x:v>46250</x:v>
      </x:c>
      <x:c r="M20" s="234" t="n">
        <x:f>COUNTIF('Appointments Raw'!$A$5:$A$54,B20)</x:f>
        <x:v>1</x:v>
      </x:c>
      <x:c r="N20" s="234" t="str">
        <x:f>IF(COUNTIF('Patient Registry'!$A$5:$A$49,C20)=1,"OK","Patient ID Not Found")</x:f>
        <x:v>OK</x:v>
      </x:c>
      <x:c r="O20" s="234" t="str">
        <x:f>IF(COUNTIF('References'!$D$5:$D$9,H20)=1,"OK","Invalid Status")</x:f>
        <x:v>OK</x:v>
      </x:c>
      <x:c r="P20" s="234" t="str">
        <x:f>IF(COUNTIF('References'!$F$5:$F$8,I20)=1,"OK","Invalid Channel")</x:f>
        <x:v>OK</x:v>
      </x:c>
      <x:c r="Q20" s="234" t="str">
        <x:f>IF(J20="","Missing Consent","OK")</x:f>
        <x:v>OK</x:v>
      </x:c>
      <x:c r="R20" s="234" t="str">
        <x:f>IF(AND(G20="Specialist Consultation",K20=""),"Missing Referral","OK")</x:f>
        <x:v>OK</x:v>
      </x:c>
      <x:c r="S20" s="234" t="str">
        <x:f>IF(OR(M20&gt;1,N20&lt;&gt;"OK",O20&lt;&gt;"OK",P20&lt;&gt;"OK",Q20&lt;&gt;"OK",R20&lt;&gt;"OK"),IF(OR(M20&gt;1,N20&lt;&gt;"OK"),"High Priority Review","Review"),"Ready")</x:f>
        <x:v>Ready</x:v>
      </x:c>
    </x:row>
    <x:row r="21" ht="26" customHeight="1">
      <x:c r="A21" s="236" t="n">
        <x:f>ROW('Appointments Raw'!A21)</x:f>
        <x:v>21</x:v>
      </x:c>
      <x:c r="B21" s="236" t="str">
        <x:f>'Appointments Raw'!A21</x:f>
        <x:v>APT-2026-017</x:v>
      </x:c>
      <x:c r="C21" s="236" t="str">
        <x:f>'Appointments Raw'!B21</x:f>
        <x:v>PT-DEMO-017</x:v>
      </x:c>
      <x:c r="D21" s="250" t="n">
        <x:f>'Appointments Raw'!C21</x:f>
        <x:v>46255</x:v>
      </x:c>
      <x:c r="E21" s="236" t="str">
        <x:f>'Appointments Raw'!D21</x:f>
        <x:v>10:00</x:v>
      </x:c>
      <x:c r="F21" s="236" t="str">
        <x:f>'Appointments Raw'!E21</x:f>
        <x:v>Central Clinic</x:v>
      </x:c>
      <x:c r="G21" s="236" t="str">
        <x:f>'Appointments Raw'!F21</x:f>
        <x:v>Follow-up</x:v>
      </x:c>
      <x:c r="H21" s="236" t="str">
        <x:f>'Appointments Raw'!G21</x:f>
        <x:v>Completed</x:v>
      </x:c>
      <x:c r="I21" s="236" t="str">
        <x:f>'Appointments Raw'!H21</x:f>
        <x:v>Patient Portal</x:v>
      </x:c>
      <x:c r="J21" s="236" t="str">
        <x:f>IF('Appointments Raw'!I21="","",'Appointments Raw'!I21)</x:f>
        <x:v>Recorded</x:v>
      </x:c>
      <x:c r="K21" s="236" t="str">
        <x:f>IF('Appointments Raw'!J21="","",'Appointments Raw'!J21)</x:f>
      </x:c>
      <x:c r="L21" s="250" t="n">
        <x:f>'Appointments Raw'!K21</x:f>
        <x:v>46251</x:v>
      </x:c>
      <x:c r="M21" s="236" t="n">
        <x:f>COUNTIF('Appointments Raw'!$A$5:$A$54,B21)</x:f>
        <x:v>1</x:v>
      </x:c>
      <x:c r="N21" s="236" t="str">
        <x:f>IF(COUNTIF('Patient Registry'!$A$5:$A$49,C21)=1,"OK","Patient ID Not Found")</x:f>
        <x:v>OK</x:v>
      </x:c>
      <x:c r="O21" s="236" t="str">
        <x:f>IF(COUNTIF('References'!$D$5:$D$9,H21)=1,"OK","Invalid Status")</x:f>
        <x:v>OK</x:v>
      </x:c>
      <x:c r="P21" s="236" t="str">
        <x:f>IF(COUNTIF('References'!$F$5:$F$8,I21)=1,"OK","Invalid Channel")</x:f>
        <x:v>OK</x:v>
      </x:c>
      <x:c r="Q21" s="236" t="str">
        <x:f>IF(J21="","Missing Consent","OK")</x:f>
        <x:v>OK</x:v>
      </x:c>
      <x:c r="R21" s="236" t="str">
        <x:f>IF(AND(G21="Specialist Consultation",K21=""),"Missing Referral","OK")</x:f>
        <x:v>OK</x:v>
      </x:c>
      <x:c r="S21" s="236" t="str">
        <x:f>IF(OR(M21&gt;1,N21&lt;&gt;"OK",O21&lt;&gt;"OK",P21&lt;&gt;"OK",Q21&lt;&gt;"OK",R21&lt;&gt;"OK"),IF(OR(M21&gt;1,N21&lt;&gt;"OK"),"High Priority Review","Review"),"Ready")</x:f>
        <x:v>Ready</x:v>
      </x:c>
    </x:row>
    <x:row r="22" ht="26" customHeight="1">
      <x:c r="A22" s="234" t="n">
        <x:f>ROW('Appointments Raw'!A22)</x:f>
        <x:v>22</x:v>
      </x:c>
      <x:c r="B22" s="234" t="str">
        <x:f>'Appointments Raw'!A22</x:f>
        <x:v>APT-2026-018</x:v>
      </x:c>
      <x:c r="C22" s="234" t="str">
        <x:f>'Appointments Raw'!B22</x:f>
        <x:v>PT-DEMO-108</x:v>
      </x:c>
      <x:c r="D22" s="249" t="n">
        <x:f>'Appointments Raw'!C22</x:f>
        <x:v>46260</x:v>
      </x:c>
      <x:c r="E22" s="234" t="str">
        <x:f>'Appointments Raw'!D22</x:f>
        <x:v>09:30</x:v>
      </x:c>
      <x:c r="F22" s="234" t="str">
        <x:f>'Appointments Raw'!E22</x:f>
        <x:v>North Clinic</x:v>
      </x:c>
      <x:c r="G22" s="234" t="str">
        <x:f>'Appointments Raw'!F22</x:f>
        <x:v>Administrative Review</x:v>
      </x:c>
      <x:c r="H22" s="234" t="str">
        <x:f>'Appointments Raw'!G22</x:f>
        <x:v>Cancelled</x:v>
      </x:c>
      <x:c r="I22" s="234" t="str">
        <x:f>'Appointments Raw'!H22</x:f>
        <x:v>Secure Chat</x:v>
      </x:c>
      <x:c r="J22" s="234" t="str">
        <x:f>IF('Appointments Raw'!I22="","",'Appointments Raw'!I22)</x:f>
        <x:v>Recorded</x:v>
      </x:c>
      <x:c r="K22" s="234" t="str">
        <x:f>IF('Appointments Raw'!J22="","",'Appointments Raw'!J22)</x:f>
      </x:c>
      <x:c r="L22" s="249" t="n">
        <x:f>'Appointments Raw'!K22</x:f>
        <x:v>46250</x:v>
      </x:c>
      <x:c r="M22" s="234" t="n">
        <x:f>COUNTIF('Appointments Raw'!$A$5:$A$54,B22)</x:f>
        <x:v>1</x:v>
      </x:c>
      <x:c r="N22" s="234" t="str">
        <x:f>IF(COUNTIF('Patient Registry'!$A$5:$A$49,C22)=1,"OK","Patient ID Not Found")</x:f>
        <x:v>Patient ID Not Found</x:v>
      </x:c>
      <x:c r="O22" s="234" t="str">
        <x:f>IF(COUNTIF('References'!$D$5:$D$9,H22)=1,"OK","Invalid Status")</x:f>
        <x:v>OK</x:v>
      </x:c>
      <x:c r="P22" s="234" t="str">
        <x:f>IF(COUNTIF('References'!$F$5:$F$8,I22)=1,"OK","Invalid Channel")</x:f>
        <x:v>OK</x:v>
      </x:c>
      <x:c r="Q22" s="234" t="str">
        <x:f>IF(J22="","Missing Consent","OK")</x:f>
        <x:v>OK</x:v>
      </x:c>
      <x:c r="R22" s="234" t="str">
        <x:f>IF(AND(G22="Specialist Consultation",K22=""),"Missing Referral","OK")</x:f>
        <x:v>OK</x:v>
      </x:c>
      <x:c r="S22" s="234" t="str">
        <x:f>IF(OR(M22&gt;1,N22&lt;&gt;"OK",O22&lt;&gt;"OK",P22&lt;&gt;"OK",Q22&lt;&gt;"OK",R22&lt;&gt;"OK"),IF(OR(M22&gt;1,N22&lt;&gt;"OK"),"High Priority Review","Review"),"Ready")</x:f>
        <x:v>High Priority Review</x:v>
      </x:c>
    </x:row>
    <x:row r="23" ht="26" customHeight="1">
      <x:c r="A23" s="236" t="n">
        <x:f>ROW('Appointments Raw'!A23)</x:f>
        <x:v>23</x:v>
      </x:c>
      <x:c r="B23" s="236" t="str">
        <x:f>'Appointments Raw'!A23</x:f>
        <x:v>APT-2026-019</x:v>
      </x:c>
      <x:c r="C23" s="236" t="str">
        <x:f>'Appointments Raw'!B23</x:f>
        <x:v>PT-DEMO-019</x:v>
      </x:c>
      <x:c r="D23" s="250" t="n">
        <x:f>'Appointments Raw'!C23</x:f>
        <x:v>46261</x:v>
      </x:c>
      <x:c r="E23" s="236" t="str">
        <x:f>'Appointments Raw'!D23</x:f>
        <x:v>09:00</x:v>
      </x:c>
      <x:c r="F23" s="236" t="str">
        <x:f>'Appointments Raw'!E23</x:f>
        <x:v>Central Clinic</x:v>
      </x:c>
      <x:c r="G23" s="236" t="str">
        <x:f>'Appointments Raw'!F23</x:f>
        <x:v>Vaccination Administration</x:v>
      </x:c>
      <x:c r="H23" s="236" t="str">
        <x:f>'Appointments Raw'!G23</x:f>
        <x:v>Reschedule Requested</x:v>
      </x:c>
      <x:c r="I23" s="236" t="str">
        <x:f>'Appointments Raw'!H23</x:f>
        <x:v>Task Tracker</x:v>
      </x:c>
      <x:c r="J23" s="236" t="str">
        <x:f>IF('Appointments Raw'!I23="","",'Appointments Raw'!I23)</x:f>
        <x:v>Recorded</x:v>
      </x:c>
      <x:c r="K23" s="236" t="str">
        <x:f>IF('Appointments Raw'!J23="","",'Appointments Raw'!J23)</x:f>
      </x:c>
      <x:c r="L23" s="250" t="n">
        <x:f>'Appointments Raw'!K23</x:f>
        <x:v>46251</x:v>
      </x:c>
      <x:c r="M23" s="236" t="n">
        <x:f>COUNTIF('Appointments Raw'!$A$5:$A$54,B23)</x:f>
        <x:v>1</x:v>
      </x:c>
      <x:c r="N23" s="236" t="str">
        <x:f>IF(COUNTIF('Patient Registry'!$A$5:$A$49,C23)=1,"OK","Patient ID Not Found")</x:f>
        <x:v>OK</x:v>
      </x:c>
      <x:c r="O23" s="236" t="str">
        <x:f>IF(COUNTIF('References'!$D$5:$D$9,H23)=1,"OK","Invalid Status")</x:f>
        <x:v>OK</x:v>
      </x:c>
      <x:c r="P23" s="236" t="str">
        <x:f>IF(COUNTIF('References'!$F$5:$F$8,I23)=1,"OK","Invalid Channel")</x:f>
        <x:v>OK</x:v>
      </x:c>
      <x:c r="Q23" s="236" t="str">
        <x:f>IF(J23="","Missing Consent","OK")</x:f>
        <x:v>OK</x:v>
      </x:c>
      <x:c r="R23" s="236" t="str">
        <x:f>IF(AND(G23="Specialist Consultation",K23=""),"Missing Referral","OK")</x:f>
        <x:v>OK</x:v>
      </x:c>
      <x:c r="S23" s="236" t="str">
        <x:f>IF(OR(M23&gt;1,N23&lt;&gt;"OK",O23&lt;&gt;"OK",P23&lt;&gt;"OK",Q23&lt;&gt;"OK",R23&lt;&gt;"OK"),IF(OR(M23&gt;1,N23&lt;&gt;"OK"),"High Priority Review","Review"),"Ready")</x:f>
        <x:v>Ready</x:v>
      </x:c>
    </x:row>
    <x:row r="24" ht="26" customHeight="1">
      <x:c r="A24" s="234" t="n">
        <x:f>ROW('Appointments Raw'!A24)</x:f>
        <x:v>24</x:v>
      </x:c>
      <x:c r="B24" s="234" t="str">
        <x:f>'Appointments Raw'!A24</x:f>
        <x:v>APT-2026-020</x:v>
      </x:c>
      <x:c r="C24" s="234" t="str">
        <x:f>'Appointments Raw'!B24</x:f>
        <x:v>PT-DEMO-020</x:v>
      </x:c>
      <x:c r="D24" s="249" t="n">
        <x:f>'Appointments Raw'!C24</x:f>
        <x:v>46252</x:v>
      </x:c>
      <x:c r="E24" s="234" t="str">
        <x:f>'Appointments Raw'!D24</x:f>
        <x:v>10:30</x:v>
      </x:c>
      <x:c r="F24" s="234" t="str">
        <x:f>'Appointments Raw'!E24</x:f>
        <x:v>East Clinic</x:v>
      </x:c>
      <x:c r="G24" s="234" t="str">
        <x:f>'Appointments Raw'!F24</x:f>
        <x:v>General Consultation</x:v>
      </x:c>
      <x:c r="H24" s="234" t="str">
        <x:f>'Appointments Raw'!G24</x:f>
        <x:v>Scheduled</x:v>
      </x:c>
      <x:c r="I24" s="234" t="str">
        <x:f>'Appointments Raw'!H24</x:f>
        <x:v>Secure Email</x:v>
      </x:c>
      <x:c r="J24" s="234" t="str">
        <x:f>IF('Appointments Raw'!I24="","",'Appointments Raw'!I24)</x:f>
        <x:v>Recorded</x:v>
      </x:c>
      <x:c r="K24" s="234" t="str">
        <x:f>IF('Appointments Raw'!J24="","",'Appointments Raw'!J24)</x:f>
      </x:c>
      <x:c r="L24" s="249" t="n">
        <x:f>'Appointments Raw'!K24</x:f>
        <x:v>46250</x:v>
      </x:c>
      <x:c r="M24" s="234" t="n">
        <x:f>COUNTIF('Appointments Raw'!$A$5:$A$54,B24)</x:f>
        <x:v>1</x:v>
      </x:c>
      <x:c r="N24" s="234" t="str">
        <x:f>IF(COUNTIF('Patient Registry'!$A$5:$A$49,C24)=1,"OK","Patient ID Not Found")</x:f>
        <x:v>OK</x:v>
      </x:c>
      <x:c r="O24" s="234" t="str">
        <x:f>IF(COUNTIF('References'!$D$5:$D$9,H24)=1,"OK","Invalid Status")</x:f>
        <x:v>OK</x:v>
      </x:c>
      <x:c r="P24" s="234" t="str">
        <x:f>IF(COUNTIF('References'!$F$5:$F$8,I24)=1,"OK","Invalid Channel")</x:f>
        <x:v>OK</x:v>
      </x:c>
      <x:c r="Q24" s="234" t="str">
        <x:f>IF(J24="","Missing Consent","OK")</x:f>
        <x:v>OK</x:v>
      </x:c>
      <x:c r="R24" s="234" t="str">
        <x:f>IF(AND(G24="Specialist Consultation",K24=""),"Missing Referral","OK")</x:f>
        <x:v>OK</x:v>
      </x:c>
      <x:c r="S24" s="234" t="str">
        <x:f>IF(OR(M24&gt;1,N24&lt;&gt;"OK",O24&lt;&gt;"OK",P24&lt;&gt;"OK",Q24&lt;&gt;"OK",R24&lt;&gt;"OK"),IF(OR(M24&gt;1,N24&lt;&gt;"OK"),"High Priority Review","Review"),"Ready")</x:f>
        <x:v>Ready</x:v>
      </x:c>
    </x:row>
    <x:row r="25" ht="26" customHeight="1">
      <x:c r="A25" s="236" t="n">
        <x:f>ROW('Appointments Raw'!A25)</x:f>
        <x:v>25</x:v>
      </x:c>
      <x:c r="B25" s="236" t="str">
        <x:f>'Appointments Raw'!A25</x:f>
        <x:v>APT-2026-021</x:v>
      </x:c>
      <x:c r="C25" s="236" t="str">
        <x:f>'Appointments Raw'!B25</x:f>
        <x:v>PT-DEMO-021</x:v>
      </x:c>
      <x:c r="D25" s="250" t="n">
        <x:f>'Appointments Raw'!C25</x:f>
        <x:v>46253</x:v>
      </x:c>
      <x:c r="E25" s="236" t="str">
        <x:f>'Appointments Raw'!D25</x:f>
        <x:v>10:00</x:v>
      </x:c>
      <x:c r="F25" s="236" t="str">
        <x:f>'Appointments Raw'!E25</x:f>
        <x:v>North Clinic</x:v>
      </x:c>
      <x:c r="G25" s="236" t="str">
        <x:f>'Appointments Raw'!F25</x:f>
        <x:v>Follow-up</x:v>
      </x:c>
      <x:c r="H25" s="236" t="str">
        <x:f>'Appointments Raw'!G25</x:f>
        <x:v>Pending Call</x:v>
      </x:c>
      <x:c r="I25" s="236" t="str">
        <x:f>'Appointments Raw'!H25</x:f>
        <x:v>Patient Portal</x:v>
      </x:c>
      <x:c r="J25" s="236" t="str">
        <x:f>IF('Appointments Raw'!I25="","",'Appointments Raw'!I25)</x:f>
        <x:v>Recorded</x:v>
      </x:c>
      <x:c r="K25" s="236" t="str">
        <x:f>IF('Appointments Raw'!J25="","",'Appointments Raw'!J25)</x:f>
      </x:c>
      <x:c r="L25" s="250" t="n">
        <x:f>'Appointments Raw'!K25</x:f>
        <x:v>46251</x:v>
      </x:c>
      <x:c r="M25" s="236" t="n">
        <x:f>COUNTIF('Appointments Raw'!$A$5:$A$54,B25)</x:f>
        <x:v>1</x:v>
      </x:c>
      <x:c r="N25" s="236" t="str">
        <x:f>IF(COUNTIF('Patient Registry'!$A$5:$A$49,C25)=1,"OK","Patient ID Not Found")</x:f>
        <x:v>OK</x:v>
      </x:c>
      <x:c r="O25" s="236" t="str">
        <x:f>IF(COUNTIF('References'!$D$5:$D$9,H25)=1,"OK","Invalid Status")</x:f>
        <x:v>Invalid Status</x:v>
      </x:c>
      <x:c r="P25" s="236" t="str">
        <x:f>IF(COUNTIF('References'!$F$5:$F$8,I25)=1,"OK","Invalid Channel")</x:f>
        <x:v>OK</x:v>
      </x:c>
      <x:c r="Q25" s="236" t="str">
        <x:f>IF(J25="","Missing Consent","OK")</x:f>
        <x:v>OK</x:v>
      </x:c>
      <x:c r="R25" s="236" t="str">
        <x:f>IF(AND(G25="Specialist Consultation",K25=""),"Missing Referral","OK")</x:f>
        <x:v>OK</x:v>
      </x:c>
      <x:c r="S25" s="236" t="str">
        <x:f>IF(OR(M25&gt;1,N25&lt;&gt;"OK",O25&lt;&gt;"OK",P25&lt;&gt;"OK",Q25&lt;&gt;"OK",R25&lt;&gt;"OK"),IF(OR(M25&gt;1,N25&lt;&gt;"OK"),"High Priority Review","Review"),"Ready")</x:f>
        <x:v>Review</x:v>
      </x:c>
    </x:row>
    <x:row r="26" ht="26" customHeight="1">
      <x:c r="A26" s="234" t="n">
        <x:f>ROW('Appointments Raw'!A26)</x:f>
        <x:v>26</x:v>
      </x:c>
      <x:c r="B26" s="234" t="str">
        <x:f>'Appointments Raw'!A26</x:f>
        <x:v>APT-2026-022</x:v>
      </x:c>
      <x:c r="C26" s="234" t="str">
        <x:f>'Appointments Raw'!B26</x:f>
        <x:v>PT-DEMO-022</x:v>
      </x:c>
      <x:c r="D26" s="249" t="n">
        <x:f>'Appointments Raw'!C26</x:f>
        <x:v>46254</x:v>
      </x:c>
      <x:c r="E26" s="234" t="str">
        <x:f>'Appointments Raw'!D26</x:f>
        <x:v>11:30</x:v>
      </x:c>
      <x:c r="F26" s="234" t="str">
        <x:f>'Appointments Raw'!E26</x:f>
        <x:v>Central Clinic</x:v>
      </x:c>
      <x:c r="G26" s="234" t="str">
        <x:f>'Appointments Raw'!F26</x:f>
        <x:v>Administrative Review</x:v>
      </x:c>
      <x:c r="H26" s="234" t="str">
        <x:f>'Appointments Raw'!G26</x:f>
        <x:v>Completed</x:v>
      </x:c>
      <x:c r="I26" s="234" t="str">
        <x:f>'Appointments Raw'!H26</x:f>
        <x:v>Secure Chat</x:v>
      </x:c>
      <x:c r="J26" s="234" t="str">
        <x:f>IF('Appointments Raw'!I26="","",'Appointments Raw'!I26)</x:f>
      </x:c>
      <x:c r="K26" s="234" t="str">
        <x:f>IF('Appointments Raw'!J26="","",'Appointments Raw'!J26)</x:f>
      </x:c>
      <x:c r="L26" s="249" t="n">
        <x:f>'Appointments Raw'!K26</x:f>
        <x:v>46250</x:v>
      </x:c>
      <x:c r="M26" s="234" t="n">
        <x:f>COUNTIF('Appointments Raw'!$A$5:$A$54,B26)</x:f>
        <x:v>1</x:v>
      </x:c>
      <x:c r="N26" s="234" t="str">
        <x:f>IF(COUNTIF('Patient Registry'!$A$5:$A$49,C26)=1,"OK","Patient ID Not Found")</x:f>
        <x:v>OK</x:v>
      </x:c>
      <x:c r="O26" s="234" t="str">
        <x:f>IF(COUNTIF('References'!$D$5:$D$9,H26)=1,"OK","Invalid Status")</x:f>
        <x:v>OK</x:v>
      </x:c>
      <x:c r="P26" s="234" t="str">
        <x:f>IF(COUNTIF('References'!$F$5:$F$8,I26)=1,"OK","Invalid Channel")</x:f>
        <x:v>OK</x:v>
      </x:c>
      <x:c r="Q26" s="234" t="str">
        <x:f>IF(J26="","Missing Consent","OK")</x:f>
        <x:v>Missing Consent</x:v>
      </x:c>
      <x:c r="R26" s="234" t="str">
        <x:f>IF(AND(G26="Specialist Consultation",K26=""),"Missing Referral","OK")</x:f>
        <x:v>OK</x:v>
      </x:c>
      <x:c r="S26" s="234" t="str">
        <x:f>IF(OR(M26&gt;1,N26&lt;&gt;"OK",O26&lt;&gt;"OK",P26&lt;&gt;"OK",Q26&lt;&gt;"OK",R26&lt;&gt;"OK"),IF(OR(M26&gt;1,N26&lt;&gt;"OK"),"High Priority Review","Review"),"Ready")</x:f>
        <x:v>Review</x:v>
      </x:c>
    </x:row>
    <x:row r="27" ht="26" customHeight="1">
      <x:c r="A27" s="236" t="n">
        <x:f>ROW('Appointments Raw'!A27)</x:f>
        <x:v>27</x:v>
      </x:c>
      <x:c r="B27" s="236" t="str">
        <x:f>'Appointments Raw'!A27</x:f>
        <x:v>APT-2026-023</x:v>
      </x:c>
      <x:c r="C27" s="236" t="str">
        <x:f>'Appointments Raw'!B27</x:f>
        <x:v>PT-DEMO-023</x:v>
      </x:c>
      <x:c r="D27" s="250" t="n">
        <x:f>'Appointments Raw'!C27</x:f>
        <x:v>46255</x:v>
      </x:c>
      <x:c r="E27" s="236" t="str">
        <x:f>'Appointments Raw'!D27</x:f>
        <x:v>11:00</x:v>
      </x:c>
      <x:c r="F27" s="236" t="str">
        <x:f>'Appointments Raw'!E27</x:f>
        <x:v>East Clinic</x:v>
      </x:c>
      <x:c r="G27" s="236" t="str">
        <x:f>'Appointments Raw'!F27</x:f>
        <x:v>Vaccination Administration</x:v>
      </x:c>
      <x:c r="H27" s="236" t="str">
        <x:f>'Appointments Raw'!G27</x:f>
        <x:v>Cancelled</x:v>
      </x:c>
      <x:c r="I27" s="236" t="str">
        <x:f>'Appointments Raw'!H27</x:f>
        <x:v>Task Tracker</x:v>
      </x:c>
      <x:c r="J27" s="236" t="str">
        <x:f>IF('Appointments Raw'!I27="","",'Appointments Raw'!I27)</x:f>
        <x:v>Recorded</x:v>
      </x:c>
      <x:c r="K27" s="236" t="str">
        <x:f>IF('Appointments Raw'!J27="","",'Appointments Raw'!J27)</x:f>
      </x:c>
      <x:c r="L27" s="250" t="n">
        <x:f>'Appointments Raw'!K27</x:f>
        <x:v>46251</x:v>
      </x:c>
      <x:c r="M27" s="236" t="n">
        <x:f>COUNTIF('Appointments Raw'!$A$5:$A$54,B27)</x:f>
        <x:v>1</x:v>
      </x:c>
      <x:c r="N27" s="236" t="str">
        <x:f>IF(COUNTIF('Patient Registry'!$A$5:$A$49,C27)=1,"OK","Patient ID Not Found")</x:f>
        <x:v>OK</x:v>
      </x:c>
      <x:c r="O27" s="236" t="str">
        <x:f>IF(COUNTIF('References'!$D$5:$D$9,H27)=1,"OK","Invalid Status")</x:f>
        <x:v>OK</x:v>
      </x:c>
      <x:c r="P27" s="236" t="str">
        <x:f>IF(COUNTIF('References'!$F$5:$F$8,I27)=1,"OK","Invalid Channel")</x:f>
        <x:v>OK</x:v>
      </x:c>
      <x:c r="Q27" s="236" t="str">
        <x:f>IF(J27="","Missing Consent","OK")</x:f>
        <x:v>OK</x:v>
      </x:c>
      <x:c r="R27" s="236" t="str">
        <x:f>IF(AND(G27="Specialist Consultation",K27=""),"Missing Referral","OK")</x:f>
        <x:v>OK</x:v>
      </x:c>
      <x:c r="S27" s="236" t="str">
        <x:f>IF(OR(M27&gt;1,N27&lt;&gt;"OK",O27&lt;&gt;"OK",P27&lt;&gt;"OK",Q27&lt;&gt;"OK",R27&lt;&gt;"OK"),IF(OR(M27&gt;1,N27&lt;&gt;"OK"),"High Priority Review","Review"),"Ready")</x:f>
        <x:v>Ready</x:v>
      </x:c>
    </x:row>
    <x:row r="28" ht="26" customHeight="1">
      <x:c r="A28" s="234" t="n">
        <x:f>ROW('Appointments Raw'!A28)</x:f>
        <x:v>28</x:v>
      </x:c>
      <x:c r="B28" s="234" t="str">
        <x:f>'Appointments Raw'!A28</x:f>
        <x:v>APT-2026-024</x:v>
      </x:c>
      <x:c r="C28" s="234" t="str">
        <x:f>'Appointments Raw'!B28</x:f>
        <x:v>PT-DEMO-024</x:v>
      </x:c>
      <x:c r="D28" s="249" t="n">
        <x:f>'Appointments Raw'!C28</x:f>
        <x:v>46256</x:v>
      </x:c>
      <x:c r="E28" s="234" t="str">
        <x:f>'Appointments Raw'!D28</x:f>
        <x:v>12:30</x:v>
      </x:c>
      <x:c r="F28" s="234" t="str">
        <x:f>'Appointments Raw'!E28</x:f>
        <x:v>North Clinic</x:v>
      </x:c>
      <x:c r="G28" s="234" t="str">
        <x:f>'Appointments Raw'!F28</x:f>
        <x:v>General Consultation</x:v>
      </x:c>
      <x:c r="H28" s="234" t="str">
        <x:f>'Appointments Raw'!G28</x:f>
        <x:v>Reschedule Requested</x:v>
      </x:c>
      <x:c r="I28" s="234" t="str">
        <x:f>'Appointments Raw'!H28</x:f>
        <x:v>Phone Call</x:v>
      </x:c>
      <x:c r="J28" s="234" t="str">
        <x:f>IF('Appointments Raw'!I28="","",'Appointments Raw'!I28)</x:f>
        <x:v>Recorded</x:v>
      </x:c>
      <x:c r="K28" s="234" t="str">
        <x:f>IF('Appointments Raw'!J28="","",'Appointments Raw'!J28)</x:f>
      </x:c>
      <x:c r="L28" s="249" t="n">
        <x:f>'Appointments Raw'!K28</x:f>
        <x:v>46250</x:v>
      </x:c>
      <x:c r="M28" s="234" t="n">
        <x:f>COUNTIF('Appointments Raw'!$A$5:$A$54,B28)</x:f>
        <x:v>1</x:v>
      </x:c>
      <x:c r="N28" s="234" t="str">
        <x:f>IF(COUNTIF('Patient Registry'!$A$5:$A$49,C28)=1,"OK","Patient ID Not Found")</x:f>
        <x:v>OK</x:v>
      </x:c>
      <x:c r="O28" s="234" t="str">
        <x:f>IF(COUNTIF('References'!$D$5:$D$9,H28)=1,"OK","Invalid Status")</x:f>
        <x:v>OK</x:v>
      </x:c>
      <x:c r="P28" s="234" t="str">
        <x:f>IF(COUNTIF('References'!$F$5:$F$8,I28)=1,"OK","Invalid Channel")</x:f>
        <x:v>Invalid Channel</x:v>
      </x:c>
      <x:c r="Q28" s="234" t="str">
        <x:f>IF(J28="","Missing Consent","OK")</x:f>
        <x:v>OK</x:v>
      </x:c>
      <x:c r="R28" s="234" t="str">
        <x:f>IF(AND(G28="Specialist Consultation",K28=""),"Missing Referral","OK")</x:f>
        <x:v>OK</x:v>
      </x:c>
      <x:c r="S28" s="234" t="str">
        <x:f>IF(OR(M28&gt;1,N28&lt;&gt;"OK",O28&lt;&gt;"OK",P28&lt;&gt;"OK",Q28&lt;&gt;"OK",R28&lt;&gt;"OK"),IF(OR(M28&gt;1,N28&lt;&gt;"OK"),"High Priority Review","Review"),"Ready")</x:f>
        <x:v>Review</x:v>
      </x:c>
    </x:row>
    <x:row r="29" ht="26" customHeight="1">
      <x:c r="A29" s="236" t="n">
        <x:f>ROW('Appointments Raw'!A29)</x:f>
        <x:v>29</x:v>
      </x:c>
      <x:c r="B29" s="236" t="str">
        <x:f>'Appointments Raw'!A29</x:f>
        <x:v>APT-2026-025</x:v>
      </x:c>
      <x:c r="C29" s="236" t="str">
        <x:f>'Appointments Raw'!B29</x:f>
        <x:v>PT-DEMO-025</x:v>
      </x:c>
      <x:c r="D29" s="250" t="n">
        <x:f>'Appointments Raw'!C29</x:f>
        <x:v>46257</x:v>
      </x:c>
      <x:c r="E29" s="236" t="str">
        <x:f>'Appointments Raw'!D29</x:f>
        <x:v>12:00</x:v>
      </x:c>
      <x:c r="F29" s="236" t="str">
        <x:f>'Appointments Raw'!E29</x:f>
        <x:v>Central Clinic</x:v>
      </x:c>
      <x:c r="G29" s="236" t="str">
        <x:f>'Appointments Raw'!F29</x:f>
        <x:v>Follow-up</x:v>
      </x:c>
      <x:c r="H29" s="236" t="str">
        <x:f>'Appointments Raw'!G29</x:f>
        <x:v>Scheduled</x:v>
      </x:c>
      <x:c r="I29" s="236" t="str">
        <x:f>'Appointments Raw'!H29</x:f>
        <x:v>Patient Portal</x:v>
      </x:c>
      <x:c r="J29" s="236" t="str">
        <x:f>IF('Appointments Raw'!I29="","",'Appointments Raw'!I29)</x:f>
        <x:v>Recorded</x:v>
      </x:c>
      <x:c r="K29" s="236" t="str">
        <x:f>IF('Appointments Raw'!J29="","",'Appointments Raw'!J29)</x:f>
      </x:c>
      <x:c r="L29" s="250" t="n">
        <x:f>'Appointments Raw'!K29</x:f>
        <x:v>46251</x:v>
      </x:c>
      <x:c r="M29" s="236" t="n">
        <x:f>COUNTIF('Appointments Raw'!$A$5:$A$54,B29)</x:f>
        <x:v>1</x:v>
      </x:c>
      <x:c r="N29" s="236" t="str">
        <x:f>IF(COUNTIF('Patient Registry'!$A$5:$A$49,C29)=1,"OK","Patient ID Not Found")</x:f>
        <x:v>OK</x:v>
      </x:c>
      <x:c r="O29" s="236" t="str">
        <x:f>IF(COUNTIF('References'!$D$5:$D$9,H29)=1,"OK","Invalid Status")</x:f>
        <x:v>OK</x:v>
      </x:c>
      <x:c r="P29" s="236" t="str">
        <x:f>IF(COUNTIF('References'!$F$5:$F$8,I29)=1,"OK","Invalid Channel")</x:f>
        <x:v>OK</x:v>
      </x:c>
      <x:c r="Q29" s="236" t="str">
        <x:f>IF(J29="","Missing Consent","OK")</x:f>
        <x:v>OK</x:v>
      </x:c>
      <x:c r="R29" s="236" t="str">
        <x:f>IF(AND(G29="Specialist Consultation",K29=""),"Missing Referral","OK")</x:f>
        <x:v>OK</x:v>
      </x:c>
      <x:c r="S29" s="236" t="str">
        <x:f>IF(OR(M29&gt;1,N29&lt;&gt;"OK",O29&lt;&gt;"OK",P29&lt;&gt;"OK",Q29&lt;&gt;"OK",R29&lt;&gt;"OK"),IF(OR(M29&gt;1,N29&lt;&gt;"OK"),"High Priority Review","Review"),"Ready")</x:f>
        <x:v>Ready</x:v>
      </x:c>
    </x:row>
    <x:row r="30" ht="26" customHeight="1">
      <x:c r="A30" s="234" t="n">
        <x:f>ROW('Appointments Raw'!A30)</x:f>
        <x:v>30</x:v>
      </x:c>
      <x:c r="B30" s="234" t="str">
        <x:f>'Appointments Raw'!A30</x:f>
        <x:v>APT-2026-026</x:v>
      </x:c>
      <x:c r="C30" s="234" t="str">
        <x:f>'Appointments Raw'!B30</x:f>
        <x:v>PT-DEMO-026</x:v>
      </x:c>
      <x:c r="D30" s="249" t="n">
        <x:f>'Appointments Raw'!C30</x:f>
        <x:v>46258</x:v>
      </x:c>
      <x:c r="E30" s="234" t="str">
        <x:f>'Appointments Raw'!D30</x:f>
        <x:v>13:30</x:v>
      </x:c>
      <x:c r="F30" s="234" t="str">
        <x:f>'Appointments Raw'!E30</x:f>
        <x:v>East Clinic</x:v>
      </x:c>
      <x:c r="G30" s="234" t="str">
        <x:f>'Appointments Raw'!F30</x:f>
        <x:v>Administrative Review</x:v>
      </x:c>
      <x:c r="H30" s="234" t="str">
        <x:f>'Appointments Raw'!G30</x:f>
        <x:v>Confirmed</x:v>
      </x:c>
      <x:c r="I30" s="234" t="str">
        <x:f>'Appointments Raw'!H30</x:f>
        <x:v>Secure Chat</x:v>
      </x:c>
      <x:c r="J30" s="234" t="str">
        <x:f>IF('Appointments Raw'!I30="","",'Appointments Raw'!I30)</x:f>
        <x:v>Recorded</x:v>
      </x:c>
      <x:c r="K30" s="234" t="str">
        <x:f>IF('Appointments Raw'!J30="","",'Appointments Raw'!J30)</x:f>
      </x:c>
      <x:c r="L30" s="249" t="n">
        <x:f>'Appointments Raw'!K30</x:f>
        <x:v>46250</x:v>
      </x:c>
      <x:c r="M30" s="234" t="n">
        <x:f>COUNTIF('Appointments Raw'!$A$5:$A$54,B30)</x:f>
        <x:v>1</x:v>
      </x:c>
      <x:c r="N30" s="234" t="str">
        <x:f>IF(COUNTIF('Patient Registry'!$A$5:$A$49,C30)=1,"OK","Patient ID Not Found")</x:f>
        <x:v>OK</x:v>
      </x:c>
      <x:c r="O30" s="234" t="str">
        <x:f>IF(COUNTIF('References'!$D$5:$D$9,H30)=1,"OK","Invalid Status")</x:f>
        <x:v>OK</x:v>
      </x:c>
      <x:c r="P30" s="234" t="str">
        <x:f>IF(COUNTIF('References'!$F$5:$F$8,I30)=1,"OK","Invalid Channel")</x:f>
        <x:v>OK</x:v>
      </x:c>
      <x:c r="Q30" s="234" t="str">
        <x:f>IF(J30="","Missing Consent","OK")</x:f>
        <x:v>OK</x:v>
      </x:c>
      <x:c r="R30" s="234" t="str">
        <x:f>IF(AND(G30="Specialist Consultation",K30=""),"Missing Referral","OK")</x:f>
        <x:v>OK</x:v>
      </x:c>
      <x:c r="S30" s="234" t="str">
        <x:f>IF(OR(M30&gt;1,N30&lt;&gt;"OK",O30&lt;&gt;"OK",P30&lt;&gt;"OK",Q30&lt;&gt;"OK",R30&lt;&gt;"OK"),IF(OR(M30&gt;1,N30&lt;&gt;"OK"),"High Priority Review","Review"),"Ready")</x:f>
        <x:v>Ready</x:v>
      </x:c>
    </x:row>
    <x:row r="31" ht="26" customHeight="1">
      <x:c r="A31" s="236" t="n">
        <x:f>ROW('Appointments Raw'!A31)</x:f>
        <x:v>31</x:v>
      </x:c>
      <x:c r="B31" s="236" t="str">
        <x:f>'Appointments Raw'!A31</x:f>
        <x:v>APT-2026-027</x:v>
      </x:c>
      <x:c r="C31" s="236" t="str">
        <x:f>'Appointments Raw'!B31</x:f>
        <x:v>PT-DEMO-027</x:v>
      </x:c>
      <x:c r="D31" s="250" t="n">
        <x:f>'Appointments Raw'!C31</x:f>
        <x:v>46259</x:v>
      </x:c>
      <x:c r="E31" s="236" t="str">
        <x:f>'Appointments Raw'!D31</x:f>
        <x:v>13:00</x:v>
      </x:c>
      <x:c r="F31" s="236" t="str">
        <x:f>'Appointments Raw'!E31</x:f>
        <x:v>North Clinic</x:v>
      </x:c>
      <x:c r="G31" s="236" t="str">
        <x:f>'Appointments Raw'!F31</x:f>
        <x:v>Vaccination Administration</x:v>
      </x:c>
      <x:c r="H31" s="236" t="str">
        <x:f>'Appointments Raw'!G31</x:f>
        <x:v>Scheduled</x:v>
      </x:c>
      <x:c r="I31" s="236" t="str">
        <x:f>'Appointments Raw'!H31</x:f>
        <x:v>Task Tracker</x:v>
      </x:c>
      <x:c r="J31" s="236" t="str">
        <x:f>IF('Appointments Raw'!I31="","",'Appointments Raw'!I31)</x:f>
        <x:v>Recorded</x:v>
      </x:c>
      <x:c r="K31" s="236" t="str">
        <x:f>IF('Appointments Raw'!J31="","",'Appointments Raw'!J31)</x:f>
      </x:c>
      <x:c r="L31" s="250" t="n">
        <x:f>'Appointments Raw'!K31</x:f>
        <x:v>46244</x:v>
      </x:c>
      <x:c r="M31" s="236" t="n">
        <x:f>COUNTIF('Appointments Raw'!$A$5:$A$54,B31)</x:f>
        <x:v>1</x:v>
      </x:c>
      <x:c r="N31" s="236" t="str">
        <x:f>IF(COUNTIF('Patient Registry'!$A$5:$A$49,C31)=1,"OK","Patient ID Not Found")</x:f>
        <x:v>OK</x:v>
      </x:c>
      <x:c r="O31" s="236" t="str">
        <x:f>IF(COUNTIF('References'!$D$5:$D$9,H31)=1,"OK","Invalid Status")</x:f>
        <x:v>OK</x:v>
      </x:c>
      <x:c r="P31" s="236" t="str">
        <x:f>IF(COUNTIF('References'!$F$5:$F$8,I31)=1,"OK","Invalid Channel")</x:f>
        <x:v>OK</x:v>
      </x:c>
      <x:c r="Q31" s="236" t="str">
        <x:f>IF(J31="","Missing Consent","OK")</x:f>
        <x:v>OK</x:v>
      </x:c>
      <x:c r="R31" s="236" t="str">
        <x:f>IF(AND(G31="Specialist Consultation",K31=""),"Missing Referral","OK")</x:f>
        <x:v>OK</x:v>
      </x:c>
      <x:c r="S31" s="236" t="str">
        <x:f>IF(OR(M31&gt;1,N31&lt;&gt;"OK",O31&lt;&gt;"OK",P31&lt;&gt;"OK",Q31&lt;&gt;"OK",R31&lt;&gt;"OK"),IF(OR(M31&gt;1,N31&lt;&gt;"OK"),"High Priority Review","Review"),"Ready")</x:f>
        <x:v>Ready</x:v>
      </x:c>
    </x:row>
    <x:row r="32" ht="26" customHeight="1">
      <x:c r="A32" s="234" t="n">
        <x:f>ROW('Appointments Raw'!A32)</x:f>
        <x:v>32</x:v>
      </x:c>
      <x:c r="B32" s="234" t="str">
        <x:f>'Appointments Raw'!A32</x:f>
        <x:v>APT-2026-028</x:v>
      </x:c>
      <x:c r="C32" s="234" t="str">
        <x:f>'Appointments Raw'!B32</x:f>
        <x:v>PT-DEMO-028</x:v>
      </x:c>
      <x:c r="D32" s="249" t="n">
        <x:f>'Appointments Raw'!C32</x:f>
        <x:v>46260</x:v>
      </x:c>
      <x:c r="E32" s="234" t="str">
        <x:f>'Appointments Raw'!D32</x:f>
        <x:v>14:30</x:v>
      </x:c>
      <x:c r="F32" s="234" t="str">
        <x:f>'Appointments Raw'!E32</x:f>
        <x:v>Central Clinic</x:v>
      </x:c>
      <x:c r="G32" s="234" t="str">
        <x:f>'Appointments Raw'!F32</x:f>
        <x:v>General Consultation</x:v>
      </x:c>
      <x:c r="H32" s="234" t="str">
        <x:f>'Appointments Raw'!G32</x:f>
        <x:v>Cancelled</x:v>
      </x:c>
      <x:c r="I32" s="234" t="str">
        <x:f>'Appointments Raw'!H32</x:f>
        <x:v>Secure Email</x:v>
      </x:c>
      <x:c r="J32" s="234" t="str">
        <x:f>IF('Appointments Raw'!I32="","",'Appointments Raw'!I32)</x:f>
        <x:v>Recorded</x:v>
      </x:c>
      <x:c r="K32" s="234" t="str">
        <x:f>IF('Appointments Raw'!J32="","",'Appointments Raw'!J32)</x:f>
      </x:c>
      <x:c r="L32" s="249" t="n">
        <x:f>'Appointments Raw'!K32</x:f>
        <x:v>46250</x:v>
      </x:c>
      <x:c r="M32" s="234" t="n">
        <x:f>COUNTIF('Appointments Raw'!$A$5:$A$54,B32)</x:f>
        <x:v>1</x:v>
      </x:c>
      <x:c r="N32" s="234" t="str">
        <x:f>IF(COUNTIF('Patient Registry'!$A$5:$A$49,C32)=1,"OK","Patient ID Not Found")</x:f>
        <x:v>OK</x:v>
      </x:c>
      <x:c r="O32" s="234" t="str">
        <x:f>IF(COUNTIF('References'!$D$5:$D$9,H32)=1,"OK","Invalid Status")</x:f>
        <x:v>OK</x:v>
      </x:c>
      <x:c r="P32" s="234" t="str">
        <x:f>IF(COUNTIF('References'!$F$5:$F$8,I32)=1,"OK","Invalid Channel")</x:f>
        <x:v>OK</x:v>
      </x:c>
      <x:c r="Q32" s="234" t="str">
        <x:f>IF(J32="","Missing Consent","OK")</x:f>
        <x:v>OK</x:v>
      </x:c>
      <x:c r="R32" s="234" t="str">
        <x:f>IF(AND(G32="Specialist Consultation",K32=""),"Missing Referral","OK")</x:f>
        <x:v>OK</x:v>
      </x:c>
      <x:c r="S32" s="234" t="str">
        <x:f>IF(OR(M32&gt;1,N32&lt;&gt;"OK",O32&lt;&gt;"OK",P32&lt;&gt;"OK",Q32&lt;&gt;"OK",R32&lt;&gt;"OK"),IF(OR(M32&gt;1,N32&lt;&gt;"OK"),"High Priority Review","Review"),"Ready")</x:f>
        <x:v>Ready</x:v>
      </x:c>
    </x:row>
    <x:row r="33" ht="26" customHeight="1">
      <x:c r="A33" s="236" t="n">
        <x:f>ROW('Appointments Raw'!A33)</x:f>
        <x:v>33</x:v>
      </x:c>
      <x:c r="B33" s="236" t="str">
        <x:f>'Appointments Raw'!A33</x:f>
        <x:v>APT-2026-029</x:v>
      </x:c>
      <x:c r="C33" s="236" t="str">
        <x:f>'Appointments Raw'!B33</x:f>
        <x:v>PT-DEMO-029</x:v>
      </x:c>
      <x:c r="D33" s="250" t="n">
        <x:f>'Appointments Raw'!C33</x:f>
        <x:v>46261</x:v>
      </x:c>
      <x:c r="E33" s="236" t="str">
        <x:f>'Appointments Raw'!D33</x:f>
        <x:v>14:00</x:v>
      </x:c>
      <x:c r="F33" s="236" t="str">
        <x:f>'Appointments Raw'!E33</x:f>
        <x:v>East Clinic</x:v>
      </x:c>
      <x:c r="G33" s="236" t="str">
        <x:f>'Appointments Raw'!F33</x:f>
        <x:v>Follow-up</x:v>
      </x:c>
      <x:c r="H33" s="236" t="str">
        <x:f>'Appointments Raw'!G33</x:f>
        <x:v>Reschedule Requested</x:v>
      </x:c>
      <x:c r="I33" s="236" t="str">
        <x:f>'Appointments Raw'!H33</x:f>
        <x:v>Patient Portal</x:v>
      </x:c>
      <x:c r="J33" s="236" t="str">
        <x:f>IF('Appointments Raw'!I33="","",'Appointments Raw'!I33)</x:f>
        <x:v>Recorded</x:v>
      </x:c>
      <x:c r="K33" s="236" t="str">
        <x:f>IF('Appointments Raw'!J33="","",'Appointments Raw'!J33)</x:f>
      </x:c>
      <x:c r="L33" s="250" t="n">
        <x:f>'Appointments Raw'!K33</x:f>
        <x:v>46251</x:v>
      </x:c>
      <x:c r="M33" s="236" t="n">
        <x:f>COUNTIF('Appointments Raw'!$A$5:$A$54,B33)</x:f>
        <x:v>1</x:v>
      </x:c>
      <x:c r="N33" s="236" t="str">
        <x:f>IF(COUNTIF('Patient Registry'!$A$5:$A$49,C33)=1,"OK","Patient ID Not Found")</x:f>
        <x:v>OK</x:v>
      </x:c>
      <x:c r="O33" s="236" t="str">
        <x:f>IF(COUNTIF('References'!$D$5:$D$9,H33)=1,"OK","Invalid Status")</x:f>
        <x:v>OK</x:v>
      </x:c>
      <x:c r="P33" s="236" t="str">
        <x:f>IF(COUNTIF('References'!$F$5:$F$8,I33)=1,"OK","Invalid Channel")</x:f>
        <x:v>OK</x:v>
      </x:c>
      <x:c r="Q33" s="236" t="str">
        <x:f>IF(J33="","Missing Consent","OK")</x:f>
        <x:v>OK</x:v>
      </x:c>
      <x:c r="R33" s="236" t="str">
        <x:f>IF(AND(G33="Specialist Consultation",K33=""),"Missing Referral","OK")</x:f>
        <x:v>OK</x:v>
      </x:c>
      <x:c r="S33" s="236" t="str">
        <x:f>IF(OR(M33&gt;1,N33&lt;&gt;"OK",O33&lt;&gt;"OK",P33&lt;&gt;"OK",Q33&lt;&gt;"OK",R33&lt;&gt;"OK"),IF(OR(M33&gt;1,N33&lt;&gt;"OK"),"High Priority Review","Review"),"Ready")</x:f>
        <x:v>Ready</x:v>
      </x:c>
    </x:row>
    <x:row r="34" ht="26" customHeight="1">
      <x:c r="A34" s="234" t="n">
        <x:f>ROW('Appointments Raw'!A34)</x:f>
        <x:v>34</x:v>
      </x:c>
      <x:c r="B34" s="234" t="str">
        <x:f>'Appointments Raw'!A34</x:f>
        <x:v>APT-2026-030</x:v>
      </x:c>
      <x:c r="C34" s="234" t="str">
        <x:f>'Appointments Raw'!B34</x:f>
        <x:v>PT-DEMO-030</x:v>
      </x:c>
      <x:c r="D34" s="249" t="n">
        <x:f>'Appointments Raw'!C34</x:f>
        <x:v>46252</x:v>
      </x:c>
      <x:c r="E34" s="234" t="str">
        <x:f>'Appointments Raw'!D34</x:f>
        <x:v>15:30</x:v>
      </x:c>
      <x:c r="F34" s="234" t="str">
        <x:f>'Appointments Raw'!E34</x:f>
        <x:v>North Clinic</x:v>
      </x:c>
      <x:c r="G34" s="234" t="str">
        <x:f>'Appointments Raw'!F34</x:f>
        <x:v>Specialist Consultation</x:v>
      </x:c>
      <x:c r="H34" s="234" t="str">
        <x:f>'Appointments Raw'!G34</x:f>
        <x:v>Scheduled</x:v>
      </x:c>
      <x:c r="I34" s="234" t="str">
        <x:f>'Appointments Raw'!H34</x:f>
        <x:v>Secure Chat</x:v>
      </x:c>
      <x:c r="J34" s="234" t="str">
        <x:f>IF('Appointments Raw'!I34="","",'Appointments Raw'!I34)</x:f>
        <x:v>Recorded</x:v>
      </x:c>
      <x:c r="K34" s="234" t="str">
        <x:f>IF('Appointments Raw'!J34="","",'Appointments Raw'!J34)</x:f>
      </x:c>
      <x:c r="L34" s="249" t="n">
        <x:f>'Appointments Raw'!K34</x:f>
        <x:v>46250</x:v>
      </x:c>
      <x:c r="M34" s="234" t="n">
        <x:f>COUNTIF('Appointments Raw'!$A$5:$A$54,B34)</x:f>
        <x:v>1</x:v>
      </x:c>
      <x:c r="N34" s="234" t="str">
        <x:f>IF(COUNTIF('Patient Registry'!$A$5:$A$49,C34)=1,"OK","Patient ID Not Found")</x:f>
        <x:v>OK</x:v>
      </x:c>
      <x:c r="O34" s="234" t="str">
        <x:f>IF(COUNTIF('References'!$D$5:$D$9,H34)=1,"OK","Invalid Status")</x:f>
        <x:v>OK</x:v>
      </x:c>
      <x:c r="P34" s="234" t="str">
        <x:f>IF(COUNTIF('References'!$F$5:$F$8,I34)=1,"OK","Invalid Channel")</x:f>
        <x:v>OK</x:v>
      </x:c>
      <x:c r="Q34" s="234" t="str">
        <x:f>IF(J34="","Missing Consent","OK")</x:f>
        <x:v>OK</x:v>
      </x:c>
      <x:c r="R34" s="234" t="str">
        <x:f>IF(AND(G34="Specialist Consultation",K34=""),"Missing Referral","OK")</x:f>
        <x:v>Missing Referral</x:v>
      </x:c>
      <x:c r="S34" s="234" t="str">
        <x:f>IF(OR(M34&gt;1,N34&lt;&gt;"OK",O34&lt;&gt;"OK",P34&lt;&gt;"OK",Q34&lt;&gt;"OK",R34&lt;&gt;"OK"),IF(OR(M34&gt;1,N34&lt;&gt;"OK"),"High Priority Review","Review"),"Ready")</x:f>
        <x:v>Review</x:v>
      </x:c>
    </x:row>
    <x:row r="35" ht="26" customHeight="1">
      <x:c r="A35" s="236" t="n">
        <x:f>ROW('Appointments Raw'!A35)</x:f>
        <x:v>35</x:v>
      </x:c>
      <x:c r="B35" s="236" t="str">
        <x:f>'Appointments Raw'!A35</x:f>
        <x:v>APT-2026-031</x:v>
      </x:c>
      <x:c r="C35" s="236" t="str">
        <x:f>'Appointments Raw'!B35</x:f>
        <x:v>PT-DEMO-031</x:v>
      </x:c>
      <x:c r="D35" s="250" t="n">
        <x:f>'Appointments Raw'!C35</x:f>
        <x:v>46253</x:v>
      </x:c>
      <x:c r="E35" s="236" t="str">
        <x:f>'Appointments Raw'!D35</x:f>
        <x:v>15:00</x:v>
      </x:c>
      <x:c r="F35" s="236" t="str">
        <x:f>'Appointments Raw'!E35</x:f>
        <x:v>Central Clinic</x:v>
      </x:c>
      <x:c r="G35" s="236" t="str">
        <x:f>'Appointments Raw'!F35</x:f>
        <x:v>Vaccination Administration</x:v>
      </x:c>
      <x:c r="H35" s="236" t="str">
        <x:f>'Appointments Raw'!G35</x:f>
        <x:v>Confirmed</x:v>
      </x:c>
      <x:c r="I35" s="236" t="str">
        <x:f>'Appointments Raw'!H35</x:f>
        <x:v>Task Tracker</x:v>
      </x:c>
      <x:c r="J35" s="236" t="str">
        <x:f>IF('Appointments Raw'!I35="","",'Appointments Raw'!I35)</x:f>
        <x:v>Recorded</x:v>
      </x:c>
      <x:c r="K35" s="236" t="str">
        <x:f>IF('Appointments Raw'!J35="","",'Appointments Raw'!J35)</x:f>
      </x:c>
      <x:c r="L35" s="250" t="n">
        <x:f>'Appointments Raw'!K35</x:f>
        <x:v>46251</x:v>
      </x:c>
      <x:c r="M35" s="236" t="n">
        <x:f>COUNTIF('Appointments Raw'!$A$5:$A$54,B35)</x:f>
        <x:v>1</x:v>
      </x:c>
      <x:c r="N35" s="236" t="str">
        <x:f>IF(COUNTIF('Patient Registry'!$A$5:$A$49,C35)=1,"OK","Patient ID Not Found")</x:f>
        <x:v>OK</x:v>
      </x:c>
      <x:c r="O35" s="236" t="str">
        <x:f>IF(COUNTIF('References'!$D$5:$D$9,H35)=1,"OK","Invalid Status")</x:f>
        <x:v>OK</x:v>
      </x:c>
      <x:c r="P35" s="236" t="str">
        <x:f>IF(COUNTIF('References'!$F$5:$F$8,I35)=1,"OK","Invalid Channel")</x:f>
        <x:v>OK</x:v>
      </x:c>
      <x:c r="Q35" s="236" t="str">
        <x:f>IF(J35="","Missing Consent","OK")</x:f>
        <x:v>OK</x:v>
      </x:c>
      <x:c r="R35" s="236" t="str">
        <x:f>IF(AND(G35="Specialist Consultation",K35=""),"Missing Referral","OK")</x:f>
        <x:v>OK</x:v>
      </x:c>
      <x:c r="S35" s="236" t="str">
        <x:f>IF(OR(M35&gt;1,N35&lt;&gt;"OK",O35&lt;&gt;"OK",P35&lt;&gt;"OK",Q35&lt;&gt;"OK",R35&lt;&gt;"OK"),IF(OR(M35&gt;1,N35&lt;&gt;"OK"),"High Priority Review","Review"),"Ready")</x:f>
        <x:v>Ready</x:v>
      </x:c>
    </x:row>
    <x:row r="36" ht="26" customHeight="1">
      <x:c r="A36" s="234" t="n">
        <x:f>ROW('Appointments Raw'!A36)</x:f>
        <x:v>36</x:v>
      </x:c>
      <x:c r="B36" s="234" t="str">
        <x:f>'Appointments Raw'!A36</x:f>
        <x:v>APT-2026-032</x:v>
      </x:c>
      <x:c r="C36" s="234" t="str">
        <x:f>'Appointments Raw'!B36</x:f>
        <x:v>PT-DEMO-032</x:v>
      </x:c>
      <x:c r="D36" s="249" t="n">
        <x:f>'Appointments Raw'!C36</x:f>
        <x:v>46254</x:v>
      </x:c>
      <x:c r="E36" s="234" t="str">
        <x:f>'Appointments Raw'!D36</x:f>
        <x:v>08:30</x:v>
      </x:c>
      <x:c r="F36" s="234" t="str">
        <x:f>'Appointments Raw'!E36</x:f>
        <x:v>East Clinic</x:v>
      </x:c>
      <x:c r="G36" s="234" t="str">
        <x:f>'Appointments Raw'!F36</x:f>
        <x:v>General Consultation</x:v>
      </x:c>
      <x:c r="H36" s="234" t="str">
        <x:f>'Appointments Raw'!G36</x:f>
        <x:v>Completed</x:v>
      </x:c>
      <x:c r="I36" s="234" t="str">
        <x:f>'Appointments Raw'!H36</x:f>
        <x:v>Secure Email</x:v>
      </x:c>
      <x:c r="J36" s="234" t="str">
        <x:f>IF('Appointments Raw'!I36="","",'Appointments Raw'!I36)</x:f>
        <x:v>Recorded</x:v>
      </x:c>
      <x:c r="K36" s="234" t="str">
        <x:f>IF('Appointments Raw'!J36="","",'Appointments Raw'!J36)</x:f>
      </x:c>
      <x:c r="L36" s="249" t="n">
        <x:f>'Appointments Raw'!K36</x:f>
        <x:v>46250</x:v>
      </x:c>
      <x:c r="M36" s="234" t="n">
        <x:f>COUNTIF('Appointments Raw'!$A$5:$A$54,B36)</x:f>
        <x:v>1</x:v>
      </x:c>
      <x:c r="N36" s="234" t="str">
        <x:f>IF(COUNTIF('Patient Registry'!$A$5:$A$49,C36)=1,"OK","Patient ID Not Found")</x:f>
        <x:v>OK</x:v>
      </x:c>
      <x:c r="O36" s="234" t="str">
        <x:f>IF(COUNTIF('References'!$D$5:$D$9,H36)=1,"OK","Invalid Status")</x:f>
        <x:v>OK</x:v>
      </x:c>
      <x:c r="P36" s="234" t="str">
        <x:f>IF(COUNTIF('References'!$F$5:$F$8,I36)=1,"OK","Invalid Channel")</x:f>
        <x:v>OK</x:v>
      </x:c>
      <x:c r="Q36" s="234" t="str">
        <x:f>IF(J36="","Missing Consent","OK")</x:f>
        <x:v>OK</x:v>
      </x:c>
      <x:c r="R36" s="234" t="str">
        <x:f>IF(AND(G36="Specialist Consultation",K36=""),"Missing Referral","OK")</x:f>
        <x:v>OK</x:v>
      </x:c>
      <x:c r="S36" s="234" t="str">
        <x:f>IF(OR(M36&gt;1,N36&lt;&gt;"OK",O36&lt;&gt;"OK",P36&lt;&gt;"OK",Q36&lt;&gt;"OK",R36&lt;&gt;"OK"),IF(OR(M36&gt;1,N36&lt;&gt;"OK"),"High Priority Review","Review"),"Ready")</x:f>
        <x:v>Ready</x:v>
      </x:c>
    </x:row>
    <x:row r="37" ht="26" customHeight="1">
      <x:c r="A37" s="236" t="n">
        <x:f>ROW('Appointments Raw'!A37)</x:f>
        <x:v>37</x:v>
      </x:c>
      <x:c r="B37" s="236" t="str">
        <x:f>'Appointments Raw'!A37</x:f>
        <x:v>APT-2026-033</x:v>
      </x:c>
      <x:c r="C37" s="236" t="str">
        <x:f>'Appointments Raw'!B37</x:f>
        <x:v>PT-DEMO-033</x:v>
      </x:c>
      <x:c r="D37" s="250" t="n">
        <x:f>'Appointments Raw'!C37</x:f>
        <x:v>46255</x:v>
      </x:c>
      <x:c r="E37" s="236" t="str">
        <x:f>'Appointments Raw'!D37</x:f>
        <x:v>08:00</x:v>
      </x:c>
      <x:c r="F37" s="236" t="str">
        <x:f>'Appointments Raw'!E37</x:f>
        <x:v>North Clinic</x:v>
      </x:c>
      <x:c r="G37" s="236" t="str">
        <x:f>'Appointments Raw'!F37</x:f>
        <x:v>Follow-up</x:v>
      </x:c>
      <x:c r="H37" s="236" t="str">
        <x:f>'Appointments Raw'!G37</x:f>
        <x:v>Cancelled</x:v>
      </x:c>
      <x:c r="I37" s="236" t="str">
        <x:f>'Appointments Raw'!H37</x:f>
        <x:v>Patient Portal</x:v>
      </x:c>
      <x:c r="J37" s="236" t="str">
        <x:f>IF('Appointments Raw'!I37="","",'Appointments Raw'!I37)</x:f>
      </x:c>
      <x:c r="K37" s="236" t="str">
        <x:f>IF('Appointments Raw'!J37="","",'Appointments Raw'!J37)</x:f>
      </x:c>
      <x:c r="L37" s="250" t="n">
        <x:f>'Appointments Raw'!K37</x:f>
        <x:v>46251</x:v>
      </x:c>
      <x:c r="M37" s="236" t="n">
        <x:f>COUNTIF('Appointments Raw'!$A$5:$A$54,B37)</x:f>
        <x:v>1</x:v>
      </x:c>
      <x:c r="N37" s="236" t="str">
        <x:f>IF(COUNTIF('Patient Registry'!$A$5:$A$49,C37)=1,"OK","Patient ID Not Found")</x:f>
        <x:v>OK</x:v>
      </x:c>
      <x:c r="O37" s="236" t="str">
        <x:f>IF(COUNTIF('References'!$D$5:$D$9,H37)=1,"OK","Invalid Status")</x:f>
        <x:v>OK</x:v>
      </x:c>
      <x:c r="P37" s="236" t="str">
        <x:f>IF(COUNTIF('References'!$F$5:$F$8,I37)=1,"OK","Invalid Channel")</x:f>
        <x:v>OK</x:v>
      </x:c>
      <x:c r="Q37" s="236" t="str">
        <x:f>IF(J37="","Missing Consent","OK")</x:f>
        <x:v>Missing Consent</x:v>
      </x:c>
      <x:c r="R37" s="236" t="str">
        <x:f>IF(AND(G37="Specialist Consultation",K37=""),"Missing Referral","OK")</x:f>
        <x:v>OK</x:v>
      </x:c>
      <x:c r="S37" s="236" t="str">
        <x:f>IF(OR(M37&gt;1,N37&lt;&gt;"OK",O37&lt;&gt;"OK",P37&lt;&gt;"OK",Q37&lt;&gt;"OK",R37&lt;&gt;"OK"),IF(OR(M37&gt;1,N37&lt;&gt;"OK"),"High Priority Review","Review"),"Ready")</x:f>
        <x:v>Review</x:v>
      </x:c>
    </x:row>
    <x:row r="38" ht="26" customHeight="1">
      <x:c r="A38" s="234" t="n">
        <x:f>ROW('Appointments Raw'!A38)</x:f>
        <x:v>38</x:v>
      </x:c>
      <x:c r="B38" s="234" t="str">
        <x:f>'Appointments Raw'!A38</x:f>
        <x:v>APT-2026-034</x:v>
      </x:c>
      <x:c r="C38" s="234" t="str">
        <x:f>'Appointments Raw'!B38</x:f>
        <x:v>PT-DEMO-034</x:v>
      </x:c>
      <x:c r="D38" s="249" t="n">
        <x:f>'Appointments Raw'!C38</x:f>
        <x:v>46255</x:v>
      </x:c>
      <x:c r="E38" s="234" t="str">
        <x:f>'Appointments Raw'!D38</x:f>
        <x:v>14:00</x:v>
      </x:c>
      <x:c r="F38" s="234" t="str">
        <x:f>'Appointments Raw'!E38</x:f>
        <x:v>East Clinic</x:v>
      </x:c>
      <x:c r="G38" s="234" t="str">
        <x:f>'Appointments Raw'!F38</x:f>
        <x:v>Administrative Review</x:v>
      </x:c>
      <x:c r="H38" s="234" t="str">
        <x:f>'Appointments Raw'!G38</x:f>
        <x:v>Reschedule Requested</x:v>
      </x:c>
      <x:c r="I38" s="234" t="str">
        <x:f>'Appointments Raw'!H38</x:f>
        <x:v>Secure Chat</x:v>
      </x:c>
      <x:c r="J38" s="234" t="str">
        <x:f>IF('Appointments Raw'!I38="","",'Appointments Raw'!I38)</x:f>
        <x:v>Recorded</x:v>
      </x:c>
      <x:c r="K38" s="234" t="str">
        <x:f>IF('Appointments Raw'!J38="","",'Appointments Raw'!J38)</x:f>
      </x:c>
      <x:c r="L38" s="249" t="n">
        <x:f>'Appointments Raw'!K38</x:f>
        <x:v>46250</x:v>
      </x:c>
      <x:c r="M38" s="234" t="n">
        <x:f>COUNTIF('Appointments Raw'!$A$5:$A$54,B38)</x:f>
        <x:v>1</x:v>
      </x:c>
      <x:c r="N38" s="234" t="str">
        <x:f>IF(COUNTIF('Patient Registry'!$A$5:$A$49,C38)=1,"OK","Patient ID Not Found")</x:f>
        <x:v>OK</x:v>
      </x:c>
      <x:c r="O38" s="234" t="str">
        <x:f>IF(COUNTIF('References'!$D$5:$D$9,H38)=1,"OK","Invalid Status")</x:f>
        <x:v>OK</x:v>
      </x:c>
      <x:c r="P38" s="234" t="str">
        <x:f>IF(COUNTIF('References'!$F$5:$F$8,I38)=1,"OK","Invalid Channel")</x:f>
        <x:v>OK</x:v>
      </x:c>
      <x:c r="Q38" s="234" t="str">
        <x:f>IF(J38="","Missing Consent","OK")</x:f>
        <x:v>OK</x:v>
      </x:c>
      <x:c r="R38" s="234" t="str">
        <x:f>IF(AND(G38="Specialist Consultation",K38=""),"Missing Referral","OK")</x:f>
        <x:v>OK</x:v>
      </x:c>
      <x:c r="S38" s="234" t="str">
        <x:f>IF(OR(M38&gt;1,N38&lt;&gt;"OK",O38&lt;&gt;"OK",P38&lt;&gt;"OK",Q38&lt;&gt;"OK",R38&lt;&gt;"OK"),IF(OR(M38&gt;1,N38&lt;&gt;"OK"),"High Priority Review","Review"),"Ready")</x:f>
        <x:v>Ready</x:v>
      </x:c>
    </x:row>
    <x:row r="39" ht="26" customHeight="1">
      <x:c r="A39" s="236" t="n">
        <x:f>ROW('Appointments Raw'!A39)</x:f>
        <x:v>39</x:v>
      </x:c>
      <x:c r="B39" s="236" t="str">
        <x:f>'Appointments Raw'!A39</x:f>
        <x:v>APT-2026-035</x:v>
      </x:c>
      <x:c r="C39" s="236" t="str">
        <x:f>'Appointments Raw'!B39</x:f>
        <x:v>PT-DEMO-035</x:v>
      </x:c>
      <x:c r="D39" s="250" t="n">
        <x:f>'Appointments Raw'!C39</x:f>
        <x:v>46255</x:v>
      </x:c>
      <x:c r="E39" s="236" t="str">
        <x:f>'Appointments Raw'!D39</x:f>
        <x:v>14:00</x:v>
      </x:c>
      <x:c r="F39" s="236" t="str">
        <x:f>'Appointments Raw'!E39</x:f>
        <x:v>East Clinic</x:v>
      </x:c>
      <x:c r="G39" s="236" t="str">
        <x:f>'Appointments Raw'!F39</x:f>
        <x:v>Vaccination Administration</x:v>
      </x:c>
      <x:c r="H39" s="236" t="str">
        <x:f>'Appointments Raw'!G39</x:f>
        <x:v>Scheduled</x:v>
      </x:c>
      <x:c r="I39" s="236" t="str">
        <x:f>'Appointments Raw'!H39</x:f>
        <x:v>Task Tracker</x:v>
      </x:c>
      <x:c r="J39" s="236" t="str">
        <x:f>IF('Appointments Raw'!I39="","",'Appointments Raw'!I39)</x:f>
        <x:v>Recorded</x:v>
      </x:c>
      <x:c r="K39" s="236" t="str">
        <x:f>IF('Appointments Raw'!J39="","",'Appointments Raw'!J39)</x:f>
      </x:c>
      <x:c r="L39" s="250" t="n">
        <x:f>'Appointments Raw'!K39</x:f>
        <x:v>46251</x:v>
      </x:c>
      <x:c r="M39" s="236" t="n">
        <x:f>COUNTIF('Appointments Raw'!$A$5:$A$54,B39)</x:f>
        <x:v>1</x:v>
      </x:c>
      <x:c r="N39" s="236" t="str">
        <x:f>IF(COUNTIF('Patient Registry'!$A$5:$A$49,C39)=1,"OK","Patient ID Not Found")</x:f>
        <x:v>OK</x:v>
      </x:c>
      <x:c r="O39" s="236" t="str">
        <x:f>IF(COUNTIF('References'!$D$5:$D$9,H39)=1,"OK","Invalid Status")</x:f>
        <x:v>OK</x:v>
      </x:c>
      <x:c r="P39" s="236" t="str">
        <x:f>IF(COUNTIF('References'!$F$5:$F$8,I39)=1,"OK","Invalid Channel")</x:f>
        <x:v>OK</x:v>
      </x:c>
      <x:c r="Q39" s="236" t="str">
        <x:f>IF(J39="","Missing Consent","OK")</x:f>
        <x:v>OK</x:v>
      </x:c>
      <x:c r="R39" s="236" t="str">
        <x:f>IF(AND(G39="Specialist Consultation",K39=""),"Missing Referral","OK")</x:f>
        <x:v>OK</x:v>
      </x:c>
      <x:c r="S39" s="236" t="str">
        <x:f>IF(OR(M39&gt;1,N39&lt;&gt;"OK",O39&lt;&gt;"OK",P39&lt;&gt;"OK",Q39&lt;&gt;"OK",R39&lt;&gt;"OK"),IF(OR(M39&gt;1,N39&lt;&gt;"OK"),"High Priority Review","Review"),"Ready")</x:f>
        <x:v>Ready</x:v>
      </x:c>
    </x:row>
    <x:row r="40" ht="26" customHeight="1">
      <x:c r="A40" s="234" t="n">
        <x:f>ROW('Appointments Raw'!A40)</x:f>
        <x:v>40</x:v>
      </x:c>
      <x:c r="B40" s="234" t="str">
        <x:f>'Appointments Raw'!A40</x:f>
        <x:v>APT-2026-036</x:v>
      </x:c>
      <x:c r="C40" s="234" t="str">
        <x:f>'Appointments Raw'!B40</x:f>
        <x:v>PT-DEMO-036</x:v>
      </x:c>
      <x:c r="D40" s="249" t="n">
        <x:f>'Appointments Raw'!C40</x:f>
        <x:v>46258</x:v>
      </x:c>
      <x:c r="E40" s="234" t="str">
        <x:f>'Appointments Raw'!D40</x:f>
        <x:v>10:30</x:v>
      </x:c>
      <x:c r="F40" s="234" t="str">
        <x:f>'Appointments Raw'!E40</x:f>
        <x:v>North Clinic</x:v>
      </x:c>
      <x:c r="G40" s="234" t="str">
        <x:f>'Appointments Raw'!F40</x:f>
        <x:v>General Consultation</x:v>
      </x:c>
      <x:c r="H40" s="234" t="str">
        <x:f>'Appointments Raw'!G40</x:f>
        <x:v>Confirmed</x:v>
      </x:c>
      <x:c r="I40" s="234" t="str">
        <x:f>'Appointments Raw'!H40</x:f>
        <x:v>Secure Email</x:v>
      </x:c>
      <x:c r="J40" s="234" t="str">
        <x:f>IF('Appointments Raw'!I40="","",'Appointments Raw'!I40)</x:f>
        <x:v>Recorded</x:v>
      </x:c>
      <x:c r="K40" s="234" t="str">
        <x:f>IF('Appointments Raw'!J40="","",'Appointments Raw'!J40)</x:f>
      </x:c>
      <x:c r="L40" s="249" t="n">
        <x:f>'Appointments Raw'!K40</x:f>
        <x:v>46250</x:v>
      </x:c>
      <x:c r="M40" s="234" t="n">
        <x:f>COUNTIF('Appointments Raw'!$A$5:$A$54,B40)</x:f>
        <x:v>2</x:v>
      </x:c>
      <x:c r="N40" s="234" t="str">
        <x:f>IF(COUNTIF('Patient Registry'!$A$5:$A$49,C40)=1,"OK","Patient ID Not Found")</x:f>
        <x:v>OK</x:v>
      </x:c>
      <x:c r="O40" s="234" t="str">
        <x:f>IF(COUNTIF('References'!$D$5:$D$9,H40)=1,"OK","Invalid Status")</x:f>
        <x:v>OK</x:v>
      </x:c>
      <x:c r="P40" s="234" t="str">
        <x:f>IF(COUNTIF('References'!$F$5:$F$8,I40)=1,"OK","Invalid Channel")</x:f>
        <x:v>OK</x:v>
      </x:c>
      <x:c r="Q40" s="234" t="str">
        <x:f>IF(J40="","Missing Consent","OK")</x:f>
        <x:v>OK</x:v>
      </x:c>
      <x:c r="R40" s="234" t="str">
        <x:f>IF(AND(G40="Specialist Consultation",K40=""),"Missing Referral","OK")</x:f>
        <x:v>OK</x:v>
      </x:c>
      <x:c r="S40" s="234" t="str">
        <x:f>IF(OR(M40&gt;1,N40&lt;&gt;"OK",O40&lt;&gt;"OK",P40&lt;&gt;"OK",Q40&lt;&gt;"OK",R40&lt;&gt;"OK"),IF(OR(M40&gt;1,N40&lt;&gt;"OK"),"High Priority Review","Review"),"Ready")</x:f>
        <x:v>High Priority Review</x:v>
      </x:c>
    </x:row>
    <x:row r="41" ht="26" customHeight="1">
      <x:c r="A41" s="236" t="n">
        <x:f>ROW('Appointments Raw'!A41)</x:f>
        <x:v>41</x:v>
      </x:c>
      <x:c r="B41" s="236" t="str">
        <x:f>'Appointments Raw'!A41</x:f>
        <x:v>APT-2026-036</x:v>
      </x:c>
      <x:c r="C41" s="236" t="str">
        <x:f>'Appointments Raw'!B41</x:f>
        <x:v>PT-DEMO-037</x:v>
      </x:c>
      <x:c r="D41" s="250" t="n">
        <x:f>'Appointments Raw'!C41</x:f>
        <x:v>46259</x:v>
      </x:c>
      <x:c r="E41" s="236" t="str">
        <x:f>'Appointments Raw'!D41</x:f>
        <x:v>10:00</x:v>
      </x:c>
      <x:c r="F41" s="236" t="str">
        <x:f>'Appointments Raw'!E41</x:f>
        <x:v>Central Clinic</x:v>
      </x:c>
      <x:c r="G41" s="236" t="str">
        <x:f>'Appointments Raw'!F41</x:f>
        <x:v>Follow-up</x:v>
      </x:c>
      <x:c r="H41" s="236" t="str">
        <x:f>'Appointments Raw'!G41</x:f>
        <x:v>Completed</x:v>
      </x:c>
      <x:c r="I41" s="236" t="str">
        <x:f>'Appointments Raw'!H41</x:f>
        <x:v>Patient Portal</x:v>
      </x:c>
      <x:c r="J41" s="236" t="str">
        <x:f>IF('Appointments Raw'!I41="","",'Appointments Raw'!I41)</x:f>
        <x:v>Recorded</x:v>
      </x:c>
      <x:c r="K41" s="236" t="str">
        <x:f>IF('Appointments Raw'!J41="","",'Appointments Raw'!J41)</x:f>
      </x:c>
      <x:c r="L41" s="250" t="n">
        <x:f>'Appointments Raw'!K41</x:f>
        <x:v>46251</x:v>
      </x:c>
      <x:c r="M41" s="236" t="n">
        <x:f>COUNTIF('Appointments Raw'!$A$5:$A$54,B41)</x:f>
        <x:v>2</x:v>
      </x:c>
      <x:c r="N41" s="236" t="str">
        <x:f>IF(COUNTIF('Patient Registry'!$A$5:$A$49,C41)=1,"OK","Patient ID Not Found")</x:f>
        <x:v>OK</x:v>
      </x:c>
      <x:c r="O41" s="236" t="str">
        <x:f>IF(COUNTIF('References'!$D$5:$D$9,H41)=1,"OK","Invalid Status")</x:f>
        <x:v>OK</x:v>
      </x:c>
      <x:c r="P41" s="236" t="str">
        <x:f>IF(COUNTIF('References'!$F$5:$F$8,I41)=1,"OK","Invalid Channel")</x:f>
        <x:v>OK</x:v>
      </x:c>
      <x:c r="Q41" s="236" t="str">
        <x:f>IF(J41="","Missing Consent","OK")</x:f>
        <x:v>OK</x:v>
      </x:c>
      <x:c r="R41" s="236" t="str">
        <x:f>IF(AND(G41="Specialist Consultation",K41=""),"Missing Referral","OK")</x:f>
        <x:v>OK</x:v>
      </x:c>
      <x:c r="S41" s="236" t="str">
        <x:f>IF(OR(M41&gt;1,N41&lt;&gt;"OK",O41&lt;&gt;"OK",P41&lt;&gt;"OK",Q41&lt;&gt;"OK",R41&lt;&gt;"OK"),IF(OR(M41&gt;1,N41&lt;&gt;"OK"),"High Priority Review","Review"),"Ready")</x:f>
        <x:v>High Priority Review</x:v>
      </x:c>
    </x:row>
    <x:row r="42" ht="26" customHeight="1">
      <x:c r="A42" s="234" t="n">
        <x:f>ROW('Appointments Raw'!A42)</x:f>
        <x:v>42</x:v>
      </x:c>
      <x:c r="B42" s="234" t="str">
        <x:f>'Appointments Raw'!A42</x:f>
        <x:v>APT-2026-038</x:v>
      </x:c>
      <x:c r="C42" s="234" t="str">
        <x:f>'Appointments Raw'!B42</x:f>
        <x:v>PT-DEMO-038</x:v>
      </x:c>
      <x:c r="D42" s="249" t="n">
        <x:f>'Appointments Raw'!C42</x:f>
        <x:v>46260</x:v>
      </x:c>
      <x:c r="E42" s="234" t="str">
        <x:f>'Appointments Raw'!D42</x:f>
        <x:v>11:30</x:v>
      </x:c>
      <x:c r="F42" s="234" t="str">
        <x:f>'Appointments Raw'!E42</x:f>
        <x:v>East Clinic</x:v>
      </x:c>
      <x:c r="G42" s="234" t="str">
        <x:f>'Appointments Raw'!F42</x:f>
        <x:v>Administrative Review</x:v>
      </x:c>
      <x:c r="H42" s="234" t="str">
        <x:f>'Appointments Raw'!G42</x:f>
        <x:v>Cancelled</x:v>
      </x:c>
      <x:c r="I42" s="234" t="str">
        <x:f>'Appointments Raw'!H42</x:f>
        <x:v>Secure Chat</x:v>
      </x:c>
      <x:c r="J42" s="234" t="str">
        <x:f>IF('Appointments Raw'!I42="","",'Appointments Raw'!I42)</x:f>
        <x:v>Recorded</x:v>
      </x:c>
      <x:c r="K42" s="234" t="str">
        <x:f>IF('Appointments Raw'!J42="","",'Appointments Raw'!J42)</x:f>
      </x:c>
      <x:c r="L42" s="249" t="n">
        <x:f>'Appointments Raw'!K42</x:f>
        <x:v>46250</x:v>
      </x:c>
      <x:c r="M42" s="234" t="n">
        <x:f>COUNTIF('Appointments Raw'!$A$5:$A$54,B42)</x:f>
        <x:v>1</x:v>
      </x:c>
      <x:c r="N42" s="234" t="str">
        <x:f>IF(COUNTIF('Patient Registry'!$A$5:$A$49,C42)=1,"OK","Patient ID Not Found")</x:f>
        <x:v>OK</x:v>
      </x:c>
      <x:c r="O42" s="234" t="str">
        <x:f>IF(COUNTIF('References'!$D$5:$D$9,H42)=1,"OK","Invalid Status")</x:f>
        <x:v>OK</x:v>
      </x:c>
      <x:c r="P42" s="234" t="str">
        <x:f>IF(COUNTIF('References'!$F$5:$F$8,I42)=1,"OK","Invalid Channel")</x:f>
        <x:v>OK</x:v>
      </x:c>
      <x:c r="Q42" s="234" t="str">
        <x:f>IF(J42="","Missing Consent","OK")</x:f>
        <x:v>OK</x:v>
      </x:c>
      <x:c r="R42" s="234" t="str">
        <x:f>IF(AND(G42="Specialist Consultation",K42=""),"Missing Referral","OK")</x:f>
        <x:v>OK</x:v>
      </x:c>
      <x:c r="S42" s="234" t="str">
        <x:f>IF(OR(M42&gt;1,N42&lt;&gt;"OK",O42&lt;&gt;"OK",P42&lt;&gt;"OK",Q42&lt;&gt;"OK",R42&lt;&gt;"OK"),IF(OR(M42&gt;1,N42&lt;&gt;"OK"),"High Priority Review","Review"),"Ready")</x:f>
        <x:v>Ready</x:v>
      </x:c>
    </x:row>
    <x:row r="43" ht="26" customHeight="1">
      <x:c r="A43" s="236" t="n">
        <x:f>ROW('Appointments Raw'!A43)</x:f>
        <x:v>43</x:v>
      </x:c>
      <x:c r="B43" s="236" t="str">
        <x:f>'Appointments Raw'!A43</x:f>
        <x:v>APT-2026-039</x:v>
      </x:c>
      <x:c r="C43" s="236" t="str">
        <x:f>'Appointments Raw'!B43</x:f>
        <x:v>PT-DEMO-039</x:v>
      </x:c>
      <x:c r="D43" s="250" t="n">
        <x:f>'Appointments Raw'!C43</x:f>
        <x:v>46261</x:v>
      </x:c>
      <x:c r="E43" s="236" t="str">
        <x:f>'Appointments Raw'!D43</x:f>
        <x:v>11:00</x:v>
      </x:c>
      <x:c r="F43" s="236" t="str">
        <x:f>'Appointments Raw'!E43</x:f>
        <x:v>North Clinic</x:v>
      </x:c>
      <x:c r="G43" s="236" t="str">
        <x:f>'Appointments Raw'!F43</x:f>
        <x:v>Vaccination Administration</x:v>
      </x:c>
      <x:c r="H43" s="236" t="str">
        <x:f>'Appointments Raw'!G43</x:f>
        <x:v>Scheduled</x:v>
      </x:c>
      <x:c r="I43" s="236" t="str">
        <x:f>'Appointments Raw'!H43</x:f>
        <x:v>Task Tracker</x:v>
      </x:c>
      <x:c r="J43" s="236" t="str">
        <x:f>IF('Appointments Raw'!I43="","",'Appointments Raw'!I43)</x:f>
        <x:v>Recorded</x:v>
      </x:c>
      <x:c r="K43" s="236" t="str">
        <x:f>IF('Appointments Raw'!J43="","",'Appointments Raw'!J43)</x:f>
      </x:c>
      <x:c r="L43" s="250" t="n">
        <x:f>'Appointments Raw'!K43</x:f>
        <x:v>46244</x:v>
      </x:c>
      <x:c r="M43" s="236" t="n">
        <x:f>COUNTIF('Appointments Raw'!$A$5:$A$54,B43)</x:f>
        <x:v>1</x:v>
      </x:c>
      <x:c r="N43" s="236" t="str">
        <x:f>IF(COUNTIF('Patient Registry'!$A$5:$A$49,C43)=1,"OK","Patient ID Not Found")</x:f>
        <x:v>OK</x:v>
      </x:c>
      <x:c r="O43" s="236" t="str">
        <x:f>IF(COUNTIF('References'!$D$5:$D$9,H43)=1,"OK","Invalid Status")</x:f>
        <x:v>OK</x:v>
      </x:c>
      <x:c r="P43" s="236" t="str">
        <x:f>IF(COUNTIF('References'!$F$5:$F$8,I43)=1,"OK","Invalid Channel")</x:f>
        <x:v>OK</x:v>
      </x:c>
      <x:c r="Q43" s="236" t="str">
        <x:f>IF(J43="","Missing Consent","OK")</x:f>
        <x:v>OK</x:v>
      </x:c>
      <x:c r="R43" s="236" t="str">
        <x:f>IF(AND(G43="Specialist Consultation",K43=""),"Missing Referral","OK")</x:f>
        <x:v>OK</x:v>
      </x:c>
      <x:c r="S43" s="236" t="str">
        <x:f>IF(OR(M43&gt;1,N43&lt;&gt;"OK",O43&lt;&gt;"OK",P43&lt;&gt;"OK",Q43&lt;&gt;"OK",R43&lt;&gt;"OK"),IF(OR(M43&gt;1,N43&lt;&gt;"OK"),"High Priority Review","Review"),"Ready")</x:f>
        <x:v>Ready</x:v>
      </x:c>
    </x:row>
    <x:row r="44" ht="26" customHeight="1">
      <x:c r="A44" s="234" t="n">
        <x:f>ROW('Appointments Raw'!A44)</x:f>
        <x:v>44</x:v>
      </x:c>
      <x:c r="B44" s="234" t="str">
        <x:f>'Appointments Raw'!A44</x:f>
        <x:v>APT-2026-040</x:v>
      </x:c>
      <x:c r="C44" s="234" t="str">
        <x:f>'Appointments Raw'!B44</x:f>
        <x:v>PT-DEMO-040</x:v>
      </x:c>
      <x:c r="D44" s="249" t="n">
        <x:f>'Appointments Raw'!C44</x:f>
        <x:v>46252</x:v>
      </x:c>
      <x:c r="E44" s="234" t="str">
        <x:f>'Appointments Raw'!D44</x:f>
        <x:v>12:30</x:v>
      </x:c>
      <x:c r="F44" s="234" t="str">
        <x:f>'Appointments Raw'!E44</x:f>
        <x:v>Central Clinic</x:v>
      </x:c>
      <x:c r="G44" s="234" t="str">
        <x:f>'Appointments Raw'!F44</x:f>
        <x:v>General Consultation</x:v>
      </x:c>
      <x:c r="H44" s="234" t="str">
        <x:f>'Appointments Raw'!G44</x:f>
        <x:v>Scheduled</x:v>
      </x:c>
      <x:c r="I44" s="234" t="str">
        <x:f>'Appointments Raw'!H44</x:f>
        <x:v>Secure Email</x:v>
      </x:c>
      <x:c r="J44" s="234" t="str">
        <x:f>IF('Appointments Raw'!I44="","",'Appointments Raw'!I44)</x:f>
        <x:v>Recorded</x:v>
      </x:c>
      <x:c r="K44" s="234" t="str">
        <x:f>IF('Appointments Raw'!J44="","",'Appointments Raw'!J44)</x:f>
      </x:c>
      <x:c r="L44" s="249" t="n">
        <x:f>'Appointments Raw'!K44</x:f>
        <x:v>46250</x:v>
      </x:c>
      <x:c r="M44" s="234" t="n">
        <x:f>COUNTIF('Appointments Raw'!$A$5:$A$54,B44)</x:f>
        <x:v>1</x:v>
      </x:c>
      <x:c r="N44" s="234" t="str">
        <x:f>IF(COUNTIF('Patient Registry'!$A$5:$A$49,C44)=1,"OK","Patient ID Not Found")</x:f>
        <x:v>OK</x:v>
      </x:c>
      <x:c r="O44" s="234" t="str">
        <x:f>IF(COUNTIF('References'!$D$5:$D$9,H44)=1,"OK","Invalid Status")</x:f>
        <x:v>OK</x:v>
      </x:c>
      <x:c r="P44" s="234" t="str">
        <x:f>IF(COUNTIF('References'!$F$5:$F$8,I44)=1,"OK","Invalid Channel")</x:f>
        <x:v>OK</x:v>
      </x:c>
      <x:c r="Q44" s="234" t="str">
        <x:f>IF(J44="","Missing Consent","OK")</x:f>
        <x:v>OK</x:v>
      </x:c>
      <x:c r="R44" s="234" t="str">
        <x:f>IF(AND(G44="Specialist Consultation",K44=""),"Missing Referral","OK")</x:f>
        <x:v>OK</x:v>
      </x:c>
      <x:c r="S44" s="234" t="str">
        <x:f>IF(OR(M44&gt;1,N44&lt;&gt;"OK",O44&lt;&gt;"OK",P44&lt;&gt;"OK",Q44&lt;&gt;"OK",R44&lt;&gt;"OK"),IF(OR(M44&gt;1,N44&lt;&gt;"OK"),"High Priority Review","Review"),"Ready")</x:f>
        <x:v>Ready</x:v>
      </x:c>
    </x:row>
    <x:row r="45" ht="26" customHeight="1">
      <x:c r="A45" s="236" t="n">
        <x:f>ROW('Appointments Raw'!A45)</x:f>
        <x:v>45</x:v>
      </x:c>
      <x:c r="B45" s="236" t="str">
        <x:f>'Appointments Raw'!A45</x:f>
        <x:v>APT-2026-041</x:v>
      </x:c>
      <x:c r="C45" s="236" t="str">
        <x:f>'Appointments Raw'!B45</x:f>
        <x:v>PT-DEMO-041</x:v>
      </x:c>
      <x:c r="D45" s="250" t="n">
        <x:f>'Appointments Raw'!C45</x:f>
        <x:v>46253</x:v>
      </x:c>
      <x:c r="E45" s="236" t="str">
        <x:f>'Appointments Raw'!D45</x:f>
        <x:v>12:00</x:v>
      </x:c>
      <x:c r="F45" s="236" t="str">
        <x:f>'Appointments Raw'!E45</x:f>
        <x:v>East Clinic</x:v>
      </x:c>
      <x:c r="G45" s="236" t="str">
        <x:f>'Appointments Raw'!F45</x:f>
        <x:v>Follow-up</x:v>
      </x:c>
      <x:c r="H45" s="236" t="str">
        <x:f>'Appointments Raw'!G45</x:f>
        <x:v>Confirmed</x:v>
      </x:c>
      <x:c r="I45" s="236" t="str">
        <x:f>'Appointments Raw'!H45</x:f>
        <x:v>Patient Portal</x:v>
      </x:c>
      <x:c r="J45" s="236" t="str">
        <x:f>IF('Appointments Raw'!I45="","",'Appointments Raw'!I45)</x:f>
        <x:v>Recorded</x:v>
      </x:c>
      <x:c r="K45" s="236" t="str">
        <x:f>IF('Appointments Raw'!J45="","",'Appointments Raw'!J45)</x:f>
      </x:c>
      <x:c r="L45" s="250" t="n">
        <x:f>'Appointments Raw'!K45</x:f>
        <x:v>46251</x:v>
      </x:c>
      <x:c r="M45" s="236" t="n">
        <x:f>COUNTIF('Appointments Raw'!$A$5:$A$54,B45)</x:f>
        <x:v>1</x:v>
      </x:c>
      <x:c r="N45" s="236" t="str">
        <x:f>IF(COUNTIF('Patient Registry'!$A$5:$A$49,C45)=1,"OK","Patient ID Not Found")</x:f>
        <x:v>OK</x:v>
      </x:c>
      <x:c r="O45" s="236" t="str">
        <x:f>IF(COUNTIF('References'!$D$5:$D$9,H45)=1,"OK","Invalid Status")</x:f>
        <x:v>OK</x:v>
      </x:c>
      <x:c r="P45" s="236" t="str">
        <x:f>IF(COUNTIF('References'!$F$5:$F$8,I45)=1,"OK","Invalid Channel")</x:f>
        <x:v>OK</x:v>
      </x:c>
      <x:c r="Q45" s="236" t="str">
        <x:f>IF(J45="","Missing Consent","OK")</x:f>
        <x:v>OK</x:v>
      </x:c>
      <x:c r="R45" s="236" t="str">
        <x:f>IF(AND(G45="Specialist Consultation",K45=""),"Missing Referral","OK")</x:f>
        <x:v>OK</x:v>
      </x:c>
      <x:c r="S45" s="236" t="str">
        <x:f>IF(OR(M45&gt;1,N45&lt;&gt;"OK",O45&lt;&gt;"OK",P45&lt;&gt;"OK",Q45&lt;&gt;"OK",R45&lt;&gt;"OK"),IF(OR(M45&gt;1,N45&lt;&gt;"OK"),"High Priority Review","Review"),"Ready")</x:f>
        <x:v>Ready</x:v>
      </x:c>
    </x:row>
    <x:row r="46" ht="26" customHeight="1">
      <x:c r="A46" s="234" t="n">
        <x:f>ROW('Appointments Raw'!A46)</x:f>
        <x:v>46</x:v>
      </x:c>
      <x:c r="B46" s="234" t="str">
        <x:f>'Appointments Raw'!A46</x:f>
        <x:v>APT-2026-042</x:v>
      </x:c>
      <x:c r="C46" s="234" t="str">
        <x:f>'Appointments Raw'!B46</x:f>
        <x:v>PT-DEMO-042</x:v>
      </x:c>
      <x:c r="D46" s="249" t="n">
        <x:f>'Appointments Raw'!C46</x:f>
        <x:v>46254</x:v>
      </x:c>
      <x:c r="E46" s="234" t="str">
        <x:f>'Appointments Raw'!D46</x:f>
        <x:v>13:30</x:v>
      </x:c>
      <x:c r="F46" s="234" t="str">
        <x:f>'Appointments Raw'!E46</x:f>
        <x:v>North Clinic</x:v>
      </x:c>
      <x:c r="G46" s="234" t="str">
        <x:f>'Appointments Raw'!F46</x:f>
        <x:v>Administrative Review</x:v>
      </x:c>
      <x:c r="H46" s="234" t="str">
        <x:f>'Appointments Raw'!G46</x:f>
        <x:v>Completed</x:v>
      </x:c>
      <x:c r="I46" s="234" t="str">
        <x:f>'Appointments Raw'!H46</x:f>
        <x:v>Phone Call</x:v>
      </x:c>
      <x:c r="J46" s="234" t="str">
        <x:f>IF('Appointments Raw'!I46="","",'Appointments Raw'!I46)</x:f>
        <x:v>Recorded</x:v>
      </x:c>
      <x:c r="K46" s="234" t="str">
        <x:f>IF('Appointments Raw'!J46="","",'Appointments Raw'!J46)</x:f>
      </x:c>
      <x:c r="L46" s="249" t="n">
        <x:f>'Appointments Raw'!K46</x:f>
        <x:v>46250</x:v>
      </x:c>
      <x:c r="M46" s="234" t="n">
        <x:f>COUNTIF('Appointments Raw'!$A$5:$A$54,B46)</x:f>
        <x:v>1</x:v>
      </x:c>
      <x:c r="N46" s="234" t="str">
        <x:f>IF(COUNTIF('Patient Registry'!$A$5:$A$49,C46)=1,"OK","Patient ID Not Found")</x:f>
        <x:v>OK</x:v>
      </x:c>
      <x:c r="O46" s="234" t="str">
        <x:f>IF(COUNTIF('References'!$D$5:$D$9,H46)=1,"OK","Invalid Status")</x:f>
        <x:v>OK</x:v>
      </x:c>
      <x:c r="P46" s="234" t="str">
        <x:f>IF(COUNTIF('References'!$F$5:$F$8,I46)=1,"OK","Invalid Channel")</x:f>
        <x:v>Invalid Channel</x:v>
      </x:c>
      <x:c r="Q46" s="234" t="str">
        <x:f>IF(J46="","Missing Consent","OK")</x:f>
        <x:v>OK</x:v>
      </x:c>
      <x:c r="R46" s="234" t="str">
        <x:f>IF(AND(G46="Specialist Consultation",K46=""),"Missing Referral","OK")</x:f>
        <x:v>OK</x:v>
      </x:c>
      <x:c r="S46" s="234" t="str">
        <x:f>IF(OR(M46&gt;1,N46&lt;&gt;"OK",O46&lt;&gt;"OK",P46&lt;&gt;"OK",Q46&lt;&gt;"OK",R46&lt;&gt;"OK"),IF(OR(M46&gt;1,N46&lt;&gt;"OK"),"High Priority Review","Review"),"Ready")</x:f>
        <x:v>Review</x:v>
      </x:c>
    </x:row>
    <x:row r="47" ht="26" customHeight="1">
      <x:c r="A47" s="236" t="n">
        <x:f>ROW('Appointments Raw'!A47)</x:f>
        <x:v>47</x:v>
      </x:c>
      <x:c r="B47" s="236" t="str">
        <x:f>'Appointments Raw'!A47</x:f>
        <x:v>APT-2026-043</x:v>
      </x:c>
      <x:c r="C47" s="236" t="str">
        <x:f>'Appointments Raw'!B47</x:f>
        <x:v>PT-DEMO-043</x:v>
      </x:c>
      <x:c r="D47" s="250" t="n">
        <x:f>'Appointments Raw'!C47</x:f>
        <x:v>46255</x:v>
      </x:c>
      <x:c r="E47" s="236" t="str">
        <x:f>'Appointments Raw'!D47</x:f>
        <x:v>13:00</x:v>
      </x:c>
      <x:c r="F47" s="236" t="str">
        <x:f>'Appointments Raw'!E47</x:f>
        <x:v>Central Clinic</x:v>
      </x:c>
      <x:c r="G47" s="236" t="str">
        <x:f>'Appointments Raw'!F47</x:f>
        <x:v>Vaccination Administration</x:v>
      </x:c>
      <x:c r="H47" s="236" t="str">
        <x:f>'Appointments Raw'!G47</x:f>
        <x:v>Cancelled</x:v>
      </x:c>
      <x:c r="I47" s="236" t="str">
        <x:f>'Appointments Raw'!H47</x:f>
        <x:v>Task Tracker</x:v>
      </x:c>
      <x:c r="J47" s="236" t="str">
        <x:f>IF('Appointments Raw'!I47="","",'Appointments Raw'!I47)</x:f>
        <x:v>Recorded</x:v>
      </x:c>
      <x:c r="K47" s="236" t="str">
        <x:f>IF('Appointments Raw'!J47="","",'Appointments Raw'!J47)</x:f>
      </x:c>
      <x:c r="L47" s="250" t="n">
        <x:f>'Appointments Raw'!K47</x:f>
        <x:v>46251</x:v>
      </x:c>
      <x:c r="M47" s="236" t="n">
        <x:f>COUNTIF('Appointments Raw'!$A$5:$A$54,B47)</x:f>
        <x:v>1</x:v>
      </x:c>
      <x:c r="N47" s="236" t="str">
        <x:f>IF(COUNTIF('Patient Registry'!$A$5:$A$49,C47)=1,"OK","Patient ID Not Found")</x:f>
        <x:v>OK</x:v>
      </x:c>
      <x:c r="O47" s="236" t="str">
        <x:f>IF(COUNTIF('References'!$D$5:$D$9,H47)=1,"OK","Invalid Status")</x:f>
        <x:v>OK</x:v>
      </x:c>
      <x:c r="P47" s="236" t="str">
        <x:f>IF(COUNTIF('References'!$F$5:$F$8,I47)=1,"OK","Invalid Channel")</x:f>
        <x:v>OK</x:v>
      </x:c>
      <x:c r="Q47" s="236" t="str">
        <x:f>IF(J47="","Missing Consent","OK")</x:f>
        <x:v>OK</x:v>
      </x:c>
      <x:c r="R47" s="236" t="str">
        <x:f>IF(AND(G47="Specialist Consultation",K47=""),"Missing Referral","OK")</x:f>
        <x:v>OK</x:v>
      </x:c>
      <x:c r="S47" s="236" t="str">
        <x:f>IF(OR(M47&gt;1,N47&lt;&gt;"OK",O47&lt;&gt;"OK",P47&lt;&gt;"OK",Q47&lt;&gt;"OK",R47&lt;&gt;"OK"),IF(OR(M47&gt;1,N47&lt;&gt;"OK"),"High Priority Review","Review"),"Ready")</x:f>
        <x:v>Ready</x:v>
      </x:c>
    </x:row>
    <x:row r="48" ht="26" customHeight="1">
      <x:c r="A48" s="234" t="n">
        <x:f>ROW('Appointments Raw'!A48)</x:f>
        <x:v>48</x:v>
      </x:c>
      <x:c r="B48" s="234" t="str">
        <x:f>'Appointments Raw'!A48</x:f>
        <x:v>APT-2026-044</x:v>
      </x:c>
      <x:c r="C48" s="234" t="str">
        <x:f>'Appointments Raw'!B48</x:f>
        <x:v>PT-DEMO-134</x:v>
      </x:c>
      <x:c r="D48" s="249" t="n">
        <x:f>'Appointments Raw'!C48</x:f>
        <x:v>46256</x:v>
      </x:c>
      <x:c r="E48" s="234" t="str">
        <x:f>'Appointments Raw'!D48</x:f>
        <x:v>14:30</x:v>
      </x:c>
      <x:c r="F48" s="234" t="str">
        <x:f>'Appointments Raw'!E48</x:f>
        <x:v>East Clinic</x:v>
      </x:c>
      <x:c r="G48" s="234" t="str">
        <x:f>'Appointments Raw'!F48</x:f>
        <x:v>General Consultation</x:v>
      </x:c>
      <x:c r="H48" s="234" t="str">
        <x:f>'Appointments Raw'!G48</x:f>
        <x:v>Reschedule Requested</x:v>
      </x:c>
      <x:c r="I48" s="234" t="str">
        <x:f>'Appointments Raw'!H48</x:f>
        <x:v>Secure Email</x:v>
      </x:c>
      <x:c r="J48" s="234" t="str">
        <x:f>IF('Appointments Raw'!I48="","",'Appointments Raw'!I48)</x:f>
      </x:c>
      <x:c r="K48" s="234" t="str">
        <x:f>IF('Appointments Raw'!J48="","",'Appointments Raw'!J48)</x:f>
      </x:c>
      <x:c r="L48" s="249" t="n">
        <x:f>'Appointments Raw'!K48</x:f>
        <x:v>46250</x:v>
      </x:c>
      <x:c r="M48" s="234" t="n">
        <x:f>COUNTIF('Appointments Raw'!$A$5:$A$54,B48)</x:f>
        <x:v>1</x:v>
      </x:c>
      <x:c r="N48" s="234" t="str">
        <x:f>IF(COUNTIF('Patient Registry'!$A$5:$A$49,C48)=1,"OK","Patient ID Not Found")</x:f>
        <x:v>Patient ID Not Found</x:v>
      </x:c>
      <x:c r="O48" s="234" t="str">
        <x:f>IF(COUNTIF('References'!$D$5:$D$9,H48)=1,"OK","Invalid Status")</x:f>
        <x:v>OK</x:v>
      </x:c>
      <x:c r="P48" s="234" t="str">
        <x:f>IF(COUNTIF('References'!$F$5:$F$8,I48)=1,"OK","Invalid Channel")</x:f>
        <x:v>OK</x:v>
      </x:c>
      <x:c r="Q48" s="234" t="str">
        <x:f>IF(J48="","Missing Consent","OK")</x:f>
        <x:v>Missing Consent</x:v>
      </x:c>
      <x:c r="R48" s="234" t="str">
        <x:f>IF(AND(G48="Specialist Consultation",K48=""),"Missing Referral","OK")</x:f>
        <x:v>OK</x:v>
      </x:c>
      <x:c r="S48" s="234" t="str">
        <x:f>IF(OR(M48&gt;1,N48&lt;&gt;"OK",O48&lt;&gt;"OK",P48&lt;&gt;"OK",Q48&lt;&gt;"OK",R48&lt;&gt;"OK"),IF(OR(M48&gt;1,N48&lt;&gt;"OK"),"High Priority Review","Review"),"Ready")</x:f>
        <x:v>High Priority Review</x:v>
      </x:c>
    </x:row>
    <x:row r="49" ht="26" customHeight="1">
      <x:c r="A49" s="236" t="n">
        <x:f>ROW('Appointments Raw'!A49)</x:f>
        <x:v>49</x:v>
      </x:c>
      <x:c r="B49" s="236" t="str">
        <x:f>'Appointments Raw'!A49</x:f>
        <x:v>APT-2026-045</x:v>
      </x:c>
      <x:c r="C49" s="236" t="str">
        <x:f>'Appointments Raw'!B49</x:f>
        <x:v>PT-DEMO-045</x:v>
      </x:c>
      <x:c r="D49" s="250" t="n">
        <x:f>'Appointments Raw'!C49</x:f>
        <x:v>46257</x:v>
      </x:c>
      <x:c r="E49" s="236" t="str">
        <x:f>'Appointments Raw'!D49</x:f>
        <x:v>14:00</x:v>
      </x:c>
      <x:c r="F49" s="236" t="str">
        <x:f>'Appointments Raw'!E49</x:f>
        <x:v>North Clinic</x:v>
      </x:c>
      <x:c r="G49" s="236" t="str">
        <x:f>'Appointments Raw'!F49</x:f>
        <x:v>Specialist Consultation</x:v>
      </x:c>
      <x:c r="H49" s="236" t="str">
        <x:f>'Appointments Raw'!G49</x:f>
        <x:v>Scheduled</x:v>
      </x:c>
      <x:c r="I49" s="236" t="str">
        <x:f>'Appointments Raw'!H49</x:f>
        <x:v>Patient Portal</x:v>
      </x:c>
      <x:c r="J49" s="236" t="str">
        <x:f>IF('Appointments Raw'!I49="","",'Appointments Raw'!I49)</x:f>
      </x:c>
      <x:c r="K49" s="236" t="str">
        <x:f>IF('Appointments Raw'!J49="","",'Appointments Raw'!J49)</x:f>
      </x:c>
      <x:c r="L49" s="250" t="n">
        <x:f>'Appointments Raw'!K49</x:f>
        <x:v>46251</x:v>
      </x:c>
      <x:c r="M49" s="236" t="n">
        <x:f>COUNTIF('Appointments Raw'!$A$5:$A$54,B49)</x:f>
        <x:v>1</x:v>
      </x:c>
      <x:c r="N49" s="236" t="str">
        <x:f>IF(COUNTIF('Patient Registry'!$A$5:$A$49,C49)=1,"OK","Patient ID Not Found")</x:f>
        <x:v>OK</x:v>
      </x:c>
      <x:c r="O49" s="236" t="str">
        <x:f>IF(COUNTIF('References'!$D$5:$D$9,H49)=1,"OK","Invalid Status")</x:f>
        <x:v>OK</x:v>
      </x:c>
      <x:c r="P49" s="236" t="str">
        <x:f>IF(COUNTIF('References'!$F$5:$F$8,I49)=1,"OK","Invalid Channel")</x:f>
        <x:v>OK</x:v>
      </x:c>
      <x:c r="Q49" s="236" t="str">
        <x:f>IF(J49="","Missing Consent","OK")</x:f>
        <x:v>Missing Consent</x:v>
      </x:c>
      <x:c r="R49" s="236" t="str">
        <x:f>IF(AND(G49="Specialist Consultation",K49=""),"Missing Referral","OK")</x:f>
        <x:v>Missing Referral</x:v>
      </x:c>
      <x:c r="S49" s="236" t="str">
        <x:f>IF(OR(M49&gt;1,N49&lt;&gt;"OK",O49&lt;&gt;"OK",P49&lt;&gt;"OK",Q49&lt;&gt;"OK",R49&lt;&gt;"OK"),IF(OR(M49&gt;1,N49&lt;&gt;"OK"),"High Priority Review","Review"),"Ready")</x:f>
        <x:v>Review</x:v>
      </x:c>
    </x:row>
    <x:row r="50" ht="26" customHeight="1">
      <x:c r="A50" s="234" t="n">
        <x:f>ROW('Appointments Raw'!A50)</x:f>
        <x:v>50</x:v>
      </x:c>
      <x:c r="B50" s="234" t="str">
        <x:f>'Appointments Raw'!A50</x:f>
        <x:v>APT-2026-046</x:v>
      </x:c>
      <x:c r="C50" s="234" t="str">
        <x:f>'Appointments Raw'!B50</x:f>
        <x:v>PT-DEMO-001</x:v>
      </x:c>
      <x:c r="D50" s="249" t="n">
        <x:f>'Appointments Raw'!C50</x:f>
        <x:v>46258</x:v>
      </x:c>
      <x:c r="E50" s="234" t="str">
        <x:f>'Appointments Raw'!D50</x:f>
        <x:v>15:30</x:v>
      </x:c>
      <x:c r="F50" s="234" t="str">
        <x:f>'Appointments Raw'!E50</x:f>
        <x:v>Central Clinic</x:v>
      </x:c>
      <x:c r="G50" s="234" t="str">
        <x:f>'Appointments Raw'!F50</x:f>
        <x:v>Administrative Review</x:v>
      </x:c>
      <x:c r="H50" s="234" t="str">
        <x:f>'Appointments Raw'!G50</x:f>
        <x:v>Confirmed</x:v>
      </x:c>
      <x:c r="I50" s="234" t="str">
        <x:f>'Appointments Raw'!H50</x:f>
        <x:v>Secure Chat</x:v>
      </x:c>
      <x:c r="J50" s="234" t="str">
        <x:f>IF('Appointments Raw'!I50="","",'Appointments Raw'!I50)</x:f>
        <x:v>Recorded</x:v>
      </x:c>
      <x:c r="K50" s="234" t="str">
        <x:f>IF('Appointments Raw'!J50="","",'Appointments Raw'!J50)</x:f>
      </x:c>
      <x:c r="L50" s="249" t="n">
        <x:f>'Appointments Raw'!K50</x:f>
        <x:v>46250</x:v>
      </x:c>
      <x:c r="M50" s="234" t="n">
        <x:f>COUNTIF('Appointments Raw'!$A$5:$A$54,B50)</x:f>
        <x:v>1</x:v>
      </x:c>
      <x:c r="N50" s="234" t="str">
        <x:f>IF(COUNTIF('Patient Registry'!$A$5:$A$49,C50)=1,"OK","Patient ID Not Found")</x:f>
        <x:v>OK</x:v>
      </x:c>
      <x:c r="O50" s="234" t="str">
        <x:f>IF(COUNTIF('References'!$D$5:$D$9,H50)=1,"OK","Invalid Status")</x:f>
        <x:v>OK</x:v>
      </x:c>
      <x:c r="P50" s="234" t="str">
        <x:f>IF(COUNTIF('References'!$F$5:$F$8,I50)=1,"OK","Invalid Channel")</x:f>
        <x:v>OK</x:v>
      </x:c>
      <x:c r="Q50" s="234" t="str">
        <x:f>IF(J50="","Missing Consent","OK")</x:f>
        <x:v>OK</x:v>
      </x:c>
      <x:c r="R50" s="234" t="str">
        <x:f>IF(AND(G50="Specialist Consultation",K50=""),"Missing Referral","OK")</x:f>
        <x:v>OK</x:v>
      </x:c>
      <x:c r="S50" s="234" t="str">
        <x:f>IF(OR(M50&gt;1,N50&lt;&gt;"OK",O50&lt;&gt;"OK",P50&lt;&gt;"OK",Q50&lt;&gt;"OK",R50&lt;&gt;"OK"),IF(OR(M50&gt;1,N50&lt;&gt;"OK"),"High Priority Review","Review"),"Ready")</x:f>
        <x:v>Ready</x:v>
      </x:c>
    </x:row>
    <x:row r="51" ht="26" customHeight="1">
      <x:c r="A51" s="236" t="n">
        <x:f>ROW('Appointments Raw'!A51)</x:f>
        <x:v>51</x:v>
      </x:c>
      <x:c r="B51" s="236" t="str">
        <x:f>'Appointments Raw'!A51</x:f>
        <x:v>APT-2026-047</x:v>
      </x:c>
      <x:c r="C51" s="236" t="str">
        <x:f>'Appointments Raw'!B51</x:f>
        <x:v>PT-DEMO-002</x:v>
      </x:c>
      <x:c r="D51" s="250" t="n">
        <x:f>'Appointments Raw'!C51</x:f>
        <x:v>46259</x:v>
      </x:c>
      <x:c r="E51" s="236" t="str">
        <x:f>'Appointments Raw'!D51</x:f>
        <x:v>15:00</x:v>
      </x:c>
      <x:c r="F51" s="236" t="str">
        <x:f>'Appointments Raw'!E51</x:f>
        <x:v>East Clinic</x:v>
      </x:c>
      <x:c r="G51" s="236" t="str">
        <x:f>'Appointments Raw'!F51</x:f>
        <x:v>Vaccination Administration</x:v>
      </x:c>
      <x:c r="H51" s="236" t="str">
        <x:f>'Appointments Raw'!G51</x:f>
        <x:v>Pending Call</x:v>
      </x:c>
      <x:c r="I51" s="236" t="str">
        <x:f>'Appointments Raw'!H51</x:f>
        <x:v>Task Tracker</x:v>
      </x:c>
      <x:c r="J51" s="236" t="str">
        <x:f>IF('Appointments Raw'!I51="","",'Appointments Raw'!I51)</x:f>
        <x:v>Recorded</x:v>
      </x:c>
      <x:c r="K51" s="236" t="str">
        <x:f>IF('Appointments Raw'!J51="","",'Appointments Raw'!J51)</x:f>
      </x:c>
      <x:c r="L51" s="250" t="n">
        <x:f>'Appointments Raw'!K51</x:f>
        <x:v>46251</x:v>
      </x:c>
      <x:c r="M51" s="236" t="n">
        <x:f>COUNTIF('Appointments Raw'!$A$5:$A$54,B51)</x:f>
        <x:v>1</x:v>
      </x:c>
      <x:c r="N51" s="236" t="str">
        <x:f>IF(COUNTIF('Patient Registry'!$A$5:$A$49,C51)=1,"OK","Patient ID Not Found")</x:f>
        <x:v>OK</x:v>
      </x:c>
      <x:c r="O51" s="236" t="str">
        <x:f>IF(COUNTIF('References'!$D$5:$D$9,H51)=1,"OK","Invalid Status")</x:f>
        <x:v>Invalid Status</x:v>
      </x:c>
      <x:c r="P51" s="236" t="str">
        <x:f>IF(COUNTIF('References'!$F$5:$F$8,I51)=1,"OK","Invalid Channel")</x:f>
        <x:v>OK</x:v>
      </x:c>
      <x:c r="Q51" s="236" t="str">
        <x:f>IF(J51="","Missing Consent","OK")</x:f>
        <x:v>OK</x:v>
      </x:c>
      <x:c r="R51" s="236" t="str">
        <x:f>IF(AND(G51="Specialist Consultation",K51=""),"Missing Referral","OK")</x:f>
        <x:v>OK</x:v>
      </x:c>
      <x:c r="S51" s="236" t="str">
        <x:f>IF(OR(M51&gt;1,N51&lt;&gt;"OK",O51&lt;&gt;"OK",P51&lt;&gt;"OK",Q51&lt;&gt;"OK",R51&lt;&gt;"OK"),IF(OR(M51&gt;1,N51&lt;&gt;"OK"),"High Priority Review","Review"),"Ready")</x:f>
        <x:v>Review</x:v>
      </x:c>
    </x:row>
    <x:row r="52" ht="26" customHeight="1">
      <x:c r="A52" s="234" t="n">
        <x:f>ROW('Appointments Raw'!A52)</x:f>
        <x:v>52</x:v>
      </x:c>
      <x:c r="B52" s="234" t="str">
        <x:f>'Appointments Raw'!A52</x:f>
        <x:v>APT-2026-048</x:v>
      </x:c>
      <x:c r="C52" s="234" t="str">
        <x:f>'Appointments Raw'!B52</x:f>
        <x:v>PT-DEMO-003</x:v>
      </x:c>
      <x:c r="D52" s="249" t="n">
        <x:f>'Appointments Raw'!C52</x:f>
        <x:v>46260</x:v>
      </x:c>
      <x:c r="E52" s="234" t="str">
        <x:f>'Appointments Raw'!D52</x:f>
        <x:v>08:30</x:v>
      </x:c>
      <x:c r="F52" s="234" t="str">
        <x:f>'Appointments Raw'!E52</x:f>
        <x:v>North Clinic</x:v>
      </x:c>
      <x:c r="G52" s="234" t="str">
        <x:f>'Appointments Raw'!F52</x:f>
        <x:v>General Consultation</x:v>
      </x:c>
      <x:c r="H52" s="234" t="str">
        <x:f>'Appointments Raw'!G52</x:f>
        <x:v>Scheduled</x:v>
      </x:c>
      <x:c r="I52" s="234" t="str">
        <x:f>'Appointments Raw'!H52</x:f>
        <x:v>Secure Email</x:v>
      </x:c>
      <x:c r="J52" s="234" t="str">
        <x:f>IF('Appointments Raw'!I52="","",'Appointments Raw'!I52)</x:f>
        <x:v>Recorded</x:v>
      </x:c>
      <x:c r="K52" s="234" t="str">
        <x:f>IF('Appointments Raw'!J52="","",'Appointments Raw'!J52)</x:f>
      </x:c>
      <x:c r="L52" s="249" t="n">
        <x:f>'Appointments Raw'!K52</x:f>
        <x:v>46244</x:v>
      </x:c>
      <x:c r="M52" s="234" t="n">
        <x:f>COUNTIF('Appointments Raw'!$A$5:$A$54,B52)</x:f>
        <x:v>1</x:v>
      </x:c>
      <x:c r="N52" s="234" t="str">
        <x:f>IF(COUNTIF('Patient Registry'!$A$5:$A$49,C52)=1,"OK","Patient ID Not Found")</x:f>
        <x:v>OK</x:v>
      </x:c>
      <x:c r="O52" s="234" t="str">
        <x:f>IF(COUNTIF('References'!$D$5:$D$9,H52)=1,"OK","Invalid Status")</x:f>
        <x:v>OK</x:v>
      </x:c>
      <x:c r="P52" s="234" t="str">
        <x:f>IF(COUNTIF('References'!$F$5:$F$8,I52)=1,"OK","Invalid Channel")</x:f>
        <x:v>OK</x:v>
      </x:c>
      <x:c r="Q52" s="234" t="str">
        <x:f>IF(J52="","Missing Consent","OK")</x:f>
        <x:v>OK</x:v>
      </x:c>
      <x:c r="R52" s="234" t="str">
        <x:f>IF(AND(G52="Specialist Consultation",K52=""),"Missing Referral","OK")</x:f>
        <x:v>OK</x:v>
      </x:c>
      <x:c r="S52" s="234" t="str">
        <x:f>IF(OR(M52&gt;1,N52&lt;&gt;"OK",O52&lt;&gt;"OK",P52&lt;&gt;"OK",Q52&lt;&gt;"OK",R52&lt;&gt;"OK"),IF(OR(M52&gt;1,N52&lt;&gt;"OK"),"High Priority Review","Review"),"Ready")</x:f>
        <x:v>Ready</x:v>
      </x:c>
    </x:row>
    <x:row r="53" ht="26" customHeight="1">
      <x:c r="A53" s="236" t="n">
        <x:f>ROW('Appointments Raw'!A53)</x:f>
        <x:v>53</x:v>
      </x:c>
      <x:c r="B53" s="236" t="str">
        <x:f>'Appointments Raw'!A53</x:f>
        <x:v>APT-2026-049</x:v>
      </x:c>
      <x:c r="C53" s="236" t="str">
        <x:f>'Appointments Raw'!B53</x:f>
        <x:v>PT-DEMO-004</x:v>
      </x:c>
      <x:c r="D53" s="250" t="n">
        <x:f>'Appointments Raw'!C53</x:f>
        <x:v>46261</x:v>
      </x:c>
      <x:c r="E53" s="236" t="str">
        <x:f>'Appointments Raw'!D53</x:f>
        <x:v>08:00</x:v>
      </x:c>
      <x:c r="F53" s="236" t="str">
        <x:f>'Appointments Raw'!E53</x:f>
        <x:v>Central Clinic</x:v>
      </x:c>
      <x:c r="G53" s="236" t="str">
        <x:f>'Appointments Raw'!F53</x:f>
        <x:v>Follow-up</x:v>
      </x:c>
      <x:c r="H53" s="236" t="str">
        <x:f>'Appointments Raw'!G53</x:f>
        <x:v>Reschedule Requested</x:v>
      </x:c>
      <x:c r="I53" s="236" t="str">
        <x:f>'Appointments Raw'!H53</x:f>
        <x:v>Patient Portal</x:v>
      </x:c>
      <x:c r="J53" s="236" t="str">
        <x:f>IF('Appointments Raw'!I53="","",'Appointments Raw'!I53)</x:f>
        <x:v>Recorded</x:v>
      </x:c>
      <x:c r="K53" s="236" t="str">
        <x:f>IF('Appointments Raw'!J53="","",'Appointments Raw'!J53)</x:f>
      </x:c>
      <x:c r="L53" s="250" t="n">
        <x:f>'Appointments Raw'!K53</x:f>
        <x:v>46251</x:v>
      </x:c>
      <x:c r="M53" s="236" t="n">
        <x:f>COUNTIF('Appointments Raw'!$A$5:$A$54,B53)</x:f>
        <x:v>1</x:v>
      </x:c>
      <x:c r="N53" s="236" t="str">
        <x:f>IF(COUNTIF('Patient Registry'!$A$5:$A$49,C53)=1,"OK","Patient ID Not Found")</x:f>
        <x:v>OK</x:v>
      </x:c>
      <x:c r="O53" s="236" t="str">
        <x:f>IF(COUNTIF('References'!$D$5:$D$9,H53)=1,"OK","Invalid Status")</x:f>
        <x:v>OK</x:v>
      </x:c>
      <x:c r="P53" s="236" t="str">
        <x:f>IF(COUNTIF('References'!$F$5:$F$8,I53)=1,"OK","Invalid Channel")</x:f>
        <x:v>OK</x:v>
      </x:c>
      <x:c r="Q53" s="236" t="str">
        <x:f>IF(J53="","Missing Consent","OK")</x:f>
        <x:v>OK</x:v>
      </x:c>
      <x:c r="R53" s="236" t="str">
        <x:f>IF(AND(G53="Specialist Consultation",K53=""),"Missing Referral","OK")</x:f>
        <x:v>OK</x:v>
      </x:c>
      <x:c r="S53" s="236" t="str">
        <x:f>IF(OR(M53&gt;1,N53&lt;&gt;"OK",O53&lt;&gt;"OK",P53&lt;&gt;"OK",Q53&lt;&gt;"OK",R53&lt;&gt;"OK"),IF(OR(M53&gt;1,N53&lt;&gt;"OK"),"High Priority Review","Review"),"Ready")</x:f>
        <x:v>Ready</x:v>
      </x:c>
    </x:row>
    <x:row r="54" ht="26" customHeight="1">
      <x:c r="A54" s="251" t="n">
        <x:f>ROW('Appointments Raw'!A54)</x:f>
        <x:v>54</x:v>
      </x:c>
      <x:c r="B54" s="251" t="str">
        <x:f>'Appointments Raw'!A54</x:f>
        <x:v>APT-2026-050</x:v>
      </x:c>
      <x:c r="C54" s="251" t="str">
        <x:f>'Appointments Raw'!B54</x:f>
        <x:v>PT-DEMO-005</x:v>
      </x:c>
      <x:c r="D54" s="252" t="n">
        <x:f>'Appointments Raw'!C54</x:f>
        <x:v>46252</x:v>
      </x:c>
      <x:c r="E54" s="251" t="str">
        <x:f>'Appointments Raw'!D54</x:f>
        <x:v>09:30</x:v>
      </x:c>
      <x:c r="F54" s="251" t="str">
        <x:f>'Appointments Raw'!E54</x:f>
        <x:v>East Clinic</x:v>
      </x:c>
      <x:c r="G54" s="251" t="str">
        <x:f>'Appointments Raw'!F54</x:f>
        <x:v>Administrative Review</x:v>
      </x:c>
      <x:c r="H54" s="251" t="str">
        <x:f>'Appointments Raw'!G54</x:f>
        <x:v>Scheduled</x:v>
      </x:c>
      <x:c r="I54" s="251" t="str">
        <x:f>'Appointments Raw'!H54</x:f>
        <x:v>Secure Chat</x:v>
      </x:c>
      <x:c r="J54" s="251" t="str">
        <x:f>IF('Appointments Raw'!I54="","",'Appointments Raw'!I54)</x:f>
        <x:v>Recorded</x:v>
      </x:c>
      <x:c r="K54" s="251" t="str">
        <x:f>IF('Appointments Raw'!J54="","",'Appointments Raw'!J54)</x:f>
      </x:c>
      <x:c r="L54" s="252" t="n">
        <x:f>'Appointments Raw'!K54</x:f>
        <x:v>46250</x:v>
      </x:c>
      <x:c r="M54" s="251" t="n">
        <x:f>COUNTIF('Appointments Raw'!$A$5:$A$54,B54)</x:f>
        <x:v>1</x:v>
      </x:c>
      <x:c r="N54" s="251" t="str">
        <x:f>IF(COUNTIF('Patient Registry'!$A$5:$A$49,C54)=1,"OK","Patient ID Not Found")</x:f>
        <x:v>OK</x:v>
      </x:c>
      <x:c r="O54" s="251" t="str">
        <x:f>IF(COUNTIF('References'!$D$5:$D$9,H54)=1,"OK","Invalid Status")</x:f>
        <x:v>OK</x:v>
      </x:c>
      <x:c r="P54" s="251" t="str">
        <x:f>IF(COUNTIF('References'!$F$5:$F$8,I54)=1,"OK","Invalid Channel")</x:f>
        <x:v>OK</x:v>
      </x:c>
      <x:c r="Q54" s="251" t="str">
        <x:f>IF(J54="","Missing Consent","OK")</x:f>
        <x:v>OK</x:v>
      </x:c>
      <x:c r="R54" s="251" t="str">
        <x:f>IF(AND(G54="Specialist Consultation",K54=""),"Missing Referral","OK")</x:f>
        <x:v>OK</x:v>
      </x:c>
      <x:c r="S54" s="251" t="str">
        <x:f>IF(OR(M54&gt;1,N54&lt;&gt;"OK",O54&lt;&gt;"OK",P54&lt;&gt;"OK",Q54&lt;&gt;"OK",R54&lt;&gt;"OK"),IF(OR(M54&gt;1,N54&lt;&gt;"OK"),"High Priority Review","Review"),"Ready")</x:f>
        <x:v>Ready</x:v>
      </x:c>
    </x:row>
  </x:sheetData>
  <x:mergeCells>
    <x:mergeCell ref="A1:S1"/>
    <x:mergeCell ref="A2:S2"/>
  </x:mergeCells>
  <x:conditionalFormatting sqref="S5:S54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High Priority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9" hidden="0" customWidth="1"/>
    <x:col min="5" max="5" width="18" hidden="0" customWidth="1"/>
    <x:col min="6" max="6" width="22" hidden="0" customWidth="1"/>
    <x:col min="7" max="7" width="16" hidden="0" customWidth="1"/>
    <x:col min="8" max="8" width="15" hidden="0" customWidth="1"/>
    <x:col min="9" max="9" width="18" hidden="0" customWidth="1"/>
    <x:col min="10" max="10" width="17" hidden="0" customWidth="1"/>
    <x:col min="11" max="11" width="20" hidden="0" customWidth="1"/>
    <x:col min="12" max="12" width="22" hidden="0" customWidth="1"/>
  </x:cols>
  <x:sheetData>
    <x:row r="1" ht="36" customHeight="1">
      <x:c r="A1" s="220" t="str">
        <x:v>PROJ-009 | SCHEDULE CONTROL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</x:row>
    <x:row r="2" ht="25" customHeight="1">
      <x:c r="A2" s="221" t="str">
        <x:v>Formula-linked slot conflicts and written follow-up timing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</x:row>
    <x:row r="3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</x:row>
    <x:row r="4" ht="34" customHeight="1">
      <x:c r="A4" s="223" t="str">
        <x:v>Appointment ID</x:v>
      </x:c>
      <x:c r="B4" s="223" t="str">
        <x:v>Patient ID</x:v>
      </x:c>
      <x:c r="C4" s="223" t="str">
        <x:v>Date</x:v>
      </x:c>
      <x:c r="D4" s="223" t="str">
        <x:v>Time</x:v>
      </x:c>
      <x:c r="E4" s="223" t="str">
        <x:v>Clinic</x:v>
      </x:c>
      <x:c r="F4" s="223" t="str">
        <x:v>Status</x:v>
      </x:c>
      <x:c r="G4" s="223" t="str">
        <x:v>Request Received</x:v>
      </x:c>
      <x:c r="H4" s="223" t="str">
        <x:v>Same Slot Count</x:v>
      </x:c>
      <x:c r="I4" s="223" t="str">
        <x:v>Slot Check</x:v>
      </x:c>
      <x:c r="J4" s="223" t="str">
        <x:v>Follow-up Age (Days)</x:v>
      </x:c>
      <x:c r="K4" s="223" t="str">
        <x:v>Follow-up Check</x:v>
      </x:c>
      <x:c r="L4" s="223" t="str">
        <x:v>Final Control</x:v>
      </x:c>
    </x:row>
    <x:row r="5" ht="26" customHeight="1">
      <x:c r="A5" s="232" t="str">
        <x:f>'Appointments Raw'!A5</x:f>
        <x:v>APT-2026-001</x:v>
      </x:c>
      <x:c r="B5" s="232" t="str">
        <x:f>'Appointments Raw'!B5</x:f>
        <x:v>PT-DEMO-001</x:v>
      </x:c>
      <x:c r="C5" s="248" t="n">
        <x:f>'Appointments Raw'!C5</x:f>
        <x:v>46253</x:v>
      </x:c>
      <x:c r="D5" s="232" t="str">
        <x:f>'Appointments Raw'!D5</x:f>
        <x:v>08:00</x:v>
      </x:c>
      <x:c r="E5" s="232" t="str">
        <x:f>'Appointments Raw'!E5</x:f>
        <x:v>Central Clinic</x:v>
      </x:c>
      <x:c r="F5" s="232" t="str">
        <x:f>'Appointments Raw'!G5</x:f>
        <x:v>Confirmed</x:v>
      </x:c>
      <x:c r="G5" s="248" t="n">
        <x:f>'Appointments Raw'!K5</x:f>
        <x:v>46251</x:v>
      </x:c>
      <x:c r="H5" s="232" t="n">
        <x:f>COUNTIFS('Appointments Raw'!$C$5:$C$54,C5,'Appointments Raw'!$D$5:$D$54,D5,'Appointments Raw'!$E$5:$E$54,E5)</x:f>
        <x:v>1</x:v>
      </x:c>
      <x:c r="I5" s="232" t="str">
        <x:f>IF(H5&gt;1,"Slot Conflict","OK")</x:f>
        <x:v>OK</x:v>
      </x:c>
      <x:c r="J5" s="232" t="n">
        <x:f>'References'!$B$13-G5</x:f>
        <x:v>0</x:v>
      </x:c>
      <x:c r="K5" s="232" t="str">
        <x:f>IF(AND(J5&gt;'References'!$B$14,F5&lt;&gt;"Completed",F5&lt;&gt;"Cancelled"),"Overdue Follow-up","OK")</x:f>
        <x:v>OK</x:v>
      </x:c>
      <x:c r="L5" s="232" t="str">
        <x:f>IF(OR(I5&lt;&gt;"OK",K5&lt;&gt;"OK"),IF(I5&lt;&gt;"OK","High Priority Review","Review"),"Ready")</x:f>
        <x:v>Ready</x:v>
      </x:c>
    </x:row>
    <x:row r="6" ht="26" customHeight="1">
      <x:c r="A6" s="234" t="str">
        <x:f>'Appointments Raw'!A6</x:f>
        <x:v>APT-2026-002</x:v>
      </x:c>
      <x:c r="B6" s="234" t="str">
        <x:f>'Appointments Raw'!B6</x:f>
        <x:v>PT-DEMO-002</x:v>
      </x:c>
      <x:c r="C6" s="249" t="n">
        <x:f>'Appointments Raw'!C6</x:f>
        <x:v>46254</x:v>
      </x:c>
      <x:c r="D6" s="234" t="str">
        <x:f>'Appointments Raw'!D6</x:f>
        <x:v>09:30</x:v>
      </x:c>
      <x:c r="E6" s="234" t="str">
        <x:f>'Appointments Raw'!E6</x:f>
        <x:v>East Clinic</x:v>
      </x:c>
      <x:c r="F6" s="234" t="str">
        <x:f>'Appointments Raw'!G6</x:f>
        <x:v>Completed</x:v>
      </x:c>
      <x:c r="G6" s="249" t="n">
        <x:f>'Appointments Raw'!K6</x:f>
        <x:v>46250</x:v>
      </x:c>
      <x:c r="H6" s="234" t="n">
        <x:f>COUNTIFS('Appointments Raw'!$C$5:$C$54,C6,'Appointments Raw'!$D$5:$D$54,D6,'Appointments Raw'!$E$5:$E$54,E6)</x:f>
        <x:v>1</x:v>
      </x:c>
      <x:c r="I6" s="234" t="str">
        <x:f>IF(H6&gt;1,"Slot Conflict","OK")</x:f>
        <x:v>OK</x:v>
      </x:c>
      <x:c r="J6" s="234" t="n">
        <x:f>'References'!$B$13-G6</x:f>
        <x:v>1</x:v>
      </x:c>
      <x:c r="K6" s="234" t="str">
        <x:f>IF(AND(J6&gt;'References'!$B$14,F6&lt;&gt;"Completed",F6&lt;&gt;"Cancelled"),"Overdue Follow-up","OK")</x:f>
        <x:v>OK</x:v>
      </x:c>
      <x:c r="L6" s="234" t="str">
        <x:f>IF(OR(I6&lt;&gt;"OK",K6&lt;&gt;"OK"),IF(I6&lt;&gt;"OK","High Priority Review","Review"),"Ready")</x:f>
        <x:v>Ready</x:v>
      </x:c>
    </x:row>
    <x:row r="7" ht="26" customHeight="1">
      <x:c r="A7" s="236" t="str">
        <x:f>'Appointments Raw'!A7</x:f>
        <x:v>APT-2026-003</x:v>
      </x:c>
      <x:c r="B7" s="236" t="str">
        <x:f>'Appointments Raw'!B7</x:f>
        <x:v>PT-DEMO-003</x:v>
      </x:c>
      <x:c r="C7" s="250" t="n">
        <x:f>'Appointments Raw'!C7</x:f>
        <x:v>46255</x:v>
      </x:c>
      <x:c r="D7" s="236" t="str">
        <x:f>'Appointments Raw'!D7</x:f>
        <x:v>09:00</x:v>
      </x:c>
      <x:c r="E7" s="236" t="str">
        <x:f>'Appointments Raw'!E7</x:f>
        <x:v>North Clinic</x:v>
      </x:c>
      <x:c r="F7" s="236" t="str">
        <x:f>'Appointments Raw'!G7</x:f>
        <x:v>Cancelled</x:v>
      </x:c>
      <x:c r="G7" s="250" t="n">
        <x:f>'Appointments Raw'!K7</x:f>
        <x:v>46251</x:v>
      </x:c>
      <x:c r="H7" s="236" t="n">
        <x:f>COUNTIFS('Appointments Raw'!$C$5:$C$54,C7,'Appointments Raw'!$D$5:$D$54,D7,'Appointments Raw'!$E$5:$E$54,E7)</x:f>
        <x:v>1</x:v>
      </x:c>
      <x:c r="I7" s="236" t="str">
        <x:f>IF(H7&gt;1,"Slot Conflict","OK")</x:f>
        <x:v>OK</x:v>
      </x:c>
      <x:c r="J7" s="236" t="n">
        <x:f>'References'!$B$13-G7</x:f>
        <x:v>0</x:v>
      </x:c>
      <x:c r="K7" s="236" t="str">
        <x:f>IF(AND(J7&gt;'References'!$B$14,F7&lt;&gt;"Completed",F7&lt;&gt;"Cancelled"),"Overdue Follow-up","OK")</x:f>
        <x:v>OK</x:v>
      </x:c>
      <x:c r="L7" s="236" t="str">
        <x:f>IF(OR(I7&lt;&gt;"OK",K7&lt;&gt;"OK"),IF(I7&lt;&gt;"OK","High Priority Review","Review"),"Ready")</x:f>
        <x:v>Ready</x:v>
      </x:c>
    </x:row>
    <x:row r="8" ht="26" customHeight="1">
      <x:c r="A8" s="234" t="str">
        <x:f>'Appointments Raw'!A8</x:f>
        <x:v>APT-2026-004</x:v>
      </x:c>
      <x:c r="B8" s="234" t="str">
        <x:f>'Appointments Raw'!B8</x:f>
        <x:v>PT-DEMO-004</x:v>
      </x:c>
      <x:c r="C8" s="249" t="n">
        <x:f>'Appointments Raw'!C8</x:f>
        <x:v>46256</x:v>
      </x:c>
      <x:c r="D8" s="234" t="str">
        <x:f>'Appointments Raw'!D8</x:f>
        <x:v>10:30</x:v>
      </x:c>
      <x:c r="E8" s="234" t="str">
        <x:f>'Appointments Raw'!E8</x:f>
        <x:v>Central Clinic</x:v>
      </x:c>
      <x:c r="F8" s="234" t="str">
        <x:f>'Appointments Raw'!G8</x:f>
        <x:v>Reschedule Requested</x:v>
      </x:c>
      <x:c r="G8" s="249" t="n">
        <x:f>'Appointments Raw'!K8</x:f>
        <x:v>46250</x:v>
      </x:c>
      <x:c r="H8" s="234" t="n">
        <x:f>COUNTIFS('Appointments Raw'!$C$5:$C$54,C8,'Appointments Raw'!$D$5:$D$54,D8,'Appointments Raw'!$E$5:$E$54,E8)</x:f>
        <x:v>1</x:v>
      </x:c>
      <x:c r="I8" s="234" t="str">
        <x:f>IF(H8&gt;1,"Slot Conflict","OK")</x:f>
        <x:v>OK</x:v>
      </x:c>
      <x:c r="J8" s="234" t="n">
        <x:f>'References'!$B$13-G8</x:f>
        <x:v>1</x:v>
      </x:c>
      <x:c r="K8" s="234" t="str">
        <x:f>IF(AND(J8&gt;'References'!$B$14,F8&lt;&gt;"Completed",F8&lt;&gt;"Cancelled"),"Overdue Follow-up","OK")</x:f>
        <x:v>OK</x:v>
      </x:c>
      <x:c r="L8" s="234" t="str">
        <x:f>IF(OR(I8&lt;&gt;"OK",K8&lt;&gt;"OK"),IF(I8&lt;&gt;"OK","High Priority Review","Review"),"Ready")</x:f>
        <x:v>Ready</x:v>
      </x:c>
    </x:row>
    <x:row r="9" ht="26" customHeight="1">
      <x:c r="A9" s="236" t="str">
        <x:f>'Appointments Raw'!A9</x:f>
        <x:v>APT-2026-005</x:v>
      </x:c>
      <x:c r="B9" s="236" t="str">
        <x:f>'Appointments Raw'!B9</x:f>
        <x:v>PT-DEMO-005</x:v>
      </x:c>
      <x:c r="C9" s="250" t="n">
        <x:f>'Appointments Raw'!C9</x:f>
        <x:v>46257</x:v>
      </x:c>
      <x:c r="D9" s="236" t="str">
        <x:f>'Appointments Raw'!D9</x:f>
        <x:v>10:00</x:v>
      </x:c>
      <x:c r="E9" s="236" t="str">
        <x:f>'Appointments Raw'!E9</x:f>
        <x:v>East Clinic</x:v>
      </x:c>
      <x:c r="F9" s="236" t="str">
        <x:f>'Appointments Raw'!G9</x:f>
        <x:v>Scheduled</x:v>
      </x:c>
      <x:c r="G9" s="250" t="n">
        <x:f>'Appointments Raw'!K9</x:f>
        <x:v>46251</x:v>
      </x:c>
      <x:c r="H9" s="236" t="n">
        <x:f>COUNTIFS('Appointments Raw'!$C$5:$C$54,C9,'Appointments Raw'!$D$5:$D$54,D9,'Appointments Raw'!$E$5:$E$54,E9)</x:f>
        <x:v>1</x:v>
      </x:c>
      <x:c r="I9" s="236" t="str">
        <x:f>IF(H9&gt;1,"Slot Conflict","OK")</x:f>
        <x:v>OK</x:v>
      </x:c>
      <x:c r="J9" s="236" t="n">
        <x:f>'References'!$B$13-G9</x:f>
        <x:v>0</x:v>
      </x:c>
      <x:c r="K9" s="236" t="str">
        <x:f>IF(AND(J9&gt;'References'!$B$14,F9&lt;&gt;"Completed",F9&lt;&gt;"Cancelled"),"Overdue Follow-up","OK")</x:f>
        <x:v>OK</x:v>
      </x:c>
      <x:c r="L9" s="236" t="str">
        <x:f>IF(OR(I9&lt;&gt;"OK",K9&lt;&gt;"OK"),IF(I9&lt;&gt;"OK","High Priority Review","Review"),"Ready")</x:f>
        <x:v>Ready</x:v>
      </x:c>
    </x:row>
    <x:row r="10" ht="26" customHeight="1">
      <x:c r="A10" s="234" t="str">
        <x:f>'Appointments Raw'!A10</x:f>
        <x:v>APT-2026-006</x:v>
      </x:c>
      <x:c r="B10" s="234" t="str">
        <x:f>'Appointments Raw'!B10</x:f>
        <x:v>PT-DEMO-006</x:v>
      </x:c>
      <x:c r="C10" s="249" t="n">
        <x:f>'Appointments Raw'!C10</x:f>
        <x:v>46258</x:v>
      </x:c>
      <x:c r="D10" s="234" t="str">
        <x:f>'Appointments Raw'!D10</x:f>
        <x:v>11:30</x:v>
      </x:c>
      <x:c r="E10" s="234" t="str">
        <x:f>'Appointments Raw'!E10</x:f>
        <x:v>North Clinic</x:v>
      </x:c>
      <x:c r="F10" s="234" t="str">
        <x:f>'Appointments Raw'!G10</x:f>
        <x:v>Confirmed</x:v>
      </x:c>
      <x:c r="G10" s="249" t="n">
        <x:f>'Appointments Raw'!K10</x:f>
        <x:v>46250</x:v>
      </x:c>
      <x:c r="H10" s="234" t="n">
        <x:f>COUNTIFS('Appointments Raw'!$C$5:$C$54,C10,'Appointments Raw'!$D$5:$D$54,D10,'Appointments Raw'!$E$5:$E$54,E10)</x:f>
        <x:v>1</x:v>
      </x:c>
      <x:c r="I10" s="234" t="str">
        <x:f>IF(H10&gt;1,"Slot Conflict","OK")</x:f>
        <x:v>OK</x:v>
      </x:c>
      <x:c r="J10" s="234" t="n">
        <x:f>'References'!$B$13-G10</x:f>
        <x:v>1</x:v>
      </x:c>
      <x:c r="K10" s="234" t="str">
        <x:f>IF(AND(J10&gt;'References'!$B$14,F10&lt;&gt;"Completed",F10&lt;&gt;"Cancelled"),"Overdue Follow-up","OK")</x:f>
        <x:v>OK</x:v>
      </x:c>
      <x:c r="L10" s="234" t="str">
        <x:f>IF(OR(I10&lt;&gt;"OK",K10&lt;&gt;"OK"),IF(I10&lt;&gt;"OK","High Priority Review","Review"),"Ready")</x:f>
        <x:v>Ready</x:v>
      </x:c>
    </x:row>
    <x:row r="11" ht="26" customHeight="1">
      <x:c r="A11" s="236" t="str">
        <x:f>'Appointments Raw'!A11</x:f>
        <x:v>APT-2026-007</x:v>
      </x:c>
      <x:c r="B11" s="236" t="str">
        <x:f>'Appointments Raw'!B11</x:f>
        <x:v>PT-DEMO-007</x:v>
      </x:c>
      <x:c r="C11" s="250" t="n">
        <x:f>'Appointments Raw'!C11</x:f>
        <x:v>46259</x:v>
      </x:c>
      <x:c r="D11" s="236" t="str">
        <x:f>'Appointments Raw'!D11</x:f>
        <x:v>11:00</x:v>
      </x:c>
      <x:c r="E11" s="236" t="str">
        <x:f>'Appointments Raw'!E11</x:f>
        <x:v>Central Clinic</x:v>
      </x:c>
      <x:c r="F11" s="236" t="str">
        <x:f>'Appointments Raw'!G11</x:f>
        <x:v>Completed</x:v>
      </x:c>
      <x:c r="G11" s="250" t="n">
        <x:f>'Appointments Raw'!K11</x:f>
        <x:v>46251</x:v>
      </x:c>
      <x:c r="H11" s="236" t="n">
        <x:f>COUNTIFS('Appointments Raw'!$C$5:$C$54,C11,'Appointments Raw'!$D$5:$D$54,D11,'Appointments Raw'!$E$5:$E$54,E11)</x:f>
        <x:v>1</x:v>
      </x:c>
      <x:c r="I11" s="236" t="str">
        <x:f>IF(H11&gt;1,"Slot Conflict","OK")</x:f>
        <x:v>OK</x:v>
      </x:c>
      <x:c r="J11" s="236" t="n">
        <x:f>'References'!$B$13-G11</x:f>
        <x:v>0</x:v>
      </x:c>
      <x:c r="K11" s="236" t="str">
        <x:f>IF(AND(J11&gt;'References'!$B$14,F11&lt;&gt;"Completed",F11&lt;&gt;"Cancelled"),"Overdue Follow-up","OK")</x:f>
        <x:v>OK</x:v>
      </x:c>
      <x:c r="L11" s="236" t="str">
        <x:f>IF(OR(I11&lt;&gt;"OK",K11&lt;&gt;"OK"),IF(I11&lt;&gt;"OK","High Priority Review","Review"),"Ready")</x:f>
        <x:v>Ready</x:v>
      </x:c>
    </x:row>
    <x:row r="12" ht="26" customHeight="1">
      <x:c r="A12" s="234" t="str">
        <x:f>'Appointments Raw'!A12</x:f>
        <x:v>APT-2026-008</x:v>
      </x:c>
      <x:c r="B12" s="234" t="str">
        <x:f>'Appointments Raw'!B12</x:f>
        <x:v>PT-DEMO-008</x:v>
      </x:c>
      <x:c r="C12" s="249" t="n">
        <x:f>'Appointments Raw'!C12</x:f>
        <x:v>46260</x:v>
      </x:c>
      <x:c r="D12" s="234" t="str">
        <x:f>'Appointments Raw'!D12</x:f>
        <x:v>12:30</x:v>
      </x:c>
      <x:c r="E12" s="234" t="str">
        <x:f>'Appointments Raw'!E12</x:f>
        <x:v>East Clinic</x:v>
      </x:c>
      <x:c r="F12" s="234" t="str">
        <x:f>'Appointments Raw'!G12</x:f>
        <x:v>Cancelled</x:v>
      </x:c>
      <x:c r="G12" s="249" t="n">
        <x:f>'Appointments Raw'!K12</x:f>
        <x:v>46250</x:v>
      </x:c>
      <x:c r="H12" s="234" t="n">
        <x:f>COUNTIFS('Appointments Raw'!$C$5:$C$54,C12,'Appointments Raw'!$D$5:$D$54,D12,'Appointments Raw'!$E$5:$E$54,E12)</x:f>
        <x:v>1</x:v>
      </x:c>
      <x:c r="I12" s="234" t="str">
        <x:f>IF(H12&gt;1,"Slot Conflict","OK")</x:f>
        <x:v>OK</x:v>
      </x:c>
      <x:c r="J12" s="234" t="n">
        <x:f>'References'!$B$13-G12</x:f>
        <x:v>1</x:v>
      </x:c>
      <x:c r="K12" s="234" t="str">
        <x:f>IF(AND(J12&gt;'References'!$B$14,F12&lt;&gt;"Completed",F12&lt;&gt;"Cancelled"),"Overdue Follow-up","OK")</x:f>
        <x:v>OK</x:v>
      </x:c>
      <x:c r="L12" s="234" t="str">
        <x:f>IF(OR(I12&lt;&gt;"OK",K12&lt;&gt;"OK"),IF(I12&lt;&gt;"OK","High Priority Review","Review"),"Ready")</x:f>
        <x:v>Ready</x:v>
      </x:c>
    </x:row>
    <x:row r="13" ht="26" customHeight="1">
      <x:c r="A13" s="236" t="str">
        <x:f>'Appointments Raw'!A13</x:f>
        <x:v>APT-2026-009</x:v>
      </x:c>
      <x:c r="B13" s="236" t="str">
        <x:f>'Appointments Raw'!B13</x:f>
        <x:v>PT-DEMO-009</x:v>
      </x:c>
      <x:c r="C13" s="250" t="n">
        <x:f>'Appointments Raw'!C13</x:f>
        <x:v>46261</x:v>
      </x:c>
      <x:c r="D13" s="236" t="str">
        <x:f>'Appointments Raw'!D13</x:f>
        <x:v>12:00</x:v>
      </x:c>
      <x:c r="E13" s="236" t="str">
        <x:f>'Appointments Raw'!E13</x:f>
        <x:v>North Clinic</x:v>
      </x:c>
      <x:c r="F13" s="236" t="str">
        <x:f>'Appointments Raw'!G13</x:f>
        <x:v>Scheduled</x:v>
      </x:c>
      <x:c r="G13" s="250" t="n">
        <x:f>'Appointments Raw'!K13</x:f>
        <x:v>46244</x:v>
      </x:c>
      <x:c r="H13" s="236" t="n">
        <x:f>COUNTIFS('Appointments Raw'!$C$5:$C$54,C13,'Appointments Raw'!$D$5:$D$54,D13,'Appointments Raw'!$E$5:$E$54,E13)</x:f>
        <x:v>1</x:v>
      </x:c>
      <x:c r="I13" s="236" t="str">
        <x:f>IF(H13&gt;1,"Slot Conflict","OK")</x:f>
        <x:v>OK</x:v>
      </x:c>
      <x:c r="J13" s="236" t="n">
        <x:f>'References'!$B$13-G13</x:f>
        <x:v>7</x:v>
      </x:c>
      <x:c r="K13" s="236" t="str">
        <x:f>IF(AND(J13&gt;'References'!$B$14,F13&lt;&gt;"Completed",F13&lt;&gt;"Cancelled"),"Overdue Follow-up","OK")</x:f>
        <x:v>Overdue Follow-up</x:v>
      </x:c>
      <x:c r="L13" s="236" t="str">
        <x:f>IF(OR(I13&lt;&gt;"OK",K13&lt;&gt;"OK"),IF(I13&lt;&gt;"OK","High Priority Review","Review"),"Ready")</x:f>
        <x:v>Review</x:v>
      </x:c>
    </x:row>
    <x:row r="14" ht="26" customHeight="1">
      <x:c r="A14" s="234" t="str">
        <x:f>'Appointments Raw'!A14</x:f>
        <x:v>APT-2026-010</x:v>
      </x:c>
      <x:c r="B14" s="234" t="str">
        <x:f>'Appointments Raw'!B14</x:f>
        <x:v>PT-DEMO-010</x:v>
      </x:c>
      <x:c r="C14" s="249" t="n">
        <x:f>'Appointments Raw'!C14</x:f>
        <x:v>46252</x:v>
      </x:c>
      <x:c r="D14" s="234" t="str">
        <x:f>'Appointments Raw'!D14</x:f>
        <x:v>13:30</x:v>
      </x:c>
      <x:c r="E14" s="234" t="str">
        <x:f>'Appointments Raw'!E14</x:f>
        <x:v>Central Clinic</x:v>
      </x:c>
      <x:c r="F14" s="234" t="str">
        <x:f>'Appointments Raw'!G14</x:f>
        <x:v>Scheduled</x:v>
      </x:c>
      <x:c r="G14" s="249" t="n">
        <x:f>'Appointments Raw'!K14</x:f>
        <x:v>46250</x:v>
      </x:c>
      <x:c r="H14" s="234" t="n">
        <x:f>COUNTIFS('Appointments Raw'!$C$5:$C$54,C14,'Appointments Raw'!$D$5:$D$54,D14,'Appointments Raw'!$E$5:$E$54,E14)</x:f>
        <x:v>1</x:v>
      </x:c>
      <x:c r="I14" s="234" t="str">
        <x:f>IF(H14&gt;1,"Slot Conflict","OK")</x:f>
        <x:v>OK</x:v>
      </x:c>
      <x:c r="J14" s="234" t="n">
        <x:f>'References'!$B$13-G14</x:f>
        <x:v>1</x:v>
      </x:c>
      <x:c r="K14" s="234" t="str">
        <x:f>IF(AND(J14&gt;'References'!$B$14,F14&lt;&gt;"Completed",F14&lt;&gt;"Cancelled"),"Overdue Follow-up","OK")</x:f>
        <x:v>OK</x:v>
      </x:c>
      <x:c r="L14" s="234" t="str">
        <x:f>IF(OR(I14&lt;&gt;"OK",K14&lt;&gt;"OK"),IF(I14&lt;&gt;"OK","High Priority Review","Review"),"Ready")</x:f>
        <x:v>Ready</x:v>
      </x:c>
    </x:row>
    <x:row r="15" ht="26" customHeight="1">
      <x:c r="A15" s="236" t="str">
        <x:f>'Appointments Raw'!A15</x:f>
        <x:v>APT-2026-011</x:v>
      </x:c>
      <x:c r="B15" s="236" t="str">
        <x:f>'Appointments Raw'!B15</x:f>
        <x:v>PT-DEMO-011</x:v>
      </x:c>
      <x:c r="C15" s="250" t="n">
        <x:f>'Appointments Raw'!C15</x:f>
        <x:v>46253</x:v>
      </x:c>
      <x:c r="D15" s="236" t="str">
        <x:f>'Appointments Raw'!D15</x:f>
        <x:v>13:00</x:v>
      </x:c>
      <x:c r="E15" s="236" t="str">
        <x:f>'Appointments Raw'!E15</x:f>
        <x:v>East Clinic</x:v>
      </x:c>
      <x:c r="F15" s="236" t="str">
        <x:f>'Appointments Raw'!G15</x:f>
        <x:v>Confirmed</x:v>
      </x:c>
      <x:c r="G15" s="250" t="n">
        <x:f>'Appointments Raw'!K15</x:f>
        <x:v>46251</x:v>
      </x:c>
      <x:c r="H15" s="236" t="n">
        <x:f>COUNTIFS('Appointments Raw'!$C$5:$C$54,C15,'Appointments Raw'!$D$5:$D$54,D15,'Appointments Raw'!$E$5:$E$54,E15)</x:f>
        <x:v>1</x:v>
      </x:c>
      <x:c r="I15" s="236" t="str">
        <x:f>IF(H15&gt;1,"Slot Conflict","OK")</x:f>
        <x:v>OK</x:v>
      </x:c>
      <x:c r="J15" s="236" t="n">
        <x:f>'References'!$B$13-G15</x:f>
        <x:v>0</x:v>
      </x:c>
      <x:c r="K15" s="236" t="str">
        <x:f>IF(AND(J15&gt;'References'!$B$14,F15&lt;&gt;"Completed",F15&lt;&gt;"Cancelled"),"Overdue Follow-up","OK")</x:f>
        <x:v>OK</x:v>
      </x:c>
      <x:c r="L15" s="236" t="str">
        <x:f>IF(OR(I15&lt;&gt;"OK",K15&lt;&gt;"OK"),IF(I15&lt;&gt;"OK","High Priority Review","Review"),"Ready")</x:f>
        <x:v>Ready</x:v>
      </x:c>
    </x:row>
    <x:row r="16" ht="26" customHeight="1">
      <x:c r="A16" s="234" t="str">
        <x:f>'Appointments Raw'!A16</x:f>
        <x:v>APT-2026-012</x:v>
      </x:c>
      <x:c r="B16" s="234" t="str">
        <x:f>'Appointments Raw'!B16</x:f>
        <x:v>PT-DEMO-012</x:v>
      </x:c>
      <x:c r="C16" s="249" t="n">
        <x:f>'Appointments Raw'!C16</x:f>
        <x:v>46254</x:v>
      </x:c>
      <x:c r="D16" s="234" t="str">
        <x:f>'Appointments Raw'!D16</x:f>
        <x:v>14:30</x:v>
      </x:c>
      <x:c r="E16" s="234" t="str">
        <x:f>'Appointments Raw'!E16</x:f>
        <x:v>North Clinic</x:v>
      </x:c>
      <x:c r="F16" s="234" t="str">
        <x:f>'Appointments Raw'!G16</x:f>
        <x:v>Completed</x:v>
      </x:c>
      <x:c r="G16" s="249" t="n">
        <x:f>'Appointments Raw'!K16</x:f>
        <x:v>46250</x:v>
      </x:c>
      <x:c r="H16" s="234" t="n">
        <x:f>COUNTIFS('Appointments Raw'!$C$5:$C$54,C16,'Appointments Raw'!$D$5:$D$54,D16,'Appointments Raw'!$E$5:$E$54,E16)</x:f>
        <x:v>1</x:v>
      </x:c>
      <x:c r="I16" s="234" t="str">
        <x:f>IF(H16&gt;1,"Slot Conflict","OK")</x:f>
        <x:v>OK</x:v>
      </x:c>
      <x:c r="J16" s="234" t="n">
        <x:f>'References'!$B$13-G16</x:f>
        <x:v>1</x:v>
      </x:c>
      <x:c r="K16" s="234" t="str">
        <x:f>IF(AND(J16&gt;'References'!$B$14,F16&lt;&gt;"Completed",F16&lt;&gt;"Cancelled"),"Overdue Follow-up","OK")</x:f>
        <x:v>OK</x:v>
      </x:c>
      <x:c r="L16" s="234" t="str">
        <x:f>IF(OR(I16&lt;&gt;"OK",K16&lt;&gt;"OK"),IF(I16&lt;&gt;"OK","High Priority Review","Review"),"Ready")</x:f>
        <x:v>Ready</x:v>
      </x:c>
    </x:row>
    <x:row r="17" ht="26" customHeight="1">
      <x:c r="A17" s="236" t="str">
        <x:f>'Appointments Raw'!A17</x:f>
        <x:v>APT-2026-012</x:v>
      </x:c>
      <x:c r="B17" s="236" t="str">
        <x:f>'Appointments Raw'!B17</x:f>
        <x:v>PT-DEMO-013</x:v>
      </x:c>
      <x:c r="C17" s="250" t="n">
        <x:f>'Appointments Raw'!C17</x:f>
        <x:v>46255</x:v>
      </x:c>
      <x:c r="D17" s="236" t="str">
        <x:f>'Appointments Raw'!D17</x:f>
        <x:v>14:00</x:v>
      </x:c>
      <x:c r="E17" s="236" t="str">
        <x:f>'Appointments Raw'!E17</x:f>
        <x:v>Central Clinic</x:v>
      </x:c>
      <x:c r="F17" s="236" t="str">
        <x:f>'Appointments Raw'!G17</x:f>
        <x:v>Cancelled</x:v>
      </x:c>
      <x:c r="G17" s="250" t="n">
        <x:f>'Appointments Raw'!K17</x:f>
        <x:v>46251</x:v>
      </x:c>
      <x:c r="H17" s="236" t="n">
        <x:f>COUNTIFS('Appointments Raw'!$C$5:$C$54,C17,'Appointments Raw'!$D$5:$D$54,D17,'Appointments Raw'!$E$5:$E$54,E17)</x:f>
        <x:v>1</x:v>
      </x:c>
      <x:c r="I17" s="236" t="str">
        <x:f>IF(H17&gt;1,"Slot Conflict","OK")</x:f>
        <x:v>OK</x:v>
      </x:c>
      <x:c r="J17" s="236" t="n">
        <x:f>'References'!$B$13-G17</x:f>
        <x:v>0</x:v>
      </x:c>
      <x:c r="K17" s="236" t="str">
        <x:f>IF(AND(J17&gt;'References'!$B$14,F17&lt;&gt;"Completed",F17&lt;&gt;"Cancelled"),"Overdue Follow-up","OK")</x:f>
        <x:v>OK</x:v>
      </x:c>
      <x:c r="L17" s="236" t="str">
        <x:f>IF(OR(I17&lt;&gt;"OK",K17&lt;&gt;"OK"),IF(I17&lt;&gt;"OK","High Priority Review","Review"),"Ready")</x:f>
        <x:v>Ready</x:v>
      </x:c>
    </x:row>
    <x:row r="18" ht="26" customHeight="1">
      <x:c r="A18" s="234" t="str">
        <x:f>'Appointments Raw'!A18</x:f>
        <x:v>APT-2026-014</x:v>
      </x:c>
      <x:c r="B18" s="234" t="str">
        <x:f>'Appointments Raw'!B18</x:f>
        <x:v>PT-DEMO-014</x:v>
      </x:c>
      <x:c r="C18" s="249" t="n">
        <x:f>'Appointments Raw'!C18</x:f>
        <x:v>46256</x:v>
      </x:c>
      <x:c r="D18" s="234" t="str">
        <x:f>'Appointments Raw'!D18</x:f>
        <x:v>15:30</x:v>
      </x:c>
      <x:c r="E18" s="234" t="str">
        <x:f>'Appointments Raw'!E18</x:f>
        <x:v>East Clinic</x:v>
      </x:c>
      <x:c r="F18" s="234" t="str">
        <x:f>'Appointments Raw'!G18</x:f>
        <x:v>Reschedule Requested</x:v>
      </x:c>
      <x:c r="G18" s="249" t="n">
        <x:f>'Appointments Raw'!K18</x:f>
        <x:v>46250</x:v>
      </x:c>
      <x:c r="H18" s="234" t="n">
        <x:f>COUNTIFS('Appointments Raw'!$C$5:$C$54,C18,'Appointments Raw'!$D$5:$D$54,D18,'Appointments Raw'!$E$5:$E$54,E18)</x:f>
        <x:v>1</x:v>
      </x:c>
      <x:c r="I18" s="234" t="str">
        <x:f>IF(H18&gt;1,"Slot Conflict","OK")</x:f>
        <x:v>OK</x:v>
      </x:c>
      <x:c r="J18" s="234" t="n">
        <x:f>'References'!$B$13-G18</x:f>
        <x:v>1</x:v>
      </x:c>
      <x:c r="K18" s="234" t="str">
        <x:f>IF(AND(J18&gt;'References'!$B$14,F18&lt;&gt;"Completed",F18&lt;&gt;"Cancelled"),"Overdue Follow-up","OK")</x:f>
        <x:v>OK</x:v>
      </x:c>
      <x:c r="L18" s="234" t="str">
        <x:f>IF(OR(I18&lt;&gt;"OK",K18&lt;&gt;"OK"),IF(I18&lt;&gt;"OK","High Priority Review","Review"),"Ready")</x:f>
        <x:v>Ready</x:v>
      </x:c>
    </x:row>
    <x:row r="19" ht="26" customHeight="1">
      <x:c r="A19" s="236" t="str">
        <x:f>'Appointments Raw'!A19</x:f>
        <x:v>APT-2026-015</x:v>
      </x:c>
      <x:c r="B19" s="236" t="str">
        <x:f>'Appointments Raw'!B19</x:f>
        <x:v>PT-DEMO-015</x:v>
      </x:c>
      <x:c r="C19" s="250" t="n">
        <x:f>'Appointments Raw'!C19</x:f>
        <x:v>46257</x:v>
      </x:c>
      <x:c r="D19" s="236" t="str">
        <x:f>'Appointments Raw'!D19</x:f>
        <x:v>15:00</x:v>
      </x:c>
      <x:c r="E19" s="236" t="str">
        <x:f>'Appointments Raw'!E19</x:f>
        <x:v>North Clinic</x:v>
      </x:c>
      <x:c r="F19" s="236" t="str">
        <x:f>'Appointments Raw'!G19</x:f>
        <x:v>Scheduled</x:v>
      </x:c>
      <x:c r="G19" s="250" t="n">
        <x:f>'Appointments Raw'!K19</x:f>
        <x:v>46251</x:v>
      </x:c>
      <x:c r="H19" s="236" t="n">
        <x:f>COUNTIFS('Appointments Raw'!$C$5:$C$54,C19,'Appointments Raw'!$D$5:$D$54,D19,'Appointments Raw'!$E$5:$E$54,E19)</x:f>
        <x:v>1</x:v>
      </x:c>
      <x:c r="I19" s="236" t="str">
        <x:f>IF(H19&gt;1,"Slot Conflict","OK")</x:f>
        <x:v>OK</x:v>
      </x:c>
      <x:c r="J19" s="236" t="n">
        <x:f>'References'!$B$13-G19</x:f>
        <x:v>0</x:v>
      </x:c>
      <x:c r="K19" s="236" t="str">
        <x:f>IF(AND(J19&gt;'References'!$B$14,F19&lt;&gt;"Completed",F19&lt;&gt;"Cancelled"),"Overdue Follow-up","OK")</x:f>
        <x:v>OK</x:v>
      </x:c>
      <x:c r="L19" s="236" t="str">
        <x:f>IF(OR(I19&lt;&gt;"OK",K19&lt;&gt;"OK"),IF(I19&lt;&gt;"OK","High Priority Review","Review"),"Ready")</x:f>
        <x:v>Ready</x:v>
      </x:c>
    </x:row>
    <x:row r="20" ht="26" customHeight="1">
      <x:c r="A20" s="234" t="str">
        <x:f>'Appointments Raw'!A20</x:f>
        <x:v>APT-2026-016</x:v>
      </x:c>
      <x:c r="B20" s="234" t="str">
        <x:f>'Appointments Raw'!B20</x:f>
        <x:v>PT-DEMO-016</x:v>
      </x:c>
      <x:c r="C20" s="249" t="n">
        <x:f>'Appointments Raw'!C20</x:f>
        <x:v>46255</x:v>
      </x:c>
      <x:c r="D20" s="234" t="str">
        <x:f>'Appointments Raw'!D20</x:f>
        <x:v>10:00</x:v>
      </x:c>
      <x:c r="E20" s="234" t="str">
        <x:f>'Appointments Raw'!E20</x:f>
        <x:v>Central Clinic</x:v>
      </x:c>
      <x:c r="F20" s="234" t="str">
        <x:f>'Appointments Raw'!G20</x:f>
        <x:v>Confirmed</x:v>
      </x:c>
      <x:c r="G20" s="249" t="n">
        <x:f>'Appointments Raw'!K20</x:f>
        <x:v>46250</x:v>
      </x:c>
      <x:c r="H20" s="234" t="n">
        <x:f>COUNTIFS('Appointments Raw'!$C$5:$C$54,C20,'Appointments Raw'!$D$5:$D$54,D20,'Appointments Raw'!$E$5:$E$54,E20)</x:f>
        <x:v>2</x:v>
      </x:c>
      <x:c r="I20" s="234" t="str">
        <x:f>IF(H20&gt;1,"Slot Conflict","OK")</x:f>
        <x:v>Slot Conflict</x:v>
      </x:c>
      <x:c r="J20" s="234" t="n">
        <x:f>'References'!$B$13-G20</x:f>
        <x:v>1</x:v>
      </x:c>
      <x:c r="K20" s="234" t="str">
        <x:f>IF(AND(J20&gt;'References'!$B$14,F20&lt;&gt;"Completed",F20&lt;&gt;"Cancelled"),"Overdue Follow-up","OK")</x:f>
        <x:v>OK</x:v>
      </x:c>
      <x:c r="L20" s="234" t="str">
        <x:f>IF(OR(I20&lt;&gt;"OK",K20&lt;&gt;"OK"),IF(I20&lt;&gt;"OK","High Priority Review","Review"),"Ready")</x:f>
        <x:v>High Priority Review</x:v>
      </x:c>
    </x:row>
    <x:row r="21" ht="26" customHeight="1">
      <x:c r="A21" s="236" t="str">
        <x:f>'Appointments Raw'!A21</x:f>
        <x:v>APT-2026-017</x:v>
      </x:c>
      <x:c r="B21" s="236" t="str">
        <x:f>'Appointments Raw'!B21</x:f>
        <x:v>PT-DEMO-017</x:v>
      </x:c>
      <x:c r="C21" s="250" t="n">
        <x:f>'Appointments Raw'!C21</x:f>
        <x:v>46255</x:v>
      </x:c>
      <x:c r="D21" s="236" t="str">
        <x:f>'Appointments Raw'!D21</x:f>
        <x:v>10:00</x:v>
      </x:c>
      <x:c r="E21" s="236" t="str">
        <x:f>'Appointments Raw'!E21</x:f>
        <x:v>Central Clinic</x:v>
      </x:c>
      <x:c r="F21" s="236" t="str">
        <x:f>'Appointments Raw'!G21</x:f>
        <x:v>Completed</x:v>
      </x:c>
      <x:c r="G21" s="250" t="n">
        <x:f>'Appointments Raw'!K21</x:f>
        <x:v>46251</x:v>
      </x:c>
      <x:c r="H21" s="236" t="n">
        <x:f>COUNTIFS('Appointments Raw'!$C$5:$C$54,C21,'Appointments Raw'!$D$5:$D$54,D21,'Appointments Raw'!$E$5:$E$54,E21)</x:f>
        <x:v>2</x:v>
      </x:c>
      <x:c r="I21" s="236" t="str">
        <x:f>IF(H21&gt;1,"Slot Conflict","OK")</x:f>
        <x:v>Slot Conflict</x:v>
      </x:c>
      <x:c r="J21" s="236" t="n">
        <x:f>'References'!$B$13-G21</x:f>
        <x:v>0</x:v>
      </x:c>
      <x:c r="K21" s="236" t="str">
        <x:f>IF(AND(J21&gt;'References'!$B$14,F21&lt;&gt;"Completed",F21&lt;&gt;"Cancelled"),"Overdue Follow-up","OK")</x:f>
        <x:v>OK</x:v>
      </x:c>
      <x:c r="L21" s="236" t="str">
        <x:f>IF(OR(I21&lt;&gt;"OK",K21&lt;&gt;"OK"),IF(I21&lt;&gt;"OK","High Priority Review","Review"),"Ready")</x:f>
        <x:v>High Priority Review</x:v>
      </x:c>
    </x:row>
    <x:row r="22" ht="26" customHeight="1">
      <x:c r="A22" s="234" t="str">
        <x:f>'Appointments Raw'!A22</x:f>
        <x:v>APT-2026-018</x:v>
      </x:c>
      <x:c r="B22" s="234" t="str">
        <x:f>'Appointments Raw'!B22</x:f>
        <x:v>PT-DEMO-108</x:v>
      </x:c>
      <x:c r="C22" s="249" t="n">
        <x:f>'Appointments Raw'!C22</x:f>
        <x:v>46260</x:v>
      </x:c>
      <x:c r="D22" s="234" t="str">
        <x:f>'Appointments Raw'!D22</x:f>
        <x:v>09:30</x:v>
      </x:c>
      <x:c r="E22" s="234" t="str">
        <x:f>'Appointments Raw'!E22</x:f>
        <x:v>North Clinic</x:v>
      </x:c>
      <x:c r="F22" s="234" t="str">
        <x:f>'Appointments Raw'!G22</x:f>
        <x:v>Cancelled</x:v>
      </x:c>
      <x:c r="G22" s="249" t="n">
        <x:f>'Appointments Raw'!K22</x:f>
        <x:v>46250</x:v>
      </x:c>
      <x:c r="H22" s="234" t="n">
        <x:f>COUNTIFS('Appointments Raw'!$C$5:$C$54,C22,'Appointments Raw'!$D$5:$D$54,D22,'Appointments Raw'!$E$5:$E$54,E22)</x:f>
        <x:v>1</x:v>
      </x:c>
      <x:c r="I22" s="234" t="str">
        <x:f>IF(H22&gt;1,"Slot Conflict","OK")</x:f>
        <x:v>OK</x:v>
      </x:c>
      <x:c r="J22" s="234" t="n">
        <x:f>'References'!$B$13-G22</x:f>
        <x:v>1</x:v>
      </x:c>
      <x:c r="K22" s="234" t="str">
        <x:f>IF(AND(J22&gt;'References'!$B$14,F22&lt;&gt;"Completed",F22&lt;&gt;"Cancelled"),"Overdue Follow-up","OK")</x:f>
        <x:v>OK</x:v>
      </x:c>
      <x:c r="L22" s="234" t="str">
        <x:f>IF(OR(I22&lt;&gt;"OK",K22&lt;&gt;"OK"),IF(I22&lt;&gt;"OK","High Priority Review","Review"),"Ready")</x:f>
        <x:v>Ready</x:v>
      </x:c>
    </x:row>
    <x:row r="23" ht="26" customHeight="1">
      <x:c r="A23" s="236" t="str">
        <x:f>'Appointments Raw'!A23</x:f>
        <x:v>APT-2026-019</x:v>
      </x:c>
      <x:c r="B23" s="236" t="str">
        <x:f>'Appointments Raw'!B23</x:f>
        <x:v>PT-DEMO-019</x:v>
      </x:c>
      <x:c r="C23" s="250" t="n">
        <x:f>'Appointments Raw'!C23</x:f>
        <x:v>46261</x:v>
      </x:c>
      <x:c r="D23" s="236" t="str">
        <x:f>'Appointments Raw'!D23</x:f>
        <x:v>09:00</x:v>
      </x:c>
      <x:c r="E23" s="236" t="str">
        <x:f>'Appointments Raw'!E23</x:f>
        <x:v>Central Clinic</x:v>
      </x:c>
      <x:c r="F23" s="236" t="str">
        <x:f>'Appointments Raw'!G23</x:f>
        <x:v>Reschedule Requested</x:v>
      </x:c>
      <x:c r="G23" s="250" t="n">
        <x:f>'Appointments Raw'!K23</x:f>
        <x:v>46251</x:v>
      </x:c>
      <x:c r="H23" s="236" t="n">
        <x:f>COUNTIFS('Appointments Raw'!$C$5:$C$54,C23,'Appointments Raw'!$D$5:$D$54,D23,'Appointments Raw'!$E$5:$E$54,E23)</x:f>
        <x:v>1</x:v>
      </x:c>
      <x:c r="I23" s="236" t="str">
        <x:f>IF(H23&gt;1,"Slot Conflict","OK")</x:f>
        <x:v>OK</x:v>
      </x:c>
      <x:c r="J23" s="236" t="n">
        <x:f>'References'!$B$13-G23</x:f>
        <x:v>0</x:v>
      </x:c>
      <x:c r="K23" s="236" t="str">
        <x:f>IF(AND(J23&gt;'References'!$B$14,F23&lt;&gt;"Completed",F23&lt;&gt;"Cancelled"),"Overdue Follow-up","OK")</x:f>
        <x:v>OK</x:v>
      </x:c>
      <x:c r="L23" s="236" t="str">
        <x:f>IF(OR(I23&lt;&gt;"OK",K23&lt;&gt;"OK"),IF(I23&lt;&gt;"OK","High Priority Review","Review"),"Ready")</x:f>
        <x:v>Ready</x:v>
      </x:c>
    </x:row>
    <x:row r="24" ht="26" customHeight="1">
      <x:c r="A24" s="234" t="str">
        <x:f>'Appointments Raw'!A24</x:f>
        <x:v>APT-2026-020</x:v>
      </x:c>
      <x:c r="B24" s="234" t="str">
        <x:f>'Appointments Raw'!B24</x:f>
        <x:v>PT-DEMO-020</x:v>
      </x:c>
      <x:c r="C24" s="249" t="n">
        <x:f>'Appointments Raw'!C24</x:f>
        <x:v>46252</x:v>
      </x:c>
      <x:c r="D24" s="234" t="str">
        <x:f>'Appointments Raw'!D24</x:f>
        <x:v>10:30</x:v>
      </x:c>
      <x:c r="E24" s="234" t="str">
        <x:f>'Appointments Raw'!E24</x:f>
        <x:v>East Clinic</x:v>
      </x:c>
      <x:c r="F24" s="234" t="str">
        <x:f>'Appointments Raw'!G24</x:f>
        <x:v>Scheduled</x:v>
      </x:c>
      <x:c r="G24" s="249" t="n">
        <x:f>'Appointments Raw'!K24</x:f>
        <x:v>46250</x:v>
      </x:c>
      <x:c r="H24" s="234" t="n">
        <x:f>COUNTIFS('Appointments Raw'!$C$5:$C$54,C24,'Appointments Raw'!$D$5:$D$54,D24,'Appointments Raw'!$E$5:$E$54,E24)</x:f>
        <x:v>1</x:v>
      </x:c>
      <x:c r="I24" s="234" t="str">
        <x:f>IF(H24&gt;1,"Slot Conflict","OK")</x:f>
        <x:v>OK</x:v>
      </x:c>
      <x:c r="J24" s="234" t="n">
        <x:f>'References'!$B$13-G24</x:f>
        <x:v>1</x:v>
      </x:c>
      <x:c r="K24" s="234" t="str">
        <x:f>IF(AND(J24&gt;'References'!$B$14,F24&lt;&gt;"Completed",F24&lt;&gt;"Cancelled"),"Overdue Follow-up","OK")</x:f>
        <x:v>OK</x:v>
      </x:c>
      <x:c r="L24" s="234" t="str">
        <x:f>IF(OR(I24&lt;&gt;"OK",K24&lt;&gt;"OK"),IF(I24&lt;&gt;"OK","High Priority Review","Review"),"Ready")</x:f>
        <x:v>Ready</x:v>
      </x:c>
    </x:row>
    <x:row r="25" ht="26" customHeight="1">
      <x:c r="A25" s="236" t="str">
        <x:f>'Appointments Raw'!A25</x:f>
        <x:v>APT-2026-021</x:v>
      </x:c>
      <x:c r="B25" s="236" t="str">
        <x:f>'Appointments Raw'!B25</x:f>
        <x:v>PT-DEMO-021</x:v>
      </x:c>
      <x:c r="C25" s="250" t="n">
        <x:f>'Appointments Raw'!C25</x:f>
        <x:v>46253</x:v>
      </x:c>
      <x:c r="D25" s="236" t="str">
        <x:f>'Appointments Raw'!D25</x:f>
        <x:v>10:00</x:v>
      </x:c>
      <x:c r="E25" s="236" t="str">
        <x:f>'Appointments Raw'!E25</x:f>
        <x:v>North Clinic</x:v>
      </x:c>
      <x:c r="F25" s="236" t="str">
        <x:f>'Appointments Raw'!G25</x:f>
        <x:v>Pending Call</x:v>
      </x:c>
      <x:c r="G25" s="250" t="n">
        <x:f>'Appointments Raw'!K25</x:f>
        <x:v>46251</x:v>
      </x:c>
      <x:c r="H25" s="236" t="n">
        <x:f>COUNTIFS('Appointments Raw'!$C$5:$C$54,C25,'Appointments Raw'!$D$5:$D$54,D25,'Appointments Raw'!$E$5:$E$54,E25)</x:f>
        <x:v>1</x:v>
      </x:c>
      <x:c r="I25" s="236" t="str">
        <x:f>IF(H25&gt;1,"Slot Conflict","OK")</x:f>
        <x:v>OK</x:v>
      </x:c>
      <x:c r="J25" s="236" t="n">
        <x:f>'References'!$B$13-G25</x:f>
        <x:v>0</x:v>
      </x:c>
      <x:c r="K25" s="236" t="str">
        <x:f>IF(AND(J25&gt;'References'!$B$14,F25&lt;&gt;"Completed",F25&lt;&gt;"Cancelled"),"Overdue Follow-up","OK")</x:f>
        <x:v>OK</x:v>
      </x:c>
      <x:c r="L25" s="236" t="str">
        <x:f>IF(OR(I25&lt;&gt;"OK",K25&lt;&gt;"OK"),IF(I25&lt;&gt;"OK","High Priority Review","Review"),"Ready")</x:f>
        <x:v>Ready</x:v>
      </x:c>
    </x:row>
    <x:row r="26" ht="26" customHeight="1">
      <x:c r="A26" s="234" t="str">
        <x:f>'Appointments Raw'!A26</x:f>
        <x:v>APT-2026-022</x:v>
      </x:c>
      <x:c r="B26" s="234" t="str">
        <x:f>'Appointments Raw'!B26</x:f>
        <x:v>PT-DEMO-022</x:v>
      </x:c>
      <x:c r="C26" s="249" t="n">
        <x:f>'Appointments Raw'!C26</x:f>
        <x:v>46254</x:v>
      </x:c>
      <x:c r="D26" s="234" t="str">
        <x:f>'Appointments Raw'!D26</x:f>
        <x:v>11:30</x:v>
      </x:c>
      <x:c r="E26" s="234" t="str">
        <x:f>'Appointments Raw'!E26</x:f>
        <x:v>Central Clinic</x:v>
      </x:c>
      <x:c r="F26" s="234" t="str">
        <x:f>'Appointments Raw'!G26</x:f>
        <x:v>Completed</x:v>
      </x:c>
      <x:c r="G26" s="249" t="n">
        <x:f>'Appointments Raw'!K26</x:f>
        <x:v>46250</x:v>
      </x:c>
      <x:c r="H26" s="234" t="n">
        <x:f>COUNTIFS('Appointments Raw'!$C$5:$C$54,C26,'Appointments Raw'!$D$5:$D$54,D26,'Appointments Raw'!$E$5:$E$54,E26)</x:f>
        <x:v>1</x:v>
      </x:c>
      <x:c r="I26" s="234" t="str">
        <x:f>IF(H26&gt;1,"Slot Conflict","OK")</x:f>
        <x:v>OK</x:v>
      </x:c>
      <x:c r="J26" s="234" t="n">
        <x:f>'References'!$B$13-G26</x:f>
        <x:v>1</x:v>
      </x:c>
      <x:c r="K26" s="234" t="str">
        <x:f>IF(AND(J26&gt;'References'!$B$14,F26&lt;&gt;"Completed",F26&lt;&gt;"Cancelled"),"Overdue Follow-up","OK")</x:f>
        <x:v>OK</x:v>
      </x:c>
      <x:c r="L26" s="234" t="str">
        <x:f>IF(OR(I26&lt;&gt;"OK",K26&lt;&gt;"OK"),IF(I26&lt;&gt;"OK","High Priority Review","Review"),"Ready")</x:f>
        <x:v>Ready</x:v>
      </x:c>
    </x:row>
    <x:row r="27" ht="26" customHeight="1">
      <x:c r="A27" s="236" t="str">
        <x:f>'Appointments Raw'!A27</x:f>
        <x:v>APT-2026-023</x:v>
      </x:c>
      <x:c r="B27" s="236" t="str">
        <x:f>'Appointments Raw'!B27</x:f>
        <x:v>PT-DEMO-023</x:v>
      </x:c>
      <x:c r="C27" s="250" t="n">
        <x:f>'Appointments Raw'!C27</x:f>
        <x:v>46255</x:v>
      </x:c>
      <x:c r="D27" s="236" t="str">
        <x:f>'Appointments Raw'!D27</x:f>
        <x:v>11:00</x:v>
      </x:c>
      <x:c r="E27" s="236" t="str">
        <x:f>'Appointments Raw'!E27</x:f>
        <x:v>East Clinic</x:v>
      </x:c>
      <x:c r="F27" s="236" t="str">
        <x:f>'Appointments Raw'!G27</x:f>
        <x:v>Cancelled</x:v>
      </x:c>
      <x:c r="G27" s="250" t="n">
        <x:f>'Appointments Raw'!K27</x:f>
        <x:v>46251</x:v>
      </x:c>
      <x:c r="H27" s="236" t="n">
        <x:f>COUNTIFS('Appointments Raw'!$C$5:$C$54,C27,'Appointments Raw'!$D$5:$D$54,D27,'Appointments Raw'!$E$5:$E$54,E27)</x:f>
        <x:v>1</x:v>
      </x:c>
      <x:c r="I27" s="236" t="str">
        <x:f>IF(H27&gt;1,"Slot Conflict","OK")</x:f>
        <x:v>OK</x:v>
      </x:c>
      <x:c r="J27" s="236" t="n">
        <x:f>'References'!$B$13-G27</x:f>
        <x:v>0</x:v>
      </x:c>
      <x:c r="K27" s="236" t="str">
        <x:f>IF(AND(J27&gt;'References'!$B$14,F27&lt;&gt;"Completed",F27&lt;&gt;"Cancelled"),"Overdue Follow-up","OK")</x:f>
        <x:v>OK</x:v>
      </x:c>
      <x:c r="L27" s="236" t="str">
        <x:f>IF(OR(I27&lt;&gt;"OK",K27&lt;&gt;"OK"),IF(I27&lt;&gt;"OK","High Priority Review","Review"),"Ready")</x:f>
        <x:v>Ready</x:v>
      </x:c>
    </x:row>
    <x:row r="28" ht="26" customHeight="1">
      <x:c r="A28" s="234" t="str">
        <x:f>'Appointments Raw'!A28</x:f>
        <x:v>APT-2026-024</x:v>
      </x:c>
      <x:c r="B28" s="234" t="str">
        <x:f>'Appointments Raw'!B28</x:f>
        <x:v>PT-DEMO-024</x:v>
      </x:c>
      <x:c r="C28" s="249" t="n">
        <x:f>'Appointments Raw'!C28</x:f>
        <x:v>46256</x:v>
      </x:c>
      <x:c r="D28" s="234" t="str">
        <x:f>'Appointments Raw'!D28</x:f>
        <x:v>12:30</x:v>
      </x:c>
      <x:c r="E28" s="234" t="str">
        <x:f>'Appointments Raw'!E28</x:f>
        <x:v>North Clinic</x:v>
      </x:c>
      <x:c r="F28" s="234" t="str">
        <x:f>'Appointments Raw'!G28</x:f>
        <x:v>Reschedule Requested</x:v>
      </x:c>
      <x:c r="G28" s="249" t="n">
        <x:f>'Appointments Raw'!K28</x:f>
        <x:v>46250</x:v>
      </x:c>
      <x:c r="H28" s="234" t="n">
        <x:f>COUNTIFS('Appointments Raw'!$C$5:$C$54,C28,'Appointments Raw'!$D$5:$D$54,D28,'Appointments Raw'!$E$5:$E$54,E28)</x:f>
        <x:v>1</x:v>
      </x:c>
      <x:c r="I28" s="234" t="str">
        <x:f>IF(H28&gt;1,"Slot Conflict","OK")</x:f>
        <x:v>OK</x:v>
      </x:c>
      <x:c r="J28" s="234" t="n">
        <x:f>'References'!$B$13-G28</x:f>
        <x:v>1</x:v>
      </x:c>
      <x:c r="K28" s="234" t="str">
        <x:f>IF(AND(J28&gt;'References'!$B$14,F28&lt;&gt;"Completed",F28&lt;&gt;"Cancelled"),"Overdue Follow-up","OK")</x:f>
        <x:v>OK</x:v>
      </x:c>
      <x:c r="L28" s="234" t="str">
        <x:f>IF(OR(I28&lt;&gt;"OK",K28&lt;&gt;"OK"),IF(I28&lt;&gt;"OK","High Priority Review","Review"),"Ready")</x:f>
        <x:v>Ready</x:v>
      </x:c>
    </x:row>
    <x:row r="29" ht="26" customHeight="1">
      <x:c r="A29" s="236" t="str">
        <x:f>'Appointments Raw'!A29</x:f>
        <x:v>APT-2026-025</x:v>
      </x:c>
      <x:c r="B29" s="236" t="str">
        <x:f>'Appointments Raw'!B29</x:f>
        <x:v>PT-DEMO-025</x:v>
      </x:c>
      <x:c r="C29" s="250" t="n">
        <x:f>'Appointments Raw'!C29</x:f>
        <x:v>46257</x:v>
      </x:c>
      <x:c r="D29" s="236" t="str">
        <x:f>'Appointments Raw'!D29</x:f>
        <x:v>12:00</x:v>
      </x:c>
      <x:c r="E29" s="236" t="str">
        <x:f>'Appointments Raw'!E29</x:f>
        <x:v>Central Clinic</x:v>
      </x:c>
      <x:c r="F29" s="236" t="str">
        <x:f>'Appointments Raw'!G29</x:f>
        <x:v>Scheduled</x:v>
      </x:c>
      <x:c r="G29" s="250" t="n">
        <x:f>'Appointments Raw'!K29</x:f>
        <x:v>46251</x:v>
      </x:c>
      <x:c r="H29" s="236" t="n">
        <x:f>COUNTIFS('Appointments Raw'!$C$5:$C$54,C29,'Appointments Raw'!$D$5:$D$54,D29,'Appointments Raw'!$E$5:$E$54,E29)</x:f>
        <x:v>1</x:v>
      </x:c>
      <x:c r="I29" s="236" t="str">
        <x:f>IF(H29&gt;1,"Slot Conflict","OK")</x:f>
        <x:v>OK</x:v>
      </x:c>
      <x:c r="J29" s="236" t="n">
        <x:f>'References'!$B$13-G29</x:f>
        <x:v>0</x:v>
      </x:c>
      <x:c r="K29" s="236" t="str">
        <x:f>IF(AND(J29&gt;'References'!$B$14,F29&lt;&gt;"Completed",F29&lt;&gt;"Cancelled"),"Overdue Follow-up","OK")</x:f>
        <x:v>OK</x:v>
      </x:c>
      <x:c r="L29" s="236" t="str">
        <x:f>IF(OR(I29&lt;&gt;"OK",K29&lt;&gt;"OK"),IF(I29&lt;&gt;"OK","High Priority Review","Review"),"Ready")</x:f>
        <x:v>Ready</x:v>
      </x:c>
    </x:row>
    <x:row r="30" ht="26" customHeight="1">
      <x:c r="A30" s="234" t="str">
        <x:f>'Appointments Raw'!A30</x:f>
        <x:v>APT-2026-026</x:v>
      </x:c>
      <x:c r="B30" s="234" t="str">
        <x:f>'Appointments Raw'!B30</x:f>
        <x:v>PT-DEMO-026</x:v>
      </x:c>
      <x:c r="C30" s="249" t="n">
        <x:f>'Appointments Raw'!C30</x:f>
        <x:v>46258</x:v>
      </x:c>
      <x:c r="D30" s="234" t="str">
        <x:f>'Appointments Raw'!D30</x:f>
        <x:v>13:30</x:v>
      </x:c>
      <x:c r="E30" s="234" t="str">
        <x:f>'Appointments Raw'!E30</x:f>
        <x:v>East Clinic</x:v>
      </x:c>
      <x:c r="F30" s="234" t="str">
        <x:f>'Appointments Raw'!G30</x:f>
        <x:v>Confirmed</x:v>
      </x:c>
      <x:c r="G30" s="249" t="n">
        <x:f>'Appointments Raw'!K30</x:f>
        <x:v>46250</x:v>
      </x:c>
      <x:c r="H30" s="234" t="n">
        <x:f>COUNTIFS('Appointments Raw'!$C$5:$C$54,C30,'Appointments Raw'!$D$5:$D$54,D30,'Appointments Raw'!$E$5:$E$54,E30)</x:f>
        <x:v>1</x:v>
      </x:c>
      <x:c r="I30" s="234" t="str">
        <x:f>IF(H30&gt;1,"Slot Conflict","OK")</x:f>
        <x:v>OK</x:v>
      </x:c>
      <x:c r="J30" s="234" t="n">
        <x:f>'References'!$B$13-G30</x:f>
        <x:v>1</x:v>
      </x:c>
      <x:c r="K30" s="234" t="str">
        <x:f>IF(AND(J30&gt;'References'!$B$14,F30&lt;&gt;"Completed",F30&lt;&gt;"Cancelled"),"Overdue Follow-up","OK")</x:f>
        <x:v>OK</x:v>
      </x:c>
      <x:c r="L30" s="234" t="str">
        <x:f>IF(OR(I30&lt;&gt;"OK",K30&lt;&gt;"OK"),IF(I30&lt;&gt;"OK","High Priority Review","Review"),"Ready")</x:f>
        <x:v>Ready</x:v>
      </x:c>
    </x:row>
    <x:row r="31" ht="26" customHeight="1">
      <x:c r="A31" s="236" t="str">
        <x:f>'Appointments Raw'!A31</x:f>
        <x:v>APT-2026-027</x:v>
      </x:c>
      <x:c r="B31" s="236" t="str">
        <x:f>'Appointments Raw'!B31</x:f>
        <x:v>PT-DEMO-027</x:v>
      </x:c>
      <x:c r="C31" s="250" t="n">
        <x:f>'Appointments Raw'!C31</x:f>
        <x:v>46259</x:v>
      </x:c>
      <x:c r="D31" s="236" t="str">
        <x:f>'Appointments Raw'!D31</x:f>
        <x:v>13:00</x:v>
      </x:c>
      <x:c r="E31" s="236" t="str">
        <x:f>'Appointments Raw'!E31</x:f>
        <x:v>North Clinic</x:v>
      </x:c>
      <x:c r="F31" s="236" t="str">
        <x:f>'Appointments Raw'!G31</x:f>
        <x:v>Scheduled</x:v>
      </x:c>
      <x:c r="G31" s="250" t="n">
        <x:f>'Appointments Raw'!K31</x:f>
        <x:v>46244</x:v>
      </x:c>
      <x:c r="H31" s="236" t="n">
        <x:f>COUNTIFS('Appointments Raw'!$C$5:$C$54,C31,'Appointments Raw'!$D$5:$D$54,D31,'Appointments Raw'!$E$5:$E$54,E31)</x:f>
        <x:v>1</x:v>
      </x:c>
      <x:c r="I31" s="236" t="str">
        <x:f>IF(H31&gt;1,"Slot Conflict","OK")</x:f>
        <x:v>OK</x:v>
      </x:c>
      <x:c r="J31" s="236" t="n">
        <x:f>'References'!$B$13-G31</x:f>
        <x:v>7</x:v>
      </x:c>
      <x:c r="K31" s="236" t="str">
        <x:f>IF(AND(J31&gt;'References'!$B$14,F31&lt;&gt;"Completed",F31&lt;&gt;"Cancelled"),"Overdue Follow-up","OK")</x:f>
        <x:v>Overdue Follow-up</x:v>
      </x:c>
      <x:c r="L31" s="236" t="str">
        <x:f>IF(OR(I31&lt;&gt;"OK",K31&lt;&gt;"OK"),IF(I31&lt;&gt;"OK","High Priority Review","Review"),"Ready")</x:f>
        <x:v>Review</x:v>
      </x:c>
    </x:row>
    <x:row r="32" ht="26" customHeight="1">
      <x:c r="A32" s="234" t="str">
        <x:f>'Appointments Raw'!A32</x:f>
        <x:v>APT-2026-028</x:v>
      </x:c>
      <x:c r="B32" s="234" t="str">
        <x:f>'Appointments Raw'!B32</x:f>
        <x:v>PT-DEMO-028</x:v>
      </x:c>
      <x:c r="C32" s="249" t="n">
        <x:f>'Appointments Raw'!C32</x:f>
        <x:v>46260</x:v>
      </x:c>
      <x:c r="D32" s="234" t="str">
        <x:f>'Appointments Raw'!D32</x:f>
        <x:v>14:30</x:v>
      </x:c>
      <x:c r="E32" s="234" t="str">
        <x:f>'Appointments Raw'!E32</x:f>
        <x:v>Central Clinic</x:v>
      </x:c>
      <x:c r="F32" s="234" t="str">
        <x:f>'Appointments Raw'!G32</x:f>
        <x:v>Cancelled</x:v>
      </x:c>
      <x:c r="G32" s="249" t="n">
        <x:f>'Appointments Raw'!K32</x:f>
        <x:v>46250</x:v>
      </x:c>
      <x:c r="H32" s="234" t="n">
        <x:f>COUNTIFS('Appointments Raw'!$C$5:$C$54,C32,'Appointments Raw'!$D$5:$D$54,D32,'Appointments Raw'!$E$5:$E$54,E32)</x:f>
        <x:v>1</x:v>
      </x:c>
      <x:c r="I32" s="234" t="str">
        <x:f>IF(H32&gt;1,"Slot Conflict","OK")</x:f>
        <x:v>OK</x:v>
      </x:c>
      <x:c r="J32" s="234" t="n">
        <x:f>'References'!$B$13-G32</x:f>
        <x:v>1</x:v>
      </x:c>
      <x:c r="K32" s="234" t="str">
        <x:f>IF(AND(J32&gt;'References'!$B$14,F32&lt;&gt;"Completed",F32&lt;&gt;"Cancelled"),"Overdue Follow-up","OK")</x:f>
        <x:v>OK</x:v>
      </x:c>
      <x:c r="L32" s="234" t="str">
        <x:f>IF(OR(I32&lt;&gt;"OK",K32&lt;&gt;"OK"),IF(I32&lt;&gt;"OK","High Priority Review","Review"),"Ready")</x:f>
        <x:v>Ready</x:v>
      </x:c>
    </x:row>
    <x:row r="33" ht="26" customHeight="1">
      <x:c r="A33" s="236" t="str">
        <x:f>'Appointments Raw'!A33</x:f>
        <x:v>APT-2026-029</x:v>
      </x:c>
      <x:c r="B33" s="236" t="str">
        <x:f>'Appointments Raw'!B33</x:f>
        <x:v>PT-DEMO-029</x:v>
      </x:c>
      <x:c r="C33" s="250" t="n">
        <x:f>'Appointments Raw'!C33</x:f>
        <x:v>46261</x:v>
      </x:c>
      <x:c r="D33" s="236" t="str">
        <x:f>'Appointments Raw'!D33</x:f>
        <x:v>14:00</x:v>
      </x:c>
      <x:c r="E33" s="236" t="str">
        <x:f>'Appointments Raw'!E33</x:f>
        <x:v>East Clinic</x:v>
      </x:c>
      <x:c r="F33" s="236" t="str">
        <x:f>'Appointments Raw'!G33</x:f>
        <x:v>Reschedule Requested</x:v>
      </x:c>
      <x:c r="G33" s="250" t="n">
        <x:f>'Appointments Raw'!K33</x:f>
        <x:v>46251</x:v>
      </x:c>
      <x:c r="H33" s="236" t="n">
        <x:f>COUNTIFS('Appointments Raw'!$C$5:$C$54,C33,'Appointments Raw'!$D$5:$D$54,D33,'Appointments Raw'!$E$5:$E$54,E33)</x:f>
        <x:v>1</x:v>
      </x:c>
      <x:c r="I33" s="236" t="str">
        <x:f>IF(H33&gt;1,"Slot Conflict","OK")</x:f>
        <x:v>OK</x:v>
      </x:c>
      <x:c r="J33" s="236" t="n">
        <x:f>'References'!$B$13-G33</x:f>
        <x:v>0</x:v>
      </x:c>
      <x:c r="K33" s="236" t="str">
        <x:f>IF(AND(J33&gt;'References'!$B$14,F33&lt;&gt;"Completed",F33&lt;&gt;"Cancelled"),"Overdue Follow-up","OK")</x:f>
        <x:v>OK</x:v>
      </x:c>
      <x:c r="L33" s="236" t="str">
        <x:f>IF(OR(I33&lt;&gt;"OK",K33&lt;&gt;"OK"),IF(I33&lt;&gt;"OK","High Priority Review","Review"),"Ready")</x:f>
        <x:v>Ready</x:v>
      </x:c>
    </x:row>
    <x:row r="34" ht="26" customHeight="1">
      <x:c r="A34" s="234" t="str">
        <x:f>'Appointments Raw'!A34</x:f>
        <x:v>APT-2026-030</x:v>
      </x:c>
      <x:c r="B34" s="234" t="str">
        <x:f>'Appointments Raw'!B34</x:f>
        <x:v>PT-DEMO-030</x:v>
      </x:c>
      <x:c r="C34" s="249" t="n">
        <x:f>'Appointments Raw'!C34</x:f>
        <x:v>46252</x:v>
      </x:c>
      <x:c r="D34" s="234" t="str">
        <x:f>'Appointments Raw'!D34</x:f>
        <x:v>15:30</x:v>
      </x:c>
      <x:c r="E34" s="234" t="str">
        <x:f>'Appointments Raw'!E34</x:f>
        <x:v>North Clinic</x:v>
      </x:c>
      <x:c r="F34" s="234" t="str">
        <x:f>'Appointments Raw'!G34</x:f>
        <x:v>Scheduled</x:v>
      </x:c>
      <x:c r="G34" s="249" t="n">
        <x:f>'Appointments Raw'!K34</x:f>
        <x:v>46250</x:v>
      </x:c>
      <x:c r="H34" s="234" t="n">
        <x:f>COUNTIFS('Appointments Raw'!$C$5:$C$54,C34,'Appointments Raw'!$D$5:$D$54,D34,'Appointments Raw'!$E$5:$E$54,E34)</x:f>
        <x:v>1</x:v>
      </x:c>
      <x:c r="I34" s="234" t="str">
        <x:f>IF(H34&gt;1,"Slot Conflict","OK")</x:f>
        <x:v>OK</x:v>
      </x:c>
      <x:c r="J34" s="234" t="n">
        <x:f>'References'!$B$13-G34</x:f>
        <x:v>1</x:v>
      </x:c>
      <x:c r="K34" s="234" t="str">
        <x:f>IF(AND(J34&gt;'References'!$B$14,F34&lt;&gt;"Completed",F34&lt;&gt;"Cancelled"),"Overdue Follow-up","OK")</x:f>
        <x:v>OK</x:v>
      </x:c>
      <x:c r="L34" s="234" t="str">
        <x:f>IF(OR(I34&lt;&gt;"OK",K34&lt;&gt;"OK"),IF(I34&lt;&gt;"OK","High Priority Review","Review"),"Ready")</x:f>
        <x:v>Ready</x:v>
      </x:c>
    </x:row>
    <x:row r="35" ht="26" customHeight="1">
      <x:c r="A35" s="236" t="str">
        <x:f>'Appointments Raw'!A35</x:f>
        <x:v>APT-2026-031</x:v>
      </x:c>
      <x:c r="B35" s="236" t="str">
        <x:f>'Appointments Raw'!B35</x:f>
        <x:v>PT-DEMO-031</x:v>
      </x:c>
      <x:c r="C35" s="250" t="n">
        <x:f>'Appointments Raw'!C35</x:f>
        <x:v>46253</x:v>
      </x:c>
      <x:c r="D35" s="236" t="str">
        <x:f>'Appointments Raw'!D35</x:f>
        <x:v>15:00</x:v>
      </x:c>
      <x:c r="E35" s="236" t="str">
        <x:f>'Appointments Raw'!E35</x:f>
        <x:v>Central Clinic</x:v>
      </x:c>
      <x:c r="F35" s="236" t="str">
        <x:f>'Appointments Raw'!G35</x:f>
        <x:v>Confirmed</x:v>
      </x:c>
      <x:c r="G35" s="250" t="n">
        <x:f>'Appointments Raw'!K35</x:f>
        <x:v>46251</x:v>
      </x:c>
      <x:c r="H35" s="236" t="n">
        <x:f>COUNTIFS('Appointments Raw'!$C$5:$C$54,C35,'Appointments Raw'!$D$5:$D$54,D35,'Appointments Raw'!$E$5:$E$54,E35)</x:f>
        <x:v>1</x:v>
      </x:c>
      <x:c r="I35" s="236" t="str">
        <x:f>IF(H35&gt;1,"Slot Conflict","OK")</x:f>
        <x:v>OK</x:v>
      </x:c>
      <x:c r="J35" s="236" t="n">
        <x:f>'References'!$B$13-G35</x:f>
        <x:v>0</x:v>
      </x:c>
      <x:c r="K35" s="236" t="str">
        <x:f>IF(AND(J35&gt;'References'!$B$14,F35&lt;&gt;"Completed",F35&lt;&gt;"Cancelled"),"Overdue Follow-up","OK")</x:f>
        <x:v>OK</x:v>
      </x:c>
      <x:c r="L35" s="236" t="str">
        <x:f>IF(OR(I35&lt;&gt;"OK",K35&lt;&gt;"OK"),IF(I35&lt;&gt;"OK","High Priority Review","Review"),"Ready")</x:f>
        <x:v>Ready</x:v>
      </x:c>
    </x:row>
    <x:row r="36" ht="26" customHeight="1">
      <x:c r="A36" s="234" t="str">
        <x:f>'Appointments Raw'!A36</x:f>
        <x:v>APT-2026-032</x:v>
      </x:c>
      <x:c r="B36" s="234" t="str">
        <x:f>'Appointments Raw'!B36</x:f>
        <x:v>PT-DEMO-032</x:v>
      </x:c>
      <x:c r="C36" s="249" t="n">
        <x:f>'Appointments Raw'!C36</x:f>
        <x:v>46254</x:v>
      </x:c>
      <x:c r="D36" s="234" t="str">
        <x:f>'Appointments Raw'!D36</x:f>
        <x:v>08:30</x:v>
      </x:c>
      <x:c r="E36" s="234" t="str">
        <x:f>'Appointments Raw'!E36</x:f>
        <x:v>East Clinic</x:v>
      </x:c>
      <x:c r="F36" s="234" t="str">
        <x:f>'Appointments Raw'!G36</x:f>
        <x:v>Completed</x:v>
      </x:c>
      <x:c r="G36" s="249" t="n">
        <x:f>'Appointments Raw'!K36</x:f>
        <x:v>46250</x:v>
      </x:c>
      <x:c r="H36" s="234" t="n">
        <x:f>COUNTIFS('Appointments Raw'!$C$5:$C$54,C36,'Appointments Raw'!$D$5:$D$54,D36,'Appointments Raw'!$E$5:$E$54,E36)</x:f>
        <x:v>1</x:v>
      </x:c>
      <x:c r="I36" s="234" t="str">
        <x:f>IF(H36&gt;1,"Slot Conflict","OK")</x:f>
        <x:v>OK</x:v>
      </x:c>
      <x:c r="J36" s="234" t="n">
        <x:f>'References'!$B$13-G36</x:f>
        <x:v>1</x:v>
      </x:c>
      <x:c r="K36" s="234" t="str">
        <x:f>IF(AND(J36&gt;'References'!$B$14,F36&lt;&gt;"Completed",F36&lt;&gt;"Cancelled"),"Overdue Follow-up","OK")</x:f>
        <x:v>OK</x:v>
      </x:c>
      <x:c r="L36" s="234" t="str">
        <x:f>IF(OR(I36&lt;&gt;"OK",K36&lt;&gt;"OK"),IF(I36&lt;&gt;"OK","High Priority Review","Review"),"Ready")</x:f>
        <x:v>Ready</x:v>
      </x:c>
    </x:row>
    <x:row r="37" ht="26" customHeight="1">
      <x:c r="A37" s="236" t="str">
        <x:f>'Appointments Raw'!A37</x:f>
        <x:v>APT-2026-033</x:v>
      </x:c>
      <x:c r="B37" s="236" t="str">
        <x:f>'Appointments Raw'!B37</x:f>
        <x:v>PT-DEMO-033</x:v>
      </x:c>
      <x:c r="C37" s="250" t="n">
        <x:f>'Appointments Raw'!C37</x:f>
        <x:v>46255</x:v>
      </x:c>
      <x:c r="D37" s="236" t="str">
        <x:f>'Appointments Raw'!D37</x:f>
        <x:v>08:00</x:v>
      </x:c>
      <x:c r="E37" s="236" t="str">
        <x:f>'Appointments Raw'!E37</x:f>
        <x:v>North Clinic</x:v>
      </x:c>
      <x:c r="F37" s="236" t="str">
        <x:f>'Appointments Raw'!G37</x:f>
        <x:v>Cancelled</x:v>
      </x:c>
      <x:c r="G37" s="250" t="n">
        <x:f>'Appointments Raw'!K37</x:f>
        <x:v>46251</x:v>
      </x:c>
      <x:c r="H37" s="236" t="n">
        <x:f>COUNTIFS('Appointments Raw'!$C$5:$C$54,C37,'Appointments Raw'!$D$5:$D$54,D37,'Appointments Raw'!$E$5:$E$54,E37)</x:f>
        <x:v>1</x:v>
      </x:c>
      <x:c r="I37" s="236" t="str">
        <x:f>IF(H37&gt;1,"Slot Conflict","OK")</x:f>
        <x:v>OK</x:v>
      </x:c>
      <x:c r="J37" s="236" t="n">
        <x:f>'References'!$B$13-G37</x:f>
        <x:v>0</x:v>
      </x:c>
      <x:c r="K37" s="236" t="str">
        <x:f>IF(AND(J37&gt;'References'!$B$14,F37&lt;&gt;"Completed",F37&lt;&gt;"Cancelled"),"Overdue Follow-up","OK")</x:f>
        <x:v>OK</x:v>
      </x:c>
      <x:c r="L37" s="236" t="str">
        <x:f>IF(OR(I37&lt;&gt;"OK",K37&lt;&gt;"OK"),IF(I37&lt;&gt;"OK","High Priority Review","Review"),"Ready")</x:f>
        <x:v>Ready</x:v>
      </x:c>
    </x:row>
    <x:row r="38" ht="26" customHeight="1">
      <x:c r="A38" s="234" t="str">
        <x:f>'Appointments Raw'!A38</x:f>
        <x:v>APT-2026-034</x:v>
      </x:c>
      <x:c r="B38" s="234" t="str">
        <x:f>'Appointments Raw'!B38</x:f>
        <x:v>PT-DEMO-034</x:v>
      </x:c>
      <x:c r="C38" s="249" t="n">
        <x:f>'Appointments Raw'!C38</x:f>
        <x:v>46255</x:v>
      </x:c>
      <x:c r="D38" s="234" t="str">
        <x:f>'Appointments Raw'!D38</x:f>
        <x:v>14:00</x:v>
      </x:c>
      <x:c r="E38" s="234" t="str">
        <x:f>'Appointments Raw'!E38</x:f>
        <x:v>East Clinic</x:v>
      </x:c>
      <x:c r="F38" s="234" t="str">
        <x:f>'Appointments Raw'!G38</x:f>
        <x:v>Reschedule Requested</x:v>
      </x:c>
      <x:c r="G38" s="249" t="n">
        <x:f>'Appointments Raw'!K38</x:f>
        <x:v>46250</x:v>
      </x:c>
      <x:c r="H38" s="234" t="n">
        <x:f>COUNTIFS('Appointments Raw'!$C$5:$C$54,C38,'Appointments Raw'!$D$5:$D$54,D38,'Appointments Raw'!$E$5:$E$54,E38)</x:f>
        <x:v>2</x:v>
      </x:c>
      <x:c r="I38" s="234" t="str">
        <x:f>IF(H38&gt;1,"Slot Conflict","OK")</x:f>
        <x:v>Slot Conflict</x:v>
      </x:c>
      <x:c r="J38" s="234" t="n">
        <x:f>'References'!$B$13-G38</x:f>
        <x:v>1</x:v>
      </x:c>
      <x:c r="K38" s="234" t="str">
        <x:f>IF(AND(J38&gt;'References'!$B$14,F38&lt;&gt;"Completed",F38&lt;&gt;"Cancelled"),"Overdue Follow-up","OK")</x:f>
        <x:v>OK</x:v>
      </x:c>
      <x:c r="L38" s="234" t="str">
        <x:f>IF(OR(I38&lt;&gt;"OK",K38&lt;&gt;"OK"),IF(I38&lt;&gt;"OK","High Priority Review","Review"),"Ready")</x:f>
        <x:v>High Priority Review</x:v>
      </x:c>
    </x:row>
    <x:row r="39" ht="26" customHeight="1">
      <x:c r="A39" s="236" t="str">
        <x:f>'Appointments Raw'!A39</x:f>
        <x:v>APT-2026-035</x:v>
      </x:c>
      <x:c r="B39" s="236" t="str">
        <x:f>'Appointments Raw'!B39</x:f>
        <x:v>PT-DEMO-035</x:v>
      </x:c>
      <x:c r="C39" s="250" t="n">
        <x:f>'Appointments Raw'!C39</x:f>
        <x:v>46255</x:v>
      </x:c>
      <x:c r="D39" s="236" t="str">
        <x:f>'Appointments Raw'!D39</x:f>
        <x:v>14:00</x:v>
      </x:c>
      <x:c r="E39" s="236" t="str">
        <x:f>'Appointments Raw'!E39</x:f>
        <x:v>East Clinic</x:v>
      </x:c>
      <x:c r="F39" s="236" t="str">
        <x:f>'Appointments Raw'!G39</x:f>
        <x:v>Scheduled</x:v>
      </x:c>
      <x:c r="G39" s="250" t="n">
        <x:f>'Appointments Raw'!K39</x:f>
        <x:v>46251</x:v>
      </x:c>
      <x:c r="H39" s="236" t="n">
        <x:f>COUNTIFS('Appointments Raw'!$C$5:$C$54,C39,'Appointments Raw'!$D$5:$D$54,D39,'Appointments Raw'!$E$5:$E$54,E39)</x:f>
        <x:v>2</x:v>
      </x:c>
      <x:c r="I39" s="236" t="str">
        <x:f>IF(H39&gt;1,"Slot Conflict","OK")</x:f>
        <x:v>Slot Conflict</x:v>
      </x:c>
      <x:c r="J39" s="236" t="n">
        <x:f>'References'!$B$13-G39</x:f>
        <x:v>0</x:v>
      </x:c>
      <x:c r="K39" s="236" t="str">
        <x:f>IF(AND(J39&gt;'References'!$B$14,F39&lt;&gt;"Completed",F39&lt;&gt;"Cancelled"),"Overdue Follow-up","OK")</x:f>
        <x:v>OK</x:v>
      </x:c>
      <x:c r="L39" s="236" t="str">
        <x:f>IF(OR(I39&lt;&gt;"OK",K39&lt;&gt;"OK"),IF(I39&lt;&gt;"OK","High Priority Review","Review"),"Ready")</x:f>
        <x:v>High Priority Review</x:v>
      </x:c>
    </x:row>
    <x:row r="40" ht="26" customHeight="1">
      <x:c r="A40" s="234" t="str">
        <x:f>'Appointments Raw'!A40</x:f>
        <x:v>APT-2026-036</x:v>
      </x:c>
      <x:c r="B40" s="234" t="str">
        <x:f>'Appointments Raw'!B40</x:f>
        <x:v>PT-DEMO-036</x:v>
      </x:c>
      <x:c r="C40" s="249" t="n">
        <x:f>'Appointments Raw'!C40</x:f>
        <x:v>46258</x:v>
      </x:c>
      <x:c r="D40" s="234" t="str">
        <x:f>'Appointments Raw'!D40</x:f>
        <x:v>10:30</x:v>
      </x:c>
      <x:c r="E40" s="234" t="str">
        <x:f>'Appointments Raw'!E40</x:f>
        <x:v>North Clinic</x:v>
      </x:c>
      <x:c r="F40" s="234" t="str">
        <x:f>'Appointments Raw'!G40</x:f>
        <x:v>Confirmed</x:v>
      </x:c>
      <x:c r="G40" s="249" t="n">
        <x:f>'Appointments Raw'!K40</x:f>
        <x:v>46250</x:v>
      </x:c>
      <x:c r="H40" s="234" t="n">
        <x:f>COUNTIFS('Appointments Raw'!$C$5:$C$54,C40,'Appointments Raw'!$D$5:$D$54,D40,'Appointments Raw'!$E$5:$E$54,E40)</x:f>
        <x:v>1</x:v>
      </x:c>
      <x:c r="I40" s="234" t="str">
        <x:f>IF(H40&gt;1,"Slot Conflict","OK")</x:f>
        <x:v>OK</x:v>
      </x:c>
      <x:c r="J40" s="234" t="n">
        <x:f>'References'!$B$13-G40</x:f>
        <x:v>1</x:v>
      </x:c>
      <x:c r="K40" s="234" t="str">
        <x:f>IF(AND(J40&gt;'References'!$B$14,F40&lt;&gt;"Completed",F40&lt;&gt;"Cancelled"),"Overdue Follow-up","OK")</x:f>
        <x:v>OK</x:v>
      </x:c>
      <x:c r="L40" s="234" t="str">
        <x:f>IF(OR(I40&lt;&gt;"OK",K40&lt;&gt;"OK"),IF(I40&lt;&gt;"OK","High Priority Review","Review"),"Ready")</x:f>
        <x:v>Ready</x:v>
      </x:c>
    </x:row>
    <x:row r="41" ht="26" customHeight="1">
      <x:c r="A41" s="236" t="str">
        <x:f>'Appointments Raw'!A41</x:f>
        <x:v>APT-2026-036</x:v>
      </x:c>
      <x:c r="B41" s="236" t="str">
        <x:f>'Appointments Raw'!B41</x:f>
        <x:v>PT-DEMO-037</x:v>
      </x:c>
      <x:c r="C41" s="250" t="n">
        <x:f>'Appointments Raw'!C41</x:f>
        <x:v>46259</x:v>
      </x:c>
      <x:c r="D41" s="236" t="str">
        <x:f>'Appointments Raw'!D41</x:f>
        <x:v>10:00</x:v>
      </x:c>
      <x:c r="E41" s="236" t="str">
        <x:f>'Appointments Raw'!E41</x:f>
        <x:v>Central Clinic</x:v>
      </x:c>
      <x:c r="F41" s="236" t="str">
        <x:f>'Appointments Raw'!G41</x:f>
        <x:v>Completed</x:v>
      </x:c>
      <x:c r="G41" s="250" t="n">
        <x:f>'Appointments Raw'!K41</x:f>
        <x:v>46251</x:v>
      </x:c>
      <x:c r="H41" s="236" t="n">
        <x:f>COUNTIFS('Appointments Raw'!$C$5:$C$54,C41,'Appointments Raw'!$D$5:$D$54,D41,'Appointments Raw'!$E$5:$E$54,E41)</x:f>
        <x:v>1</x:v>
      </x:c>
      <x:c r="I41" s="236" t="str">
        <x:f>IF(H41&gt;1,"Slot Conflict","OK")</x:f>
        <x:v>OK</x:v>
      </x:c>
      <x:c r="J41" s="236" t="n">
        <x:f>'References'!$B$13-G41</x:f>
        <x:v>0</x:v>
      </x:c>
      <x:c r="K41" s="236" t="str">
        <x:f>IF(AND(J41&gt;'References'!$B$14,F41&lt;&gt;"Completed",F41&lt;&gt;"Cancelled"),"Overdue Follow-up","OK")</x:f>
        <x:v>OK</x:v>
      </x:c>
      <x:c r="L41" s="236" t="str">
        <x:f>IF(OR(I41&lt;&gt;"OK",K41&lt;&gt;"OK"),IF(I41&lt;&gt;"OK","High Priority Review","Review"),"Ready")</x:f>
        <x:v>Ready</x:v>
      </x:c>
    </x:row>
    <x:row r="42" ht="26" customHeight="1">
      <x:c r="A42" s="234" t="str">
        <x:f>'Appointments Raw'!A42</x:f>
        <x:v>APT-2026-038</x:v>
      </x:c>
      <x:c r="B42" s="234" t="str">
        <x:f>'Appointments Raw'!B42</x:f>
        <x:v>PT-DEMO-038</x:v>
      </x:c>
      <x:c r="C42" s="249" t="n">
        <x:f>'Appointments Raw'!C42</x:f>
        <x:v>46260</x:v>
      </x:c>
      <x:c r="D42" s="234" t="str">
        <x:f>'Appointments Raw'!D42</x:f>
        <x:v>11:30</x:v>
      </x:c>
      <x:c r="E42" s="234" t="str">
        <x:f>'Appointments Raw'!E42</x:f>
        <x:v>East Clinic</x:v>
      </x:c>
      <x:c r="F42" s="234" t="str">
        <x:f>'Appointments Raw'!G42</x:f>
        <x:v>Cancelled</x:v>
      </x:c>
      <x:c r="G42" s="249" t="n">
        <x:f>'Appointments Raw'!K42</x:f>
        <x:v>46250</x:v>
      </x:c>
      <x:c r="H42" s="234" t="n">
        <x:f>COUNTIFS('Appointments Raw'!$C$5:$C$54,C42,'Appointments Raw'!$D$5:$D$54,D42,'Appointments Raw'!$E$5:$E$54,E42)</x:f>
        <x:v>1</x:v>
      </x:c>
      <x:c r="I42" s="234" t="str">
        <x:f>IF(H42&gt;1,"Slot Conflict","OK")</x:f>
        <x:v>OK</x:v>
      </x:c>
      <x:c r="J42" s="234" t="n">
        <x:f>'References'!$B$13-G42</x:f>
        <x:v>1</x:v>
      </x:c>
      <x:c r="K42" s="234" t="str">
        <x:f>IF(AND(J42&gt;'References'!$B$14,F42&lt;&gt;"Completed",F42&lt;&gt;"Cancelled"),"Overdue Follow-up","OK")</x:f>
        <x:v>OK</x:v>
      </x:c>
      <x:c r="L42" s="234" t="str">
        <x:f>IF(OR(I42&lt;&gt;"OK",K42&lt;&gt;"OK"),IF(I42&lt;&gt;"OK","High Priority Review","Review"),"Ready")</x:f>
        <x:v>Ready</x:v>
      </x:c>
    </x:row>
    <x:row r="43" ht="26" customHeight="1">
      <x:c r="A43" s="236" t="str">
        <x:f>'Appointments Raw'!A43</x:f>
        <x:v>APT-2026-039</x:v>
      </x:c>
      <x:c r="B43" s="236" t="str">
        <x:f>'Appointments Raw'!B43</x:f>
        <x:v>PT-DEMO-039</x:v>
      </x:c>
      <x:c r="C43" s="250" t="n">
        <x:f>'Appointments Raw'!C43</x:f>
        <x:v>46261</x:v>
      </x:c>
      <x:c r="D43" s="236" t="str">
        <x:f>'Appointments Raw'!D43</x:f>
        <x:v>11:00</x:v>
      </x:c>
      <x:c r="E43" s="236" t="str">
        <x:f>'Appointments Raw'!E43</x:f>
        <x:v>North Clinic</x:v>
      </x:c>
      <x:c r="F43" s="236" t="str">
        <x:f>'Appointments Raw'!G43</x:f>
        <x:v>Scheduled</x:v>
      </x:c>
      <x:c r="G43" s="250" t="n">
        <x:f>'Appointments Raw'!K43</x:f>
        <x:v>46244</x:v>
      </x:c>
      <x:c r="H43" s="236" t="n">
        <x:f>COUNTIFS('Appointments Raw'!$C$5:$C$54,C43,'Appointments Raw'!$D$5:$D$54,D43,'Appointments Raw'!$E$5:$E$54,E43)</x:f>
        <x:v>1</x:v>
      </x:c>
      <x:c r="I43" s="236" t="str">
        <x:f>IF(H43&gt;1,"Slot Conflict","OK")</x:f>
        <x:v>OK</x:v>
      </x:c>
      <x:c r="J43" s="236" t="n">
        <x:f>'References'!$B$13-G43</x:f>
        <x:v>7</x:v>
      </x:c>
      <x:c r="K43" s="236" t="str">
        <x:f>IF(AND(J43&gt;'References'!$B$14,F43&lt;&gt;"Completed",F43&lt;&gt;"Cancelled"),"Overdue Follow-up","OK")</x:f>
        <x:v>Overdue Follow-up</x:v>
      </x:c>
      <x:c r="L43" s="236" t="str">
        <x:f>IF(OR(I43&lt;&gt;"OK",K43&lt;&gt;"OK"),IF(I43&lt;&gt;"OK","High Priority Review","Review"),"Ready")</x:f>
        <x:v>Review</x:v>
      </x:c>
    </x:row>
    <x:row r="44" ht="26" customHeight="1">
      <x:c r="A44" s="234" t="str">
        <x:f>'Appointments Raw'!A44</x:f>
        <x:v>APT-2026-040</x:v>
      </x:c>
      <x:c r="B44" s="234" t="str">
        <x:f>'Appointments Raw'!B44</x:f>
        <x:v>PT-DEMO-040</x:v>
      </x:c>
      <x:c r="C44" s="249" t="n">
        <x:f>'Appointments Raw'!C44</x:f>
        <x:v>46252</x:v>
      </x:c>
      <x:c r="D44" s="234" t="str">
        <x:f>'Appointments Raw'!D44</x:f>
        <x:v>12:30</x:v>
      </x:c>
      <x:c r="E44" s="234" t="str">
        <x:f>'Appointments Raw'!E44</x:f>
        <x:v>Central Clinic</x:v>
      </x:c>
      <x:c r="F44" s="234" t="str">
        <x:f>'Appointments Raw'!G44</x:f>
        <x:v>Scheduled</x:v>
      </x:c>
      <x:c r="G44" s="249" t="n">
        <x:f>'Appointments Raw'!K44</x:f>
        <x:v>46250</x:v>
      </x:c>
      <x:c r="H44" s="234" t="n">
        <x:f>COUNTIFS('Appointments Raw'!$C$5:$C$54,C44,'Appointments Raw'!$D$5:$D$54,D44,'Appointments Raw'!$E$5:$E$54,E44)</x:f>
        <x:v>1</x:v>
      </x:c>
      <x:c r="I44" s="234" t="str">
        <x:f>IF(H44&gt;1,"Slot Conflict","OK")</x:f>
        <x:v>OK</x:v>
      </x:c>
      <x:c r="J44" s="234" t="n">
        <x:f>'References'!$B$13-G44</x:f>
        <x:v>1</x:v>
      </x:c>
      <x:c r="K44" s="234" t="str">
        <x:f>IF(AND(J44&gt;'References'!$B$14,F44&lt;&gt;"Completed",F44&lt;&gt;"Cancelled"),"Overdue Follow-up","OK")</x:f>
        <x:v>OK</x:v>
      </x:c>
      <x:c r="L44" s="234" t="str">
        <x:f>IF(OR(I44&lt;&gt;"OK",K44&lt;&gt;"OK"),IF(I44&lt;&gt;"OK","High Priority Review","Review"),"Ready")</x:f>
        <x:v>Ready</x:v>
      </x:c>
    </x:row>
    <x:row r="45" ht="26" customHeight="1">
      <x:c r="A45" s="236" t="str">
        <x:f>'Appointments Raw'!A45</x:f>
        <x:v>APT-2026-041</x:v>
      </x:c>
      <x:c r="B45" s="236" t="str">
        <x:f>'Appointments Raw'!B45</x:f>
        <x:v>PT-DEMO-041</x:v>
      </x:c>
      <x:c r="C45" s="250" t="n">
        <x:f>'Appointments Raw'!C45</x:f>
        <x:v>46253</x:v>
      </x:c>
      <x:c r="D45" s="236" t="str">
        <x:f>'Appointments Raw'!D45</x:f>
        <x:v>12:00</x:v>
      </x:c>
      <x:c r="E45" s="236" t="str">
        <x:f>'Appointments Raw'!E45</x:f>
        <x:v>East Clinic</x:v>
      </x:c>
      <x:c r="F45" s="236" t="str">
        <x:f>'Appointments Raw'!G45</x:f>
        <x:v>Confirmed</x:v>
      </x:c>
      <x:c r="G45" s="250" t="n">
        <x:f>'Appointments Raw'!K45</x:f>
        <x:v>46251</x:v>
      </x:c>
      <x:c r="H45" s="236" t="n">
        <x:f>COUNTIFS('Appointments Raw'!$C$5:$C$54,C45,'Appointments Raw'!$D$5:$D$54,D45,'Appointments Raw'!$E$5:$E$54,E45)</x:f>
        <x:v>1</x:v>
      </x:c>
      <x:c r="I45" s="236" t="str">
        <x:f>IF(H45&gt;1,"Slot Conflict","OK")</x:f>
        <x:v>OK</x:v>
      </x:c>
      <x:c r="J45" s="236" t="n">
        <x:f>'References'!$B$13-G45</x:f>
        <x:v>0</x:v>
      </x:c>
      <x:c r="K45" s="236" t="str">
        <x:f>IF(AND(J45&gt;'References'!$B$14,F45&lt;&gt;"Completed",F45&lt;&gt;"Cancelled"),"Overdue Follow-up","OK")</x:f>
        <x:v>OK</x:v>
      </x:c>
      <x:c r="L45" s="236" t="str">
        <x:f>IF(OR(I45&lt;&gt;"OK",K45&lt;&gt;"OK"),IF(I45&lt;&gt;"OK","High Priority Review","Review"),"Ready")</x:f>
        <x:v>Ready</x:v>
      </x:c>
    </x:row>
    <x:row r="46" ht="26" customHeight="1">
      <x:c r="A46" s="234" t="str">
        <x:f>'Appointments Raw'!A46</x:f>
        <x:v>APT-2026-042</x:v>
      </x:c>
      <x:c r="B46" s="234" t="str">
        <x:f>'Appointments Raw'!B46</x:f>
        <x:v>PT-DEMO-042</x:v>
      </x:c>
      <x:c r="C46" s="249" t="n">
        <x:f>'Appointments Raw'!C46</x:f>
        <x:v>46254</x:v>
      </x:c>
      <x:c r="D46" s="234" t="str">
        <x:f>'Appointments Raw'!D46</x:f>
        <x:v>13:30</x:v>
      </x:c>
      <x:c r="E46" s="234" t="str">
        <x:f>'Appointments Raw'!E46</x:f>
        <x:v>North Clinic</x:v>
      </x:c>
      <x:c r="F46" s="234" t="str">
        <x:f>'Appointments Raw'!G46</x:f>
        <x:v>Completed</x:v>
      </x:c>
      <x:c r="G46" s="249" t="n">
        <x:f>'Appointments Raw'!K46</x:f>
        <x:v>46250</x:v>
      </x:c>
      <x:c r="H46" s="234" t="n">
        <x:f>COUNTIFS('Appointments Raw'!$C$5:$C$54,C46,'Appointments Raw'!$D$5:$D$54,D46,'Appointments Raw'!$E$5:$E$54,E46)</x:f>
        <x:v>1</x:v>
      </x:c>
      <x:c r="I46" s="234" t="str">
        <x:f>IF(H46&gt;1,"Slot Conflict","OK")</x:f>
        <x:v>OK</x:v>
      </x:c>
      <x:c r="J46" s="234" t="n">
        <x:f>'References'!$B$13-G46</x:f>
        <x:v>1</x:v>
      </x:c>
      <x:c r="K46" s="234" t="str">
        <x:f>IF(AND(J46&gt;'References'!$B$14,F46&lt;&gt;"Completed",F46&lt;&gt;"Cancelled"),"Overdue Follow-up","OK")</x:f>
        <x:v>OK</x:v>
      </x:c>
      <x:c r="L46" s="234" t="str">
        <x:f>IF(OR(I46&lt;&gt;"OK",K46&lt;&gt;"OK"),IF(I46&lt;&gt;"OK","High Priority Review","Review"),"Ready")</x:f>
        <x:v>Ready</x:v>
      </x:c>
    </x:row>
    <x:row r="47" ht="26" customHeight="1">
      <x:c r="A47" s="236" t="str">
        <x:f>'Appointments Raw'!A47</x:f>
        <x:v>APT-2026-043</x:v>
      </x:c>
      <x:c r="B47" s="236" t="str">
        <x:f>'Appointments Raw'!B47</x:f>
        <x:v>PT-DEMO-043</x:v>
      </x:c>
      <x:c r="C47" s="250" t="n">
        <x:f>'Appointments Raw'!C47</x:f>
        <x:v>46255</x:v>
      </x:c>
      <x:c r="D47" s="236" t="str">
        <x:f>'Appointments Raw'!D47</x:f>
        <x:v>13:00</x:v>
      </x:c>
      <x:c r="E47" s="236" t="str">
        <x:f>'Appointments Raw'!E47</x:f>
        <x:v>Central Clinic</x:v>
      </x:c>
      <x:c r="F47" s="236" t="str">
        <x:f>'Appointments Raw'!G47</x:f>
        <x:v>Cancelled</x:v>
      </x:c>
      <x:c r="G47" s="250" t="n">
        <x:f>'Appointments Raw'!K47</x:f>
        <x:v>46251</x:v>
      </x:c>
      <x:c r="H47" s="236" t="n">
        <x:f>COUNTIFS('Appointments Raw'!$C$5:$C$54,C47,'Appointments Raw'!$D$5:$D$54,D47,'Appointments Raw'!$E$5:$E$54,E47)</x:f>
        <x:v>1</x:v>
      </x:c>
      <x:c r="I47" s="236" t="str">
        <x:f>IF(H47&gt;1,"Slot Conflict","OK")</x:f>
        <x:v>OK</x:v>
      </x:c>
      <x:c r="J47" s="236" t="n">
        <x:f>'References'!$B$13-G47</x:f>
        <x:v>0</x:v>
      </x:c>
      <x:c r="K47" s="236" t="str">
        <x:f>IF(AND(J47&gt;'References'!$B$14,F47&lt;&gt;"Completed",F47&lt;&gt;"Cancelled"),"Overdue Follow-up","OK")</x:f>
        <x:v>OK</x:v>
      </x:c>
      <x:c r="L47" s="236" t="str">
        <x:f>IF(OR(I47&lt;&gt;"OK",K47&lt;&gt;"OK"),IF(I47&lt;&gt;"OK","High Priority Review","Review"),"Ready")</x:f>
        <x:v>Ready</x:v>
      </x:c>
    </x:row>
    <x:row r="48" ht="26" customHeight="1">
      <x:c r="A48" s="234" t="str">
        <x:f>'Appointments Raw'!A48</x:f>
        <x:v>APT-2026-044</x:v>
      </x:c>
      <x:c r="B48" s="234" t="str">
        <x:f>'Appointments Raw'!B48</x:f>
        <x:v>PT-DEMO-134</x:v>
      </x:c>
      <x:c r="C48" s="249" t="n">
        <x:f>'Appointments Raw'!C48</x:f>
        <x:v>46256</x:v>
      </x:c>
      <x:c r="D48" s="234" t="str">
        <x:f>'Appointments Raw'!D48</x:f>
        <x:v>14:30</x:v>
      </x:c>
      <x:c r="E48" s="234" t="str">
        <x:f>'Appointments Raw'!E48</x:f>
        <x:v>East Clinic</x:v>
      </x:c>
      <x:c r="F48" s="234" t="str">
        <x:f>'Appointments Raw'!G48</x:f>
        <x:v>Reschedule Requested</x:v>
      </x:c>
      <x:c r="G48" s="249" t="n">
        <x:f>'Appointments Raw'!K48</x:f>
        <x:v>46250</x:v>
      </x:c>
      <x:c r="H48" s="234" t="n">
        <x:f>COUNTIFS('Appointments Raw'!$C$5:$C$54,C48,'Appointments Raw'!$D$5:$D$54,D48,'Appointments Raw'!$E$5:$E$54,E48)</x:f>
        <x:v>1</x:v>
      </x:c>
      <x:c r="I48" s="234" t="str">
        <x:f>IF(H48&gt;1,"Slot Conflict","OK")</x:f>
        <x:v>OK</x:v>
      </x:c>
      <x:c r="J48" s="234" t="n">
        <x:f>'References'!$B$13-G48</x:f>
        <x:v>1</x:v>
      </x:c>
      <x:c r="K48" s="234" t="str">
        <x:f>IF(AND(J48&gt;'References'!$B$14,F48&lt;&gt;"Completed",F48&lt;&gt;"Cancelled"),"Overdue Follow-up","OK")</x:f>
        <x:v>OK</x:v>
      </x:c>
      <x:c r="L48" s="234" t="str">
        <x:f>IF(OR(I48&lt;&gt;"OK",K48&lt;&gt;"OK"),IF(I48&lt;&gt;"OK","High Priority Review","Review"),"Ready")</x:f>
        <x:v>Ready</x:v>
      </x:c>
    </x:row>
    <x:row r="49" ht="26" customHeight="1">
      <x:c r="A49" s="236" t="str">
        <x:f>'Appointments Raw'!A49</x:f>
        <x:v>APT-2026-045</x:v>
      </x:c>
      <x:c r="B49" s="236" t="str">
        <x:f>'Appointments Raw'!B49</x:f>
        <x:v>PT-DEMO-045</x:v>
      </x:c>
      <x:c r="C49" s="250" t="n">
        <x:f>'Appointments Raw'!C49</x:f>
        <x:v>46257</x:v>
      </x:c>
      <x:c r="D49" s="236" t="str">
        <x:f>'Appointments Raw'!D49</x:f>
        <x:v>14:00</x:v>
      </x:c>
      <x:c r="E49" s="236" t="str">
        <x:f>'Appointments Raw'!E49</x:f>
        <x:v>North Clinic</x:v>
      </x:c>
      <x:c r="F49" s="236" t="str">
        <x:f>'Appointments Raw'!G49</x:f>
        <x:v>Scheduled</x:v>
      </x:c>
      <x:c r="G49" s="250" t="n">
        <x:f>'Appointments Raw'!K49</x:f>
        <x:v>46251</x:v>
      </x:c>
      <x:c r="H49" s="236" t="n">
        <x:f>COUNTIFS('Appointments Raw'!$C$5:$C$54,C49,'Appointments Raw'!$D$5:$D$54,D49,'Appointments Raw'!$E$5:$E$54,E49)</x:f>
        <x:v>1</x:v>
      </x:c>
      <x:c r="I49" s="236" t="str">
        <x:f>IF(H49&gt;1,"Slot Conflict","OK")</x:f>
        <x:v>OK</x:v>
      </x:c>
      <x:c r="J49" s="236" t="n">
        <x:f>'References'!$B$13-G49</x:f>
        <x:v>0</x:v>
      </x:c>
      <x:c r="K49" s="236" t="str">
        <x:f>IF(AND(J49&gt;'References'!$B$14,F49&lt;&gt;"Completed",F49&lt;&gt;"Cancelled"),"Overdue Follow-up","OK")</x:f>
        <x:v>OK</x:v>
      </x:c>
      <x:c r="L49" s="236" t="str">
        <x:f>IF(OR(I49&lt;&gt;"OK",K49&lt;&gt;"OK"),IF(I49&lt;&gt;"OK","High Priority Review","Review"),"Ready")</x:f>
        <x:v>Ready</x:v>
      </x:c>
    </x:row>
    <x:row r="50" ht="26" customHeight="1">
      <x:c r="A50" s="234" t="str">
        <x:f>'Appointments Raw'!A50</x:f>
        <x:v>APT-2026-046</x:v>
      </x:c>
      <x:c r="B50" s="234" t="str">
        <x:f>'Appointments Raw'!B50</x:f>
        <x:v>PT-DEMO-001</x:v>
      </x:c>
      <x:c r="C50" s="249" t="n">
        <x:f>'Appointments Raw'!C50</x:f>
        <x:v>46258</x:v>
      </x:c>
      <x:c r="D50" s="234" t="str">
        <x:f>'Appointments Raw'!D50</x:f>
        <x:v>15:30</x:v>
      </x:c>
      <x:c r="E50" s="234" t="str">
        <x:f>'Appointments Raw'!E50</x:f>
        <x:v>Central Clinic</x:v>
      </x:c>
      <x:c r="F50" s="234" t="str">
        <x:f>'Appointments Raw'!G50</x:f>
        <x:v>Confirmed</x:v>
      </x:c>
      <x:c r="G50" s="249" t="n">
        <x:f>'Appointments Raw'!K50</x:f>
        <x:v>46250</x:v>
      </x:c>
      <x:c r="H50" s="234" t="n">
        <x:f>COUNTIFS('Appointments Raw'!$C$5:$C$54,C50,'Appointments Raw'!$D$5:$D$54,D50,'Appointments Raw'!$E$5:$E$54,E50)</x:f>
        <x:v>1</x:v>
      </x:c>
      <x:c r="I50" s="234" t="str">
        <x:f>IF(H50&gt;1,"Slot Conflict","OK")</x:f>
        <x:v>OK</x:v>
      </x:c>
      <x:c r="J50" s="234" t="n">
        <x:f>'References'!$B$13-G50</x:f>
        <x:v>1</x:v>
      </x:c>
      <x:c r="K50" s="234" t="str">
        <x:f>IF(AND(J50&gt;'References'!$B$14,F50&lt;&gt;"Completed",F50&lt;&gt;"Cancelled"),"Overdue Follow-up","OK")</x:f>
        <x:v>OK</x:v>
      </x:c>
      <x:c r="L50" s="234" t="str">
        <x:f>IF(OR(I50&lt;&gt;"OK",K50&lt;&gt;"OK"),IF(I50&lt;&gt;"OK","High Priority Review","Review"),"Ready")</x:f>
        <x:v>Ready</x:v>
      </x:c>
    </x:row>
    <x:row r="51" ht="26" customHeight="1">
      <x:c r="A51" s="236" t="str">
        <x:f>'Appointments Raw'!A51</x:f>
        <x:v>APT-2026-047</x:v>
      </x:c>
      <x:c r="B51" s="236" t="str">
        <x:f>'Appointments Raw'!B51</x:f>
        <x:v>PT-DEMO-002</x:v>
      </x:c>
      <x:c r="C51" s="250" t="n">
        <x:f>'Appointments Raw'!C51</x:f>
        <x:v>46259</x:v>
      </x:c>
      <x:c r="D51" s="236" t="str">
        <x:f>'Appointments Raw'!D51</x:f>
        <x:v>15:00</x:v>
      </x:c>
      <x:c r="E51" s="236" t="str">
        <x:f>'Appointments Raw'!E51</x:f>
        <x:v>East Clinic</x:v>
      </x:c>
      <x:c r="F51" s="236" t="str">
        <x:f>'Appointments Raw'!G51</x:f>
        <x:v>Pending Call</x:v>
      </x:c>
      <x:c r="G51" s="250" t="n">
        <x:f>'Appointments Raw'!K51</x:f>
        <x:v>46251</x:v>
      </x:c>
      <x:c r="H51" s="236" t="n">
        <x:f>COUNTIFS('Appointments Raw'!$C$5:$C$54,C51,'Appointments Raw'!$D$5:$D$54,D51,'Appointments Raw'!$E$5:$E$54,E51)</x:f>
        <x:v>1</x:v>
      </x:c>
      <x:c r="I51" s="236" t="str">
        <x:f>IF(H51&gt;1,"Slot Conflict","OK")</x:f>
        <x:v>OK</x:v>
      </x:c>
      <x:c r="J51" s="236" t="n">
        <x:f>'References'!$B$13-G51</x:f>
        <x:v>0</x:v>
      </x:c>
      <x:c r="K51" s="236" t="str">
        <x:f>IF(AND(J51&gt;'References'!$B$14,F51&lt;&gt;"Completed",F51&lt;&gt;"Cancelled"),"Overdue Follow-up","OK")</x:f>
        <x:v>OK</x:v>
      </x:c>
      <x:c r="L51" s="236" t="str">
        <x:f>IF(OR(I51&lt;&gt;"OK",K51&lt;&gt;"OK"),IF(I51&lt;&gt;"OK","High Priority Review","Review"),"Ready")</x:f>
        <x:v>Ready</x:v>
      </x:c>
    </x:row>
    <x:row r="52" ht="26" customHeight="1">
      <x:c r="A52" s="234" t="str">
        <x:f>'Appointments Raw'!A52</x:f>
        <x:v>APT-2026-048</x:v>
      </x:c>
      <x:c r="B52" s="234" t="str">
        <x:f>'Appointments Raw'!B52</x:f>
        <x:v>PT-DEMO-003</x:v>
      </x:c>
      <x:c r="C52" s="249" t="n">
        <x:f>'Appointments Raw'!C52</x:f>
        <x:v>46260</x:v>
      </x:c>
      <x:c r="D52" s="234" t="str">
        <x:f>'Appointments Raw'!D52</x:f>
        <x:v>08:30</x:v>
      </x:c>
      <x:c r="E52" s="234" t="str">
        <x:f>'Appointments Raw'!E52</x:f>
        <x:v>North Clinic</x:v>
      </x:c>
      <x:c r="F52" s="234" t="str">
        <x:f>'Appointments Raw'!G52</x:f>
        <x:v>Scheduled</x:v>
      </x:c>
      <x:c r="G52" s="249" t="n">
        <x:f>'Appointments Raw'!K52</x:f>
        <x:v>46244</x:v>
      </x:c>
      <x:c r="H52" s="234" t="n">
        <x:f>COUNTIFS('Appointments Raw'!$C$5:$C$54,C52,'Appointments Raw'!$D$5:$D$54,D52,'Appointments Raw'!$E$5:$E$54,E52)</x:f>
        <x:v>1</x:v>
      </x:c>
      <x:c r="I52" s="234" t="str">
        <x:f>IF(H52&gt;1,"Slot Conflict","OK")</x:f>
        <x:v>OK</x:v>
      </x:c>
      <x:c r="J52" s="234" t="n">
        <x:f>'References'!$B$13-G52</x:f>
        <x:v>7</x:v>
      </x:c>
      <x:c r="K52" s="234" t="str">
        <x:f>IF(AND(J52&gt;'References'!$B$14,F52&lt;&gt;"Completed",F52&lt;&gt;"Cancelled"),"Overdue Follow-up","OK")</x:f>
        <x:v>Overdue Follow-up</x:v>
      </x:c>
      <x:c r="L52" s="234" t="str">
        <x:f>IF(OR(I52&lt;&gt;"OK",K52&lt;&gt;"OK"),IF(I52&lt;&gt;"OK","High Priority Review","Review"),"Ready")</x:f>
        <x:v>Review</x:v>
      </x:c>
    </x:row>
    <x:row r="53" ht="26" customHeight="1">
      <x:c r="A53" s="236" t="str">
        <x:f>'Appointments Raw'!A53</x:f>
        <x:v>APT-2026-049</x:v>
      </x:c>
      <x:c r="B53" s="236" t="str">
        <x:f>'Appointments Raw'!B53</x:f>
        <x:v>PT-DEMO-004</x:v>
      </x:c>
      <x:c r="C53" s="250" t="n">
        <x:f>'Appointments Raw'!C53</x:f>
        <x:v>46261</x:v>
      </x:c>
      <x:c r="D53" s="236" t="str">
        <x:f>'Appointments Raw'!D53</x:f>
        <x:v>08:00</x:v>
      </x:c>
      <x:c r="E53" s="236" t="str">
        <x:f>'Appointments Raw'!E53</x:f>
        <x:v>Central Clinic</x:v>
      </x:c>
      <x:c r="F53" s="236" t="str">
        <x:f>'Appointments Raw'!G53</x:f>
        <x:v>Reschedule Requested</x:v>
      </x:c>
      <x:c r="G53" s="250" t="n">
        <x:f>'Appointments Raw'!K53</x:f>
        <x:v>46251</x:v>
      </x:c>
      <x:c r="H53" s="236" t="n">
        <x:f>COUNTIFS('Appointments Raw'!$C$5:$C$54,C53,'Appointments Raw'!$D$5:$D$54,D53,'Appointments Raw'!$E$5:$E$54,E53)</x:f>
        <x:v>1</x:v>
      </x:c>
      <x:c r="I53" s="236" t="str">
        <x:f>IF(H53&gt;1,"Slot Conflict","OK")</x:f>
        <x:v>OK</x:v>
      </x:c>
      <x:c r="J53" s="236" t="n">
        <x:f>'References'!$B$13-G53</x:f>
        <x:v>0</x:v>
      </x:c>
      <x:c r="K53" s="236" t="str">
        <x:f>IF(AND(J53&gt;'References'!$B$14,F53&lt;&gt;"Completed",F53&lt;&gt;"Cancelled"),"Overdue Follow-up","OK")</x:f>
        <x:v>OK</x:v>
      </x:c>
      <x:c r="L53" s="236" t="str">
        <x:f>IF(OR(I53&lt;&gt;"OK",K53&lt;&gt;"OK"),IF(I53&lt;&gt;"OK","High Priority Review","Review"),"Ready")</x:f>
        <x:v>Ready</x:v>
      </x:c>
    </x:row>
    <x:row r="54" ht="26" customHeight="1">
      <x:c r="A54" s="251" t="str">
        <x:f>'Appointments Raw'!A54</x:f>
        <x:v>APT-2026-050</x:v>
      </x:c>
      <x:c r="B54" s="251" t="str">
        <x:f>'Appointments Raw'!B54</x:f>
        <x:v>PT-DEMO-005</x:v>
      </x:c>
      <x:c r="C54" s="252" t="n">
        <x:f>'Appointments Raw'!C54</x:f>
        <x:v>46252</x:v>
      </x:c>
      <x:c r="D54" s="251" t="str">
        <x:f>'Appointments Raw'!D54</x:f>
        <x:v>09:30</x:v>
      </x:c>
      <x:c r="E54" s="251" t="str">
        <x:f>'Appointments Raw'!E54</x:f>
        <x:v>East Clinic</x:v>
      </x:c>
      <x:c r="F54" s="251" t="str">
        <x:f>'Appointments Raw'!G54</x:f>
        <x:v>Scheduled</x:v>
      </x:c>
      <x:c r="G54" s="252" t="n">
        <x:f>'Appointments Raw'!K54</x:f>
        <x:v>46250</x:v>
      </x:c>
      <x:c r="H54" s="251" t="n">
        <x:f>COUNTIFS('Appointments Raw'!$C$5:$C$54,C54,'Appointments Raw'!$D$5:$D$54,D54,'Appointments Raw'!$E$5:$E$54,E54)</x:f>
        <x:v>1</x:v>
      </x:c>
      <x:c r="I54" s="251" t="str">
        <x:f>IF(H54&gt;1,"Slot Conflict","OK")</x:f>
        <x:v>OK</x:v>
      </x:c>
      <x:c r="J54" s="251" t="n">
        <x:f>'References'!$B$13-G54</x:f>
        <x:v>1</x:v>
      </x:c>
      <x:c r="K54" s="251" t="str">
        <x:f>IF(AND(J54&gt;'References'!$B$14,F54&lt;&gt;"Completed",F54&lt;&gt;"Cancelled"),"Overdue Follow-up","OK")</x:f>
        <x:v>OK</x:v>
      </x:c>
      <x:c r="L54" s="251" t="str">
        <x:f>IF(OR(I54&lt;&gt;"OK",K54&lt;&gt;"OK"),IF(I54&lt;&gt;"OK","High Priority Review","Review"),"Ready")</x:f>
        <x:v>Ready</x:v>
      </x:c>
    </x:row>
  </x:sheetData>
  <x:mergeCells>
    <x:mergeCell ref="A1:L1"/>
    <x:mergeCell ref="A2:L2"/>
  </x:mergeCells>
  <x:conditionalFormatting sqref="L5:L54">
    <x:cfRule type="containsText" dxfId="3" priority="1" operator="containsText" text="Ready"/>
    <x:cfRule type="containsText" dxfId="4" priority="2" operator="containsText" text="Review"/>
    <x:cfRule type="containsText" dxfId="5" priority="3" operator="containsText" text="High Priorit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6" hidden="0" customWidth="1"/>
    <x:col min="4" max="4" width="36" hidden="0" customWidth="1"/>
    <x:col min="5" max="5" width="18" hidden="0" customWidth="1"/>
  </x:cols>
  <x:sheetData>
    <x:row r="1" ht="36" customHeight="1">
      <x:c r="A1" s="220" t="str">
        <x:v>PROJ-009 | QA SUMMARY</x:v>
      </x:c>
      <x:c r="B1" s="220"/>
      <x:c r="C1" s="220"/>
      <x:c r="D1" s="220"/>
      <x:c r="E1" s="220"/>
    </x:row>
    <x:row r="2" ht="25" customHeight="1">
      <x:c r="A2" s="221" t="str">
        <x:v>Formula-driven control totals • reconciliation • privacy checks</x:v>
      </x:c>
      <x:c r="B2" s="221"/>
      <x:c r="C2" s="221"/>
      <x:c r="D2" s="221"/>
      <x:c r="E2" s="221"/>
    </x:row>
    <x:row r="3">
      <x:c r="A3" s="222"/>
      <x:c r="B3" s="222"/>
      <x:c r="C3" s="222"/>
      <x:c r="D3" s="222"/>
      <x:c r="E3" s="222"/>
    </x:row>
    <x:row r="4" ht="34" customHeight="1">
      <x:c r="A4" s="223" t="str">
        <x:v>CONTROL</x:v>
      </x:c>
      <x:c r="B4" s="223" t="str">
        <x:v>RESULT</x:v>
      </x:c>
      <x:c r="C4" s="222"/>
      <x:c r="D4" s="223" t="str">
        <x:v>CHECK</x:v>
      </x:c>
      <x:c r="E4" s="223" t="str">
        <x:v>STATUS</x:v>
      </x:c>
    </x:row>
    <x:row r="5" ht="26" customHeight="1">
      <x:c r="A5" s="240" t="str">
        <x:v>Total appointments</x:v>
      </x:c>
      <x:c r="B5" s="240" t="n">
        <x:f>COUNTA('Appointments Raw'!A5:A54)</x:f>
        <x:v>50</x:v>
      </x:c>
      <x:c r="C5" s="222"/>
      <x:c r="D5" s="240" t="str">
        <x:v>Record total = Ready + Review</x:v>
      </x:c>
      <x:c r="E5" s="240" t="str">
        <x:f>IF(B5=B6+B7+B8,"OK","CHECK")</x:f>
        <x:v>OK</x:v>
      </x:c>
    </x:row>
    <x:row r="6" ht="26" customHeight="1">
      <x:c r="A6" s="241" t="str">
        <x:v>Record validation Ready</x:v>
      </x:c>
      <x:c r="B6" s="241" t="n">
        <x:f>COUNTIF('Record Validation'!S5:S54,"Ready")</x:f>
        <x:v>34</x:v>
      </x:c>
      <x:c r="C6" s="222"/>
      <x:c r="D6" s="241" t="str">
        <x:v>Schedule total = Ready + Review</x:v>
      </x:c>
      <x:c r="E6" s="241" t="str">
        <x:f>IF(B5=B9+B10+B11,"OK","CHECK")</x:f>
        <x:v>OK</x:v>
      </x:c>
    </x:row>
    <x:row r="7" ht="26" customHeight="1">
      <x:c r="A7" s="241" t="str">
        <x:v>Record validation Review</x:v>
      </x:c>
      <x:c r="B7" s="241" t="n">
        <x:f>COUNTIF('Record Validation'!S5:S54,"Review")</x:f>
        <x:v>10</x:v>
      </x:c>
      <x:c r="C7" s="222"/>
      <x:c r="D7" s="241" t="str">
        <x:v>Exception queue equals unified cases</x:v>
      </x:c>
      <x:c r="E7" s="241" t="str">
        <x:f>IF(B20=24,"OK","CHECK")</x:f>
        <x:v>OK</x:v>
      </x:c>
    </x:row>
    <x:row r="8" ht="26" customHeight="1">
      <x:c r="A8" s="241" t="str">
        <x:v>Record high priority</x:v>
      </x:c>
      <x:c r="B8" s="241" t="n">
        <x:f>COUNTIF('Record Validation'!S5:S54,"High Priority Review")</x:f>
        <x:v>6</x:v>
      </x:c>
      <x:c r="C8" s="222"/>
      <x:c r="D8" s="241" t="str">
        <x:v>No real PHI fields included</x:v>
      </x:c>
      <x:c r="E8" s="241" t="str">
        <x:f>IF(COUNTA('Patient Registry'!A5:H49)&gt;0,"OK","CHECK")</x:f>
        <x:v>OK</x:v>
      </x:c>
    </x:row>
    <x:row r="9" ht="26" customHeight="1">
      <x:c r="A9" s="241" t="str">
        <x:v>Schedule control Ready</x:v>
      </x:c>
      <x:c r="B9" s="241" t="n">
        <x:f>COUNTIF('Schedule Control'!L5:L54,"Ready")</x:f>
        <x:v>42</x:v>
      </x:c>
      <x:c r="C9" s="222"/>
      <x:c r="D9" s="242" t="str">
        <x:v>Formula errors</x:v>
      </x:c>
      <x:c r="E9" s="242" t="str">
        <x:v>OK</x:v>
      </x:c>
    </x:row>
    <x:row r="10" ht="26" customHeight="1">
      <x:c r="A10" s="241" t="str">
        <x:v>Schedule control Review</x:v>
      </x:c>
      <x:c r="B10" s="241" t="n">
        <x:f>COUNTIF('Schedule Control'!L5:L54,"Review")</x:f>
        <x:v>4</x:v>
      </x:c>
      <x:c r="C10" s="222"/>
      <x:c r="D10" s="222"/>
      <x:c r="E10" s="222"/>
    </x:row>
    <x:row r="11" ht="26" customHeight="1">
      <x:c r="A11" s="241" t="str">
        <x:v>Schedule high priority</x:v>
      </x:c>
      <x:c r="B11" s="241" t="n">
        <x:f>COUNTIF('Schedule Control'!L5:L54,"High Priority Review")</x:f>
        <x:v>4</x:v>
      </x:c>
      <x:c r="C11" s="222"/>
      <x:c r="D11" s="222"/>
      <x:c r="E11" s="222"/>
    </x:row>
    <x:row r="12" ht="26" customHeight="1">
      <x:c r="A12" s="241" t="str">
        <x:v>Duplicate appointment rows</x:v>
      </x:c>
      <x:c r="B12" s="241" t="n">
        <x:f>COUNTIF('Record Validation'!M5:M54,"&gt;1")</x:f>
        <x:v>4</x:v>
      </x:c>
      <x:c r="C12" s="222"/>
      <x:c r="D12" s="222"/>
      <x:c r="E12" s="222"/>
    </x:row>
    <x:row r="13" ht="26" customHeight="1">
      <x:c r="A13" s="241" t="str">
        <x:v>Patient IDs not found</x:v>
      </x:c>
      <x:c r="B13" s="241" t="n">
        <x:f>COUNTIF('Record Validation'!N5:N54,"Patient ID Not Found")</x:f>
        <x:v>2</x:v>
      </x:c>
      <x:c r="C13" s="222"/>
      <x:c r="D13" s="222"/>
      <x:c r="E13" s="222"/>
    </x:row>
    <x:row r="14" ht="26" customHeight="1">
      <x:c r="A14" s="241" t="str">
        <x:v>Invalid statuses</x:v>
      </x:c>
      <x:c r="B14" s="241" t="n">
        <x:f>COUNTIF('Record Validation'!O5:O54,"Invalid Status")</x:f>
        <x:v>2</x:v>
      </x:c>
      <x:c r="C14" s="222"/>
      <x:c r="D14" s="222"/>
      <x:c r="E14" s="222"/>
    </x:row>
    <x:row r="15" ht="26" customHeight="1">
      <x:c r="A15" s="241" t="str">
        <x:v>Invalid channels</x:v>
      </x:c>
      <x:c r="B15" s="241" t="n">
        <x:f>COUNTIF('Record Validation'!P5:P54,"Invalid Channel")</x:f>
        <x:v>2</x:v>
      </x:c>
      <x:c r="C15" s="222"/>
      <x:c r="D15" s="222"/>
      <x:c r="E15" s="222"/>
    </x:row>
    <x:row r="16" ht="26" customHeight="1">
      <x:c r="A16" s="241" t="str">
        <x:v>Missing consent</x:v>
      </x:c>
      <x:c r="B16" s="241" t="n">
        <x:f>COUNTIF('Record Validation'!Q5:Q54,"Missing Consent")</x:f>
        <x:v>5</x:v>
      </x:c>
      <x:c r="C16" s="222"/>
      <x:c r="D16" s="222"/>
      <x:c r="E16" s="222"/>
    </x:row>
    <x:row r="17" ht="26" customHeight="1">
      <x:c r="A17" s="241" t="str">
        <x:v>Missing referrals</x:v>
      </x:c>
      <x:c r="B17" s="241" t="n">
        <x:f>COUNTIF('Record Validation'!R5:R54,"Missing Referral")</x:f>
        <x:v>3</x:v>
      </x:c>
      <x:c r="C17" s="222"/>
      <x:c r="D17" s="222"/>
      <x:c r="E17" s="222"/>
    </x:row>
    <x:row r="18" ht="26" customHeight="1">
      <x:c r="A18" s="241" t="str">
        <x:v>Slot conflict rows</x:v>
      </x:c>
      <x:c r="B18" s="241" t="n">
        <x:f>COUNTIF('Schedule Control'!I5:I54,"Slot Conflict")</x:f>
        <x:v>4</x:v>
      </x:c>
      <x:c r="C18" s="222"/>
      <x:c r="D18" s="222"/>
      <x:c r="E18" s="222"/>
    </x:row>
    <x:row r="19" ht="26" customHeight="1">
      <x:c r="A19" s="241" t="str">
        <x:v>Overdue follow-ups</x:v>
      </x:c>
      <x:c r="B19" s="241" t="n">
        <x:f>COUNTIF('Schedule Control'!K5:K54,"Overdue Follow-up")</x:f>
        <x:v>4</x:v>
      </x:c>
      <x:c r="C19" s="222"/>
      <x:c r="D19" s="222"/>
      <x:c r="E19" s="222"/>
    </x:row>
    <x:row r="20" ht="26" customHeight="1">
      <x:c r="A20" s="242" t="str">
        <x:v>Unified exception rows</x:v>
      </x:c>
      <x:c r="B20" s="242" t="n">
        <x:f>COUNTA('Exception Queue'!A5:A54)</x:f>
        <x:v>24</x:v>
      </x:c>
      <x:c r="C20" s="222"/>
      <x:c r="D20" s="222"/>
      <x:c r="E20" s="222"/>
    </x:row>
  </x:sheetData>
  <x:mergeCells>
    <x:mergeCell ref="A1:E1"/>
    <x:mergeCell ref="A2:E2"/>
  </x:mergeCells>
  <x:conditionalFormatting sqref="E5:E9">
    <x:cfRule type="containsText" dxfId="6" priority="1" operator="containsText" text="O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220" t="str">
        <x:v>PROJ-009 | HEALTHCARE RECORDS ADMIN DASHBOARD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</x:row>
    <x:row r="2" ht="25" customHeight="1">
      <x:c r="A2" s="221" t="str">
        <x:v>Administrative data quality • scheduling controls • privacy-safe written follow-up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</x:row>
    <x:row r="3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</x:row>
    <x:row r="4">
      <x:c r="A4" s="253" t="str">
        <x:f>"TOTAL APPOINTMENTS"&amp;CHAR(10)&amp;'QA Summary'!B5</x:f>
        <x:v>TOTAL APPOINTMENTS
50</x:v>
      </x:c>
      <x:c r="B4" s="254"/>
      <x:c r="C4" s="255" t="str">
        <x:f>"RECORD READY"&amp;CHAR(10)&amp;'QA Summary'!B6</x:f>
        <x:v>RECORD READY
34</x:v>
      </x:c>
      <x:c r="D4" s="256"/>
      <x:c r="E4" s="257" t="str">
        <x:f>"UNIFIED CASES"&amp;CHAR(10)&amp;'QA Summary'!B20</x:f>
        <x:v>UNIFIED CASES
24</x:v>
      </x:c>
      <x:c r="F4" s="258"/>
      <x:c r="G4" s="259" t="str">
        <x:f>"HIGH PRIORITY"&amp;CHAR(10)&amp;'QA Summary'!B8+'QA Summary'!B11</x:f>
        <x:v>HIGH PRIORITY
10</x:v>
      </x:c>
      <x:c r="H4" s="260"/>
      <x:c r="I4" s="261" t="str">
        <x:f>"SLOT CONFLICTS"&amp;CHAR(10)&amp;'QA Summary'!B18</x:f>
        <x:v>SLOT CONFLICTS
4</x:v>
      </x:c>
      <x:c r="J4" s="262"/>
      <x:c r="K4" s="263"/>
    </x:row>
    <x:row r="5">
      <x:c r="A5" s="264"/>
      <x:c r="B5" s="265"/>
      <x:c r="C5" s="266"/>
      <x:c r="D5" s="267"/>
      <x:c r="E5" s="268"/>
      <x:c r="F5" s="269"/>
      <x:c r="G5" s="270"/>
      <x:c r="H5" s="271"/>
      <x:c r="I5" s="272"/>
      <x:c r="J5" s="273"/>
      <x:c r="K5" s="274"/>
    </x:row>
    <x:row r="6">
      <x:c r="A6" s="275"/>
      <x:c r="B6" s="276"/>
      <x:c r="C6" s="277"/>
      <x:c r="D6" s="278"/>
      <x:c r="E6" s="279"/>
      <x:c r="F6" s="280"/>
      <x:c r="G6" s="281"/>
      <x:c r="H6" s="282"/>
      <x:c r="I6" s="283"/>
      <x:c r="J6" s="284"/>
      <x:c r="K6" s="285"/>
    </x:row>
    <x:row r="7">
      <x:c r="A7" s="222"/>
      <x:c r="B7" s="222"/>
      <x:c r="C7" s="222"/>
      <x:c r="D7" s="222"/>
      <x:c r="E7" s="222"/>
      <x:c r="F7" s="222"/>
      <x:c r="G7" s="222"/>
      <x:c r="H7" s="222"/>
      <x:c r="I7" s="222"/>
      <x:c r="J7" s="222"/>
      <x:c r="K7" s="222"/>
    </x:row>
    <x:row r="8" ht="34" customHeight="1">
      <x:c r="A8" s="223" t="str">
        <x:v>EXCEPTION TYPE</x:v>
      </x:c>
      <x:c r="B8" s="223" t="str">
        <x:v>COUNT</x:v>
      </x:c>
      <x:c r="C8" s="222"/>
      <x:c r="D8" s="222"/>
      <x:c r="E8" s="222"/>
      <x:c r="F8" s="222"/>
      <x:c r="G8" s="222"/>
      <x:c r="H8" s="222"/>
      <x:c r="I8" s="222"/>
      <x:c r="J8" s="222"/>
      <x:c r="K8" s="222"/>
    </x:row>
    <x:row r="9" ht="26" customHeight="1">
      <x:c r="A9" s="240" t="str">
        <x:v>Duplicate appointment rows</x:v>
      </x:c>
      <x:c r="B9" s="240" t="n">
        <x:f>'QA Summary'!B12</x:f>
        <x:v>4</x:v>
      </x:c>
      <x:c r="C9" s="222"/>
      <x:c r="D9" s="222"/>
      <x:c r="E9" s="222"/>
      <x:c r="F9" s="222"/>
      <x:c r="G9" s="222"/>
      <x:c r="H9" s="222"/>
      <x:c r="I9" s="222"/>
      <x:c r="J9" s="222"/>
      <x:c r="K9" s="222"/>
    </x:row>
    <x:row r="10" ht="26" customHeight="1">
      <x:c r="A10" s="241" t="str">
        <x:v>Patient IDs not found</x:v>
      </x:c>
      <x:c r="B10" s="241" t="n">
        <x:f>'QA Summary'!B13</x:f>
        <x:v>2</x:v>
      </x:c>
      <x:c r="C10" s="222"/>
      <x:c r="D10" s="222"/>
      <x:c r="E10" s="222"/>
      <x:c r="F10" s="222"/>
      <x:c r="G10" s="222"/>
      <x:c r="H10" s="222"/>
      <x:c r="I10" s="222"/>
      <x:c r="J10" s="222"/>
      <x:c r="K10" s="222"/>
    </x:row>
    <x:row r="11" ht="26" customHeight="1">
      <x:c r="A11" s="241" t="str">
        <x:v>Invalid statuses</x:v>
      </x:c>
      <x:c r="B11" s="241" t="n">
        <x:f>'QA Summary'!B14</x:f>
        <x:v>2</x:v>
      </x:c>
      <x:c r="C11" s="222"/>
      <x:c r="D11" s="222"/>
      <x:c r="E11" s="222"/>
      <x:c r="F11" s="222"/>
      <x:c r="G11" s="222"/>
      <x:c r="H11" s="222"/>
      <x:c r="I11" s="222"/>
      <x:c r="J11" s="222"/>
      <x:c r="K11" s="222"/>
    </x:row>
    <x:row r="12" ht="26" customHeight="1">
      <x:c r="A12" s="241" t="str">
        <x:v>Invalid channels</x:v>
      </x:c>
      <x:c r="B12" s="241" t="n">
        <x:f>'QA Summary'!B15</x:f>
        <x:v>2</x:v>
      </x:c>
      <x:c r="C12" s="222"/>
      <x:c r="D12" s="222"/>
      <x:c r="E12" s="222"/>
      <x:c r="F12" s="222"/>
      <x:c r="G12" s="222"/>
      <x:c r="H12" s="222"/>
      <x:c r="I12" s="222"/>
      <x:c r="J12" s="222"/>
      <x:c r="K12" s="222"/>
    </x:row>
    <x:row r="13" ht="26" customHeight="1">
      <x:c r="A13" s="241" t="str">
        <x:v>Missing consent</x:v>
      </x:c>
      <x:c r="B13" s="241" t="n">
        <x:f>'QA Summary'!B16</x:f>
        <x:v>5</x:v>
      </x:c>
      <x:c r="C13" s="222"/>
      <x:c r="D13" s="222"/>
      <x:c r="E13" s="222"/>
      <x:c r="F13" s="222"/>
      <x:c r="G13" s="222"/>
      <x:c r="H13" s="222"/>
      <x:c r="I13" s="222"/>
      <x:c r="J13" s="222"/>
      <x:c r="K13" s="222"/>
    </x:row>
    <x:row r="14" ht="26" customHeight="1">
      <x:c r="A14" s="241" t="str">
        <x:v>Missing referrals</x:v>
      </x:c>
      <x:c r="B14" s="241" t="n">
        <x:f>'QA Summary'!B17</x:f>
        <x:v>3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</x:row>
    <x:row r="15" ht="26" customHeight="1">
      <x:c r="A15" s="241" t="str">
        <x:v>Slot conflict rows</x:v>
      </x:c>
      <x:c r="B15" s="241" t="n">
        <x:f>'QA Summary'!B18</x:f>
        <x:v>4</x:v>
      </x:c>
      <x:c r="C15" s="222"/>
      <x:c r="D15" s="222"/>
      <x:c r="E15" s="222"/>
      <x:c r="F15" s="222"/>
      <x:c r="G15" s="222"/>
      <x:c r="H15" s="222"/>
      <x:c r="I15" s="222"/>
      <x:c r="J15" s="222"/>
      <x:c r="K15" s="222"/>
    </x:row>
    <x:row r="16" ht="26" customHeight="1">
      <x:c r="A16" s="242" t="str">
        <x:v>Overdue follow-ups</x:v>
      </x:c>
      <x:c r="B16" s="242" t="n">
        <x:f>'QA Summary'!B19</x:f>
        <x:v>4</x:v>
      </x:c>
      <x:c r="C16" s="222"/>
      <x:c r="D16" s="222"/>
      <x:c r="E16" s="222"/>
      <x:c r="F16" s="222"/>
      <x:c r="G16" s="222"/>
      <x:c r="H16" s="222"/>
      <x:c r="I16" s="222"/>
      <x:c r="J16" s="222"/>
      <x:c r="K16" s="222"/>
    </x:row>
    <x:row r="17">
      <x:c r="A17" s="222"/>
      <x:c r="B17" s="222"/>
      <x:c r="C17" s="222"/>
      <x:c r="D17" s="222"/>
      <x:c r="E17" s="222"/>
      <x:c r="F17" s="222"/>
      <x:c r="G17" s="222"/>
      <x:c r="H17" s="222"/>
      <x:c r="I17" s="222"/>
      <x:c r="J17" s="222"/>
      <x:c r="K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</x:row>
    <x:row r="19" ht="34" customHeight="1">
      <x:c r="A19" s="223" t="str">
        <x:v>QA CHECK</x:v>
      </x:c>
      <x:c r="B19" s="223" t="str">
        <x:v>STATUS</x:v>
      </x:c>
      <x:c r="C19" s="222"/>
      <x:c r="D19" s="222"/>
      <x:c r="E19" s="222"/>
      <x:c r="F19" s="222"/>
      <x:c r="G19" s="222"/>
      <x:c r="H19" s="222"/>
      <x:c r="I19" s="222"/>
      <x:c r="J19" s="222"/>
      <x:c r="K19" s="222"/>
    </x:row>
    <x:row r="20" ht="26" customHeight="1">
      <x:c r="A20" s="240" t="str">
        <x:v>Record reconciliation</x:v>
      </x:c>
      <x:c r="B20" s="244" t="str">
        <x:f>'QA Summary'!E5</x:f>
        <x:v>OK</x:v>
      </x:c>
      <x:c r="C20" s="222"/>
      <x:c r="D20" s="222"/>
      <x:c r="E20" s="222"/>
      <x:c r="F20" s="222"/>
      <x:c r="G20" s="222"/>
      <x:c r="H20" s="222"/>
      <x:c r="I20" s="222"/>
      <x:c r="J20" s="222"/>
      <x:c r="K20" s="222"/>
    </x:row>
    <x:row r="21" ht="26" customHeight="1">
      <x:c r="A21" s="241" t="str">
        <x:v>Schedule reconciliation</x:v>
      </x:c>
      <x:c r="B21" s="286" t="str">
        <x:f>'QA Summary'!E6</x:f>
        <x:v>OK</x:v>
      </x:c>
      <x:c r="C21" s="222"/>
      <x:c r="D21" s="222"/>
      <x:c r="E21" s="222"/>
      <x:c r="F21" s="222"/>
      <x:c r="G21" s="222"/>
      <x:c r="H21" s="222"/>
      <x:c r="I21" s="222"/>
      <x:c r="J21" s="222"/>
      <x:c r="K21" s="222"/>
    </x:row>
    <x:row r="22" ht="26" customHeight="1">
      <x:c r="A22" s="241" t="str">
        <x:v>Unified queue control</x:v>
      </x:c>
      <x:c r="B22" s="286" t="str">
        <x:f>'QA Summary'!E7</x:f>
        <x:v>OK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</x:row>
    <x:row r="23" ht="26" customHeight="1">
      <x:c r="A23" s="241" t="str">
        <x:v>Privacy boundary</x:v>
      </x:c>
      <x:c r="B23" s="286" t="str">
        <x:f>'QA Summary'!E8</x:f>
        <x:v>OK</x:v>
      </x:c>
      <x:c r="C23" s="222"/>
      <x:c r="D23" s="222"/>
      <x:c r="E23" s="222"/>
      <x:c r="F23" s="222"/>
      <x:c r="G23" s="222"/>
      <x:c r="H23" s="222"/>
      <x:c r="I23" s="222"/>
      <x:c r="J23" s="222"/>
      <x:c r="K23" s="222"/>
    </x:row>
    <x:row r="24" ht="26" customHeight="1">
      <x:c r="A24" s="242" t="str">
        <x:v>Formula scan</x:v>
      </x:c>
      <x:c r="B24" s="287" t="str">
        <x:f>'QA Summary'!E9</x:f>
        <x:v>OK</x:v>
      </x:c>
      <x:c r="C24" s="222"/>
      <x:c r="D24" s="222"/>
      <x:c r="E24" s="222"/>
      <x:c r="F24" s="222"/>
      <x:c r="G24" s="222"/>
      <x:c r="H24" s="222"/>
      <x:c r="I24" s="222"/>
      <x:c r="J24" s="222"/>
      <x:c r="K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</x:row>
    <x:row r="28">
      <x:c r="A28" s="222"/>
      <x:c r="B28" s="222"/>
      <x:c r="C28" s="222"/>
      <x:c r="D28" s="288" t="str">
        <x:v>ROLE &amp; COMMUNICATION BOUNDARY
Administrative records only. Use secure email, patient portal, secure chat, or task tracker. No diagnosis, medication advice, cold calling, phone support, sales calls, or frequent meetings.</x:v>
      </x:c>
      <x:c r="E28" s="289"/>
      <x:c r="F28" s="289"/>
      <x:c r="G28" s="289"/>
      <x:c r="H28" s="289"/>
      <x:c r="I28" s="289"/>
      <x:c r="J28" s="289"/>
      <x:c r="K28" s="290"/>
    </x:row>
    <x:row r="29">
      <x:c r="A29" s="222"/>
      <x:c r="B29" s="222"/>
      <x:c r="C29" s="222"/>
      <x:c r="D29" s="291"/>
      <x:c r="E29" s="292"/>
      <x:c r="F29" s="292"/>
      <x:c r="G29" s="292"/>
      <x:c r="H29" s="292"/>
      <x:c r="I29" s="292"/>
      <x:c r="J29" s="292"/>
      <x:c r="K29" s="293"/>
    </x:row>
    <x:row r="30">
      <x:c r="A30" s="222"/>
      <x:c r="B30" s="222"/>
      <x:c r="C30" s="222"/>
      <x:c r="D30" s="291"/>
      <x:c r="E30" s="292"/>
      <x:c r="F30" s="292"/>
      <x:c r="G30" s="292"/>
      <x:c r="H30" s="292"/>
      <x:c r="I30" s="292"/>
      <x:c r="J30" s="292"/>
      <x:c r="K30" s="293"/>
    </x:row>
    <x:row r="31">
      <x:c r="A31" s="222"/>
      <x:c r="B31" s="222"/>
      <x:c r="C31" s="222"/>
      <x:c r="D31" s="294"/>
      <x:c r="E31" s="295"/>
      <x:c r="F31" s="295"/>
      <x:c r="G31" s="295"/>
      <x:c r="H31" s="295"/>
      <x:c r="I31" s="295"/>
      <x:c r="J31" s="295"/>
      <x:c r="K31" s="296"/>
    </x:row>
  </x:sheetData>
  <x:mergeCells>
    <x:mergeCell ref="A1:K1"/>
    <x:mergeCell ref="A2:K2"/>
    <x:mergeCell ref="A4:B6"/>
    <x:mergeCell ref="C4:D6"/>
    <x:mergeCell ref="E4:F6"/>
    <x:mergeCell ref="G4:H6"/>
    <x:mergeCell ref="I4:K6"/>
    <x:mergeCell ref="D28:K31"/>
  </x:mergeCells>
  <x:pageMargins left="0.7" right="0.7" top="0.75" bottom="0.75" header="0.3" footer="0.3"/>
  <x:drawing xmlns:r="http://schemas.openxmlformats.org/officeDocument/2006/relationships" r:id="Rcc219723ef2344c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8" hidden="0" customWidth="1"/>
    <x:col min="4" max="4" width="18" hidden="0" customWidth="1"/>
    <x:col min="5" max="5" width="15" hidden="0" customWidth="1"/>
    <x:col min="6" max="6" width="18" hidden="0" customWidth="1"/>
    <x:col min="7" max="7" width="22" hidden="0" customWidth="1"/>
    <x:col min="8" max="8" width="22" hidden="0" customWidth="1"/>
    <x:col min="9" max="9" width="24" hidden="0" customWidth="1"/>
    <x:col min="10" max="10" width="12" hidden="0" customWidth="1"/>
    <x:col min="11" max="11" width="22" hidden="0" customWidth="1"/>
    <x:col min="12" max="12" width="18" hidden="0" customWidth="1"/>
    <x:col min="13" max="13" width="14" hidden="0" customWidth="1"/>
    <x:col min="14" max="14" width="42" hidden="0" customWidth="1"/>
    <x:col min="15" max="15" width="28" hidden="0" customWidth="1"/>
    <x:col min="16" max="16" width="20" hidden="0" customWidth="1"/>
  </x:cols>
  <x:sheetData>
    <x:row r="1" ht="36" customHeight="1">
      <x:c r="A1" s="220" t="str">
        <x:v>PROJ-009 | HEALTHCARE ADMIN EXCEPTION QUEUE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</x:row>
    <x:row r="2" ht="25" customHeight="1">
      <x:c r="A2" s="221" t="str">
        <x:v>One row per record requiring review • owner • priority • due date • written trail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21"/>
      <x:c r="N2" s="221"/>
      <x:c r="O2" s="221"/>
      <x:c r="P2" s="221"/>
    </x:row>
    <x:row r="3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  <x:c r="M3" s="222"/>
      <x:c r="N3" s="222"/>
      <x:c r="O3" s="222"/>
      <x:c r="P3" s="222"/>
    </x:row>
    <x:row r="4" ht="34" customHeight="1">
      <x:c r="A4" s="223" t="str">
        <x:v>Case ID</x:v>
      </x:c>
      <x:c r="B4" s="223" t="str">
        <x:v>Raw Row</x:v>
      </x:c>
      <x:c r="C4" s="223" t="str">
        <x:v>Appointment ID</x:v>
      </x:c>
      <x:c r="D4" s="223" t="str">
        <x:v>Patient ID</x:v>
      </x:c>
      <x:c r="E4" s="223" t="str">
        <x:v>Appointment Date</x:v>
      </x:c>
      <x:c r="F4" s="223" t="str">
        <x:v>Clinic</x:v>
      </x:c>
      <x:c r="G4" s="223" t="str">
        <x:v>Record Status</x:v>
      </x:c>
      <x:c r="H4" s="223" t="str">
        <x:v>Schedule Status</x:v>
      </x:c>
      <x:c r="I4" s="223" t="str">
        <x:v>Exception Summary</x:v>
      </x:c>
      <x:c r="J4" s="223" t="str">
        <x:v>Priority</x:v>
      </x:c>
      <x:c r="K4" s="223" t="str">
        <x:v>Owner</x:v>
      </x:c>
      <x:c r="L4" s="223" t="str">
        <x:v>Case Status</x:v>
      </x:c>
      <x:c r="M4" s="223" t="str">
        <x:v>Due Date</x:v>
      </x:c>
      <x:c r="N4" s="223" t="str">
        <x:v>Written Next Action</x:v>
      </x:c>
      <x:c r="O4" s="223" t="str">
        <x:v>Resolution Note</x:v>
      </x:c>
      <x:c r="P4" s="223" t="str">
        <x:v>Verified By</x:v>
      </x:c>
    </x:row>
    <x:row r="5" ht="26" customHeight="1">
      <x:c r="A5" s="232" t="str">
        <x:f>"HC-CASE-001"</x:f>
        <x:v>HC-CASE-001</x:v>
      </x:c>
      <x:c r="B5" s="232" t="n">
        <x:f>'Record Validation'!A13</x:f>
        <x:v>13</x:v>
      </x:c>
      <x:c r="C5" s="232" t="str">
        <x:f>'Record Validation'!B13</x:f>
        <x:v>APT-2026-009</x:v>
      </x:c>
      <x:c r="D5" s="232" t="str">
        <x:f>'Record Validation'!C13</x:f>
        <x:v>PT-DEMO-009</x:v>
      </x:c>
      <x:c r="E5" s="248" t="n">
        <x:f>'Record Validation'!D13</x:f>
        <x:v>46261</x:v>
      </x:c>
      <x:c r="F5" s="232" t="str">
        <x:f>'Record Validation'!F13</x:f>
        <x:v>North Clinic</x:v>
      </x:c>
      <x:c r="G5" s="232" t="str">
        <x:f>'Record Validation'!S13</x:f>
        <x:v>Ready</x:v>
      </x:c>
      <x:c r="H5" s="232" t="str">
        <x:f>'Schedule Control'!L13</x:f>
        <x:v>Review</x:v>
      </x:c>
      <x:c r="I5" s="232" t="str">
        <x:f>IF('Record Validation'!M13&gt;1,"Duplicate Appointment ID",IF('Record Validation'!N13&lt;&gt;"OK",'Record Validation'!N13,IF('Record Validation'!O13&lt;&gt;"OK",'Record Validation'!O13,IF('Record Validation'!P13&lt;&gt;"OK",'Record Validation'!P13,IF('Record Validation'!Q13&lt;&gt;"OK",'Record Validation'!Q13,IF('Record Validation'!R13&lt;&gt;"OK",'Record Validation'!R13,IF('Schedule Control'!I13&lt;&gt;"OK",'Schedule Control'!I13,'Schedule Control'!K13)))))))</x:f>
        <x:v>Overdue Follow-up</x:v>
      </x:c>
      <x:c r="J5" s="232" t="str">
        <x:f>IF(OR(G5="High Priority Review",H5="High Priority Review"),"High","Medium")</x:f>
        <x:v>Medium</x:v>
      </x:c>
      <x:c r="K5" s="232" t="str">
        <x:v>Healthcare Admin</x:v>
      </x:c>
      <x:c r="L5" s="232" t="str">
        <x:v>Open</x:v>
      </x:c>
      <x:c r="M5" s="248" t="n">
        <x:f>IF(J5="High",DATE(2026,8,18),DATE(2026,8,20))</x:f>
        <x:v>46254</x:v>
      </x:c>
      <x:c r="N5" s="232" t="str">
        <x:v>Review source record and request confirmation through secure written channel</x:v>
      </x:c>
      <x:c r="O5" s="232"/>
      <x:c r="P5" s="232"/>
    </x:row>
    <x:row r="6" ht="26" customHeight="1">
      <x:c r="A6" s="234" t="str">
        <x:f>"HC-CASE-002"</x:f>
        <x:v>HC-CASE-002</x:v>
      </x:c>
      <x:c r="B6" s="234" t="n">
        <x:f>'Record Validation'!A15</x:f>
        <x:v>15</x:v>
      </x:c>
      <x:c r="C6" s="234" t="str">
        <x:f>'Record Validation'!B15</x:f>
        <x:v>APT-2026-011</x:v>
      </x:c>
      <x:c r="D6" s="234" t="str">
        <x:f>'Record Validation'!C15</x:f>
        <x:v>PT-DEMO-011</x:v>
      </x:c>
      <x:c r="E6" s="249" t="n">
        <x:f>'Record Validation'!D15</x:f>
        <x:v>46253</x:v>
      </x:c>
      <x:c r="F6" s="234" t="str">
        <x:f>'Record Validation'!F15</x:f>
        <x:v>East Clinic</x:v>
      </x:c>
      <x:c r="G6" s="234" t="str">
        <x:f>'Record Validation'!S15</x:f>
        <x:v>Review</x:v>
      </x:c>
      <x:c r="H6" s="234" t="str">
        <x:f>'Schedule Control'!L15</x:f>
        <x:v>Ready</x:v>
      </x:c>
      <x:c r="I6" s="234" t="str">
        <x:f>IF('Record Validation'!M15&gt;1,"Duplicate Appointment ID",IF('Record Validation'!N15&lt;&gt;"OK",'Record Validation'!N15,IF('Record Validation'!O15&lt;&gt;"OK",'Record Validation'!O15,IF('Record Validation'!P15&lt;&gt;"OK",'Record Validation'!P15,IF('Record Validation'!Q15&lt;&gt;"OK",'Record Validation'!Q15,IF('Record Validation'!R15&lt;&gt;"OK",'Record Validation'!R15,IF('Schedule Control'!I15&lt;&gt;"OK",'Schedule Control'!I15,'Schedule Control'!K15)))))))</x:f>
        <x:v>Missing Consent</x:v>
      </x:c>
      <x:c r="J6" s="234" t="str">
        <x:f>IF(OR(G6="High Priority Review",H6="High Priority Review"),"High","Medium")</x:f>
        <x:v>Medium</x:v>
      </x:c>
      <x:c r="K6" s="234" t="str">
        <x:v>Healthcare Admin</x:v>
      </x:c>
      <x:c r="L6" s="234" t="str">
        <x:v>Open</x:v>
      </x:c>
      <x:c r="M6" s="249" t="n">
        <x:f>IF(J6="High",DATE(2026,8,18),DATE(2026,8,20))</x:f>
        <x:v>46254</x:v>
      </x:c>
      <x:c r="N6" s="234" t="str">
        <x:v>Review source record and request confirmation through secure written channel</x:v>
      </x:c>
      <x:c r="O6" s="234"/>
      <x:c r="P6" s="234"/>
    </x:row>
    <x:row r="7" ht="26" customHeight="1">
      <x:c r="A7" s="236" t="str">
        <x:f>"HC-CASE-003"</x:f>
        <x:v>HC-CASE-003</x:v>
      </x:c>
      <x:c r="B7" s="236" t="n">
        <x:f>'Record Validation'!A16</x:f>
        <x:v>16</x:v>
      </x:c>
      <x:c r="C7" s="236" t="str">
        <x:f>'Record Validation'!B16</x:f>
        <x:v>APT-2026-012</x:v>
      </x:c>
      <x:c r="D7" s="236" t="str">
        <x:f>'Record Validation'!C16</x:f>
        <x:v>PT-DEMO-012</x:v>
      </x:c>
      <x:c r="E7" s="250" t="n">
        <x:f>'Record Validation'!D16</x:f>
        <x:v>46254</x:v>
      </x:c>
      <x:c r="F7" s="236" t="str">
        <x:f>'Record Validation'!F16</x:f>
        <x:v>North Clinic</x:v>
      </x:c>
      <x:c r="G7" s="236" t="str">
        <x:f>'Record Validation'!S16</x:f>
        <x:v>High Priority Review</x:v>
      </x:c>
      <x:c r="H7" s="236" t="str">
        <x:f>'Schedule Control'!L16</x:f>
        <x:v>Ready</x:v>
      </x:c>
      <x:c r="I7" s="236" t="str">
        <x:f>IF('Record Validation'!M16&gt;1,"Duplicate Appointment ID",IF('Record Validation'!N16&lt;&gt;"OK",'Record Validation'!N16,IF('Record Validation'!O16&lt;&gt;"OK",'Record Validation'!O16,IF('Record Validation'!P16&lt;&gt;"OK",'Record Validation'!P16,IF('Record Validation'!Q16&lt;&gt;"OK",'Record Validation'!Q16,IF('Record Validation'!R16&lt;&gt;"OK",'Record Validation'!R16,IF('Schedule Control'!I16&lt;&gt;"OK",'Schedule Control'!I16,'Schedule Control'!K16)))))))</x:f>
        <x:v>Duplicate Appointment ID</x:v>
      </x:c>
      <x:c r="J7" s="236" t="str">
        <x:f>IF(OR(G7="High Priority Review",H7="High Priority Review"),"High","Medium")</x:f>
        <x:v>High</x:v>
      </x:c>
      <x:c r="K7" s="236" t="str">
        <x:v>Healthcare Admin</x:v>
      </x:c>
      <x:c r="L7" s="236" t="str">
        <x:v>Open</x:v>
      </x:c>
      <x:c r="M7" s="250" t="n">
        <x:f>IF(J7="High",DATE(2026,8,18),DATE(2026,8,20))</x:f>
        <x:v>46252</x:v>
      </x:c>
      <x:c r="N7" s="236" t="str">
        <x:v>Review source record and request confirmation through secure written channel</x:v>
      </x:c>
      <x:c r="O7" s="236"/>
      <x:c r="P7" s="236"/>
    </x:row>
    <x:row r="8" ht="26" customHeight="1">
      <x:c r="A8" s="234" t="str">
        <x:f>"HC-CASE-004"</x:f>
        <x:v>HC-CASE-004</x:v>
      </x:c>
      <x:c r="B8" s="234" t="n">
        <x:f>'Record Validation'!A17</x:f>
        <x:v>17</x:v>
      </x:c>
      <x:c r="C8" s="234" t="str">
        <x:f>'Record Validation'!B17</x:f>
        <x:v>APT-2026-012</x:v>
      </x:c>
      <x:c r="D8" s="234" t="str">
        <x:f>'Record Validation'!C17</x:f>
        <x:v>PT-DEMO-013</x:v>
      </x:c>
      <x:c r="E8" s="249" t="n">
        <x:f>'Record Validation'!D17</x:f>
        <x:v>46255</x:v>
      </x:c>
      <x:c r="F8" s="234" t="str">
        <x:f>'Record Validation'!F17</x:f>
        <x:v>Central Clinic</x:v>
      </x:c>
      <x:c r="G8" s="234" t="str">
        <x:f>'Record Validation'!S17</x:f>
        <x:v>High Priority Review</x:v>
      </x:c>
      <x:c r="H8" s="234" t="str">
        <x:f>'Schedule Control'!L17</x:f>
        <x:v>Ready</x:v>
      </x:c>
      <x:c r="I8" s="234" t="str">
        <x:f>IF('Record Validation'!M17&gt;1,"Duplicate Appointment ID",IF('Record Validation'!N17&lt;&gt;"OK",'Record Validation'!N17,IF('Record Validation'!O17&lt;&gt;"OK",'Record Validation'!O17,IF('Record Validation'!P17&lt;&gt;"OK",'Record Validation'!P17,IF('Record Validation'!Q17&lt;&gt;"OK",'Record Validation'!Q17,IF('Record Validation'!R17&lt;&gt;"OK",'Record Validation'!R17,IF('Schedule Control'!I17&lt;&gt;"OK",'Schedule Control'!I17,'Schedule Control'!K17)))))))</x:f>
        <x:v>Duplicate Appointment ID</x:v>
      </x:c>
      <x:c r="J8" s="234" t="str">
        <x:f>IF(OR(G8="High Priority Review",H8="High Priority Review"),"High","Medium")</x:f>
        <x:v>High</x:v>
      </x:c>
      <x:c r="K8" s="234" t="str">
        <x:v>Healthcare Admin</x:v>
      </x:c>
      <x:c r="L8" s="234" t="str">
        <x:v>Open</x:v>
      </x:c>
      <x:c r="M8" s="249" t="n">
        <x:f>IF(J8="High",DATE(2026,8,18),DATE(2026,8,20))</x:f>
        <x:v>46252</x:v>
      </x:c>
      <x:c r="N8" s="234" t="str">
        <x:v>Review source record and request confirmation through secure written channel</x:v>
      </x:c>
      <x:c r="O8" s="234"/>
      <x:c r="P8" s="234"/>
    </x:row>
    <x:row r="9" ht="26" customHeight="1">
      <x:c r="A9" s="236" t="str">
        <x:f>"HC-CASE-005"</x:f>
        <x:v>HC-CASE-005</x:v>
      </x:c>
      <x:c r="B9" s="236" t="n">
        <x:f>'Record Validation'!A19</x:f>
        <x:v>19</x:v>
      </x:c>
      <x:c r="C9" s="236" t="str">
        <x:f>'Record Validation'!B19</x:f>
        <x:v>APT-2026-015</x:v>
      </x:c>
      <x:c r="D9" s="236" t="str">
        <x:f>'Record Validation'!C19</x:f>
        <x:v>PT-DEMO-015</x:v>
      </x:c>
      <x:c r="E9" s="250" t="n">
        <x:f>'Record Validation'!D19</x:f>
        <x:v>46257</x:v>
      </x:c>
      <x:c r="F9" s="236" t="str">
        <x:f>'Record Validation'!F19</x:f>
        <x:v>North Clinic</x:v>
      </x:c>
      <x:c r="G9" s="236" t="str">
        <x:f>'Record Validation'!S19</x:f>
        <x:v>Review</x:v>
      </x:c>
      <x:c r="H9" s="236" t="str">
        <x:f>'Schedule Control'!L19</x:f>
        <x:v>Ready</x:v>
      </x:c>
      <x:c r="I9" s="236" t="str">
        <x:f>IF('Record Validation'!M19&gt;1,"Duplicate Appointment ID",IF('Record Validation'!N19&lt;&gt;"OK",'Record Validation'!N19,IF('Record Validation'!O19&lt;&gt;"OK",'Record Validation'!O19,IF('Record Validation'!P19&lt;&gt;"OK",'Record Validation'!P19,IF('Record Validation'!Q19&lt;&gt;"OK",'Record Validation'!Q19,IF('Record Validation'!R19&lt;&gt;"OK",'Record Validation'!R19,IF('Schedule Control'!I19&lt;&gt;"OK",'Schedule Control'!I19,'Schedule Control'!K19)))))))</x:f>
        <x:v>Missing Referral</x:v>
      </x:c>
      <x:c r="J9" s="236" t="str">
        <x:f>IF(OR(G9="High Priority Review",H9="High Priority Review"),"High","Medium")</x:f>
        <x:v>Medium</x:v>
      </x:c>
      <x:c r="K9" s="236" t="str">
        <x:v>Healthcare Admin</x:v>
      </x:c>
      <x:c r="L9" s="236" t="str">
        <x:v>Open</x:v>
      </x:c>
      <x:c r="M9" s="250" t="n">
        <x:f>IF(J9="High",DATE(2026,8,18),DATE(2026,8,20))</x:f>
        <x:v>46254</x:v>
      </x:c>
      <x:c r="N9" s="236" t="str">
        <x:v>Review source record and request confirmation through secure written channel</x:v>
      </x:c>
      <x:c r="O9" s="236"/>
      <x:c r="P9" s="236"/>
    </x:row>
    <x:row r="10" ht="26" customHeight="1">
      <x:c r="A10" s="234" t="str">
        <x:f>"HC-CASE-006"</x:f>
        <x:v>HC-CASE-006</x:v>
      </x:c>
      <x:c r="B10" s="234" t="n">
        <x:f>'Record Validation'!A20</x:f>
        <x:v>20</x:v>
      </x:c>
      <x:c r="C10" s="234" t="str">
        <x:f>'Record Validation'!B20</x:f>
        <x:v>APT-2026-016</x:v>
      </x:c>
      <x:c r="D10" s="234" t="str">
        <x:f>'Record Validation'!C20</x:f>
        <x:v>PT-DEMO-016</x:v>
      </x:c>
      <x:c r="E10" s="249" t="n">
        <x:f>'Record Validation'!D20</x:f>
        <x:v>46255</x:v>
      </x:c>
      <x:c r="F10" s="234" t="str">
        <x:f>'Record Validation'!F20</x:f>
        <x:v>Central Clinic</x:v>
      </x:c>
      <x:c r="G10" s="234" t="str">
        <x:f>'Record Validation'!S20</x:f>
        <x:v>Ready</x:v>
      </x:c>
      <x:c r="H10" s="234" t="str">
        <x:f>'Schedule Control'!L20</x:f>
        <x:v>High Priority Review</x:v>
      </x:c>
      <x:c r="I10" s="234" t="str">
        <x:f>IF('Record Validation'!M20&gt;1,"Duplicate Appointment ID",IF('Record Validation'!N20&lt;&gt;"OK",'Record Validation'!N20,IF('Record Validation'!O20&lt;&gt;"OK",'Record Validation'!O20,IF('Record Validation'!P20&lt;&gt;"OK",'Record Validation'!P20,IF('Record Validation'!Q20&lt;&gt;"OK",'Record Validation'!Q20,IF('Record Validation'!R20&lt;&gt;"OK",'Record Validation'!R20,IF('Schedule Control'!I20&lt;&gt;"OK",'Schedule Control'!I20,'Schedule Control'!K20)))))))</x:f>
        <x:v>Slot Conflict</x:v>
      </x:c>
      <x:c r="J10" s="234" t="str">
        <x:f>IF(OR(G10="High Priority Review",H10="High Priority Review"),"High","Medium")</x:f>
        <x:v>High</x:v>
      </x:c>
      <x:c r="K10" s="234" t="str">
        <x:v>Healthcare Admin</x:v>
      </x:c>
      <x:c r="L10" s="234" t="str">
        <x:v>Open</x:v>
      </x:c>
      <x:c r="M10" s="249" t="n">
        <x:f>IF(J10="High",DATE(2026,8,18),DATE(2026,8,20))</x:f>
        <x:v>46252</x:v>
      </x:c>
      <x:c r="N10" s="234" t="str">
        <x:v>Review source record and request confirmation through secure written channel</x:v>
      </x:c>
      <x:c r="O10" s="234"/>
      <x:c r="P10" s="234"/>
    </x:row>
    <x:row r="11" ht="26" customHeight="1">
      <x:c r="A11" s="236" t="str">
        <x:f>"HC-CASE-007"</x:f>
        <x:v>HC-CASE-007</x:v>
      </x:c>
      <x:c r="B11" s="236" t="n">
        <x:f>'Record Validation'!A21</x:f>
        <x:v>21</x:v>
      </x:c>
      <x:c r="C11" s="236" t="str">
        <x:f>'Record Validation'!B21</x:f>
        <x:v>APT-2026-017</x:v>
      </x:c>
      <x:c r="D11" s="236" t="str">
        <x:f>'Record Validation'!C21</x:f>
        <x:v>PT-DEMO-017</x:v>
      </x:c>
      <x:c r="E11" s="250" t="n">
        <x:f>'Record Validation'!D21</x:f>
        <x:v>46255</x:v>
      </x:c>
      <x:c r="F11" s="236" t="str">
        <x:f>'Record Validation'!F21</x:f>
        <x:v>Central Clinic</x:v>
      </x:c>
      <x:c r="G11" s="236" t="str">
        <x:f>'Record Validation'!S21</x:f>
        <x:v>Ready</x:v>
      </x:c>
      <x:c r="H11" s="236" t="str">
        <x:f>'Schedule Control'!L21</x:f>
        <x:v>High Priority Review</x:v>
      </x:c>
      <x:c r="I11" s="236" t="str">
        <x:f>IF('Record Validation'!M21&gt;1,"Duplicate Appointment ID",IF('Record Validation'!N21&lt;&gt;"OK",'Record Validation'!N21,IF('Record Validation'!O21&lt;&gt;"OK",'Record Validation'!O21,IF('Record Validation'!P21&lt;&gt;"OK",'Record Validation'!P21,IF('Record Validation'!Q21&lt;&gt;"OK",'Record Validation'!Q21,IF('Record Validation'!R21&lt;&gt;"OK",'Record Validation'!R21,IF('Schedule Control'!I21&lt;&gt;"OK",'Schedule Control'!I21,'Schedule Control'!K21)))))))</x:f>
        <x:v>Slot Conflict</x:v>
      </x:c>
      <x:c r="J11" s="236" t="str">
        <x:f>IF(OR(G11="High Priority Review",H11="High Priority Review"),"High","Medium")</x:f>
        <x:v>High</x:v>
      </x:c>
      <x:c r="K11" s="236" t="str">
        <x:v>Healthcare Admin</x:v>
      </x:c>
      <x:c r="L11" s="236" t="str">
        <x:v>Open</x:v>
      </x:c>
      <x:c r="M11" s="250" t="n">
        <x:f>IF(J11="High",DATE(2026,8,18),DATE(2026,8,20))</x:f>
        <x:v>46252</x:v>
      </x:c>
      <x:c r="N11" s="236" t="str">
        <x:v>Review source record and request confirmation through secure written channel</x:v>
      </x:c>
      <x:c r="O11" s="236"/>
      <x:c r="P11" s="236"/>
    </x:row>
    <x:row r="12" ht="26" customHeight="1">
      <x:c r="A12" s="234" t="str">
        <x:f>"HC-CASE-008"</x:f>
        <x:v>HC-CASE-008</x:v>
      </x:c>
      <x:c r="B12" s="234" t="n">
        <x:f>'Record Validation'!A22</x:f>
        <x:v>22</x:v>
      </x:c>
      <x:c r="C12" s="234" t="str">
        <x:f>'Record Validation'!B22</x:f>
        <x:v>APT-2026-018</x:v>
      </x:c>
      <x:c r="D12" s="234" t="str">
        <x:f>'Record Validation'!C22</x:f>
        <x:v>PT-DEMO-108</x:v>
      </x:c>
      <x:c r="E12" s="249" t="n">
        <x:f>'Record Validation'!D22</x:f>
        <x:v>46260</x:v>
      </x:c>
      <x:c r="F12" s="234" t="str">
        <x:f>'Record Validation'!F22</x:f>
        <x:v>North Clinic</x:v>
      </x:c>
      <x:c r="G12" s="234" t="str">
        <x:f>'Record Validation'!S22</x:f>
        <x:v>High Priority Review</x:v>
      </x:c>
      <x:c r="H12" s="234" t="str">
        <x:f>'Schedule Control'!L22</x:f>
        <x:v>Ready</x:v>
      </x:c>
      <x:c r="I12" s="234" t="str">
        <x:f>IF('Record Validation'!M22&gt;1,"Duplicate Appointment ID",IF('Record Validation'!N22&lt;&gt;"OK",'Record Validation'!N22,IF('Record Validation'!O22&lt;&gt;"OK",'Record Validation'!O22,IF('Record Validation'!P22&lt;&gt;"OK",'Record Validation'!P22,IF('Record Validation'!Q22&lt;&gt;"OK",'Record Validation'!Q22,IF('Record Validation'!R22&lt;&gt;"OK",'Record Validation'!R22,IF('Schedule Control'!I22&lt;&gt;"OK",'Schedule Control'!I22,'Schedule Control'!K22)))))))</x:f>
        <x:v>Patient ID Not Found</x:v>
      </x:c>
      <x:c r="J12" s="234" t="str">
        <x:f>IF(OR(G12="High Priority Review",H12="High Priority Review"),"High","Medium")</x:f>
        <x:v>High</x:v>
      </x:c>
      <x:c r="K12" s="234" t="str">
        <x:v>Healthcare Admin</x:v>
      </x:c>
      <x:c r="L12" s="234" t="str">
        <x:v>Open</x:v>
      </x:c>
      <x:c r="M12" s="249" t="n">
        <x:f>IF(J12="High",DATE(2026,8,18),DATE(2026,8,20))</x:f>
        <x:v>46252</x:v>
      </x:c>
      <x:c r="N12" s="234" t="str">
        <x:v>Review source record and request confirmation through secure written channel</x:v>
      </x:c>
      <x:c r="O12" s="234"/>
      <x:c r="P12" s="234"/>
    </x:row>
    <x:row r="13" ht="26" customHeight="1">
      <x:c r="A13" s="236" t="str">
        <x:f>"HC-CASE-009"</x:f>
        <x:v>HC-CASE-009</x:v>
      </x:c>
      <x:c r="B13" s="236" t="n">
        <x:f>'Record Validation'!A25</x:f>
        <x:v>25</x:v>
      </x:c>
      <x:c r="C13" s="236" t="str">
        <x:f>'Record Validation'!B25</x:f>
        <x:v>APT-2026-021</x:v>
      </x:c>
      <x:c r="D13" s="236" t="str">
        <x:f>'Record Validation'!C25</x:f>
        <x:v>PT-DEMO-021</x:v>
      </x:c>
      <x:c r="E13" s="250" t="n">
        <x:f>'Record Validation'!D25</x:f>
        <x:v>46253</x:v>
      </x:c>
      <x:c r="F13" s="236" t="str">
        <x:f>'Record Validation'!F25</x:f>
        <x:v>North Clinic</x:v>
      </x:c>
      <x:c r="G13" s="236" t="str">
        <x:f>'Record Validation'!S25</x:f>
        <x:v>Review</x:v>
      </x:c>
      <x:c r="H13" s="236" t="str">
        <x:f>'Schedule Control'!L25</x:f>
        <x:v>Ready</x:v>
      </x:c>
      <x:c r="I13" s="236" t="str">
        <x:f>IF('Record Validation'!M25&gt;1,"Duplicate Appointment ID",IF('Record Validation'!N25&lt;&gt;"OK",'Record Validation'!N25,IF('Record Validation'!O25&lt;&gt;"OK",'Record Validation'!O25,IF('Record Validation'!P25&lt;&gt;"OK",'Record Validation'!P25,IF('Record Validation'!Q25&lt;&gt;"OK",'Record Validation'!Q25,IF('Record Validation'!R25&lt;&gt;"OK",'Record Validation'!R25,IF('Schedule Control'!I25&lt;&gt;"OK",'Schedule Control'!I25,'Schedule Control'!K25)))))))</x:f>
        <x:v>Invalid Status</x:v>
      </x:c>
      <x:c r="J13" s="236" t="str">
        <x:f>IF(OR(G13="High Priority Review",H13="High Priority Review"),"High","Medium")</x:f>
        <x:v>Medium</x:v>
      </x:c>
      <x:c r="K13" s="236" t="str">
        <x:v>Healthcare Admin</x:v>
      </x:c>
      <x:c r="L13" s="236" t="str">
        <x:v>Open</x:v>
      </x:c>
      <x:c r="M13" s="250" t="n">
        <x:f>IF(J13="High",DATE(2026,8,18),DATE(2026,8,20))</x:f>
        <x:v>46254</x:v>
      </x:c>
      <x:c r="N13" s="236" t="str">
        <x:v>Review source record and request confirmation through secure written channel</x:v>
      </x:c>
      <x:c r="O13" s="236"/>
      <x:c r="P13" s="236"/>
    </x:row>
    <x:row r="14" ht="26" customHeight="1">
      <x:c r="A14" s="234" t="str">
        <x:f>"HC-CASE-010"</x:f>
        <x:v>HC-CASE-010</x:v>
      </x:c>
      <x:c r="B14" s="234" t="n">
        <x:f>'Record Validation'!A26</x:f>
        <x:v>26</x:v>
      </x:c>
      <x:c r="C14" s="234" t="str">
        <x:f>'Record Validation'!B26</x:f>
        <x:v>APT-2026-022</x:v>
      </x:c>
      <x:c r="D14" s="234" t="str">
        <x:f>'Record Validation'!C26</x:f>
        <x:v>PT-DEMO-022</x:v>
      </x:c>
      <x:c r="E14" s="249" t="n">
        <x:f>'Record Validation'!D26</x:f>
        <x:v>46254</x:v>
      </x:c>
      <x:c r="F14" s="234" t="str">
        <x:f>'Record Validation'!F26</x:f>
        <x:v>Central Clinic</x:v>
      </x:c>
      <x:c r="G14" s="234" t="str">
        <x:f>'Record Validation'!S26</x:f>
        <x:v>Review</x:v>
      </x:c>
      <x:c r="H14" s="234" t="str">
        <x:f>'Schedule Control'!L26</x:f>
        <x:v>Ready</x:v>
      </x:c>
      <x:c r="I14" s="234" t="str">
        <x:f>IF('Record Validation'!M26&gt;1,"Duplicate Appointment ID",IF('Record Validation'!N26&lt;&gt;"OK",'Record Validation'!N26,IF('Record Validation'!O26&lt;&gt;"OK",'Record Validation'!O26,IF('Record Validation'!P26&lt;&gt;"OK",'Record Validation'!P26,IF('Record Validation'!Q26&lt;&gt;"OK",'Record Validation'!Q26,IF('Record Validation'!R26&lt;&gt;"OK",'Record Validation'!R26,IF('Schedule Control'!I26&lt;&gt;"OK",'Schedule Control'!I26,'Schedule Control'!K26)))))))</x:f>
        <x:v>Missing Consent</x:v>
      </x:c>
      <x:c r="J14" s="234" t="str">
        <x:f>IF(OR(G14="High Priority Review",H14="High Priority Review"),"High","Medium")</x:f>
        <x:v>Medium</x:v>
      </x:c>
      <x:c r="K14" s="234" t="str">
        <x:v>Healthcare Admin</x:v>
      </x:c>
      <x:c r="L14" s="234" t="str">
        <x:v>Open</x:v>
      </x:c>
      <x:c r="M14" s="249" t="n">
        <x:f>IF(J14="High",DATE(2026,8,18),DATE(2026,8,20))</x:f>
        <x:v>46254</x:v>
      </x:c>
      <x:c r="N14" s="234" t="str">
        <x:v>Review source record and request confirmation through secure written channel</x:v>
      </x:c>
      <x:c r="O14" s="234"/>
      <x:c r="P14" s="234"/>
    </x:row>
    <x:row r="15" ht="26" customHeight="1">
      <x:c r="A15" s="236" t="str">
        <x:f>"HC-CASE-011"</x:f>
        <x:v>HC-CASE-011</x:v>
      </x:c>
      <x:c r="B15" s="236" t="n">
        <x:f>'Record Validation'!A28</x:f>
        <x:v>28</x:v>
      </x:c>
      <x:c r="C15" s="236" t="str">
        <x:f>'Record Validation'!B28</x:f>
        <x:v>APT-2026-024</x:v>
      </x:c>
      <x:c r="D15" s="236" t="str">
        <x:f>'Record Validation'!C28</x:f>
        <x:v>PT-DEMO-024</x:v>
      </x:c>
      <x:c r="E15" s="250" t="n">
        <x:f>'Record Validation'!D28</x:f>
        <x:v>46256</x:v>
      </x:c>
      <x:c r="F15" s="236" t="str">
        <x:f>'Record Validation'!F28</x:f>
        <x:v>North Clinic</x:v>
      </x:c>
      <x:c r="G15" s="236" t="str">
        <x:f>'Record Validation'!S28</x:f>
        <x:v>Review</x:v>
      </x:c>
      <x:c r="H15" s="236" t="str">
        <x:f>'Schedule Control'!L28</x:f>
        <x:v>Ready</x:v>
      </x:c>
      <x:c r="I15" s="236" t="str">
        <x:f>IF('Record Validation'!M28&gt;1,"Duplicate Appointment ID",IF('Record Validation'!N28&lt;&gt;"OK",'Record Validation'!N28,IF('Record Validation'!O28&lt;&gt;"OK",'Record Validation'!O28,IF('Record Validation'!P28&lt;&gt;"OK",'Record Validation'!P28,IF('Record Validation'!Q28&lt;&gt;"OK",'Record Validation'!Q28,IF('Record Validation'!R28&lt;&gt;"OK",'Record Validation'!R28,IF('Schedule Control'!I28&lt;&gt;"OK",'Schedule Control'!I28,'Schedule Control'!K28)))))))</x:f>
        <x:v>Invalid Channel</x:v>
      </x:c>
      <x:c r="J15" s="236" t="str">
        <x:f>IF(OR(G15="High Priority Review",H15="High Priority Review"),"High","Medium")</x:f>
        <x:v>Medium</x:v>
      </x:c>
      <x:c r="K15" s="236" t="str">
        <x:v>Healthcare Admin</x:v>
      </x:c>
      <x:c r="L15" s="236" t="str">
        <x:v>Open</x:v>
      </x:c>
      <x:c r="M15" s="250" t="n">
        <x:f>IF(J15="High",DATE(2026,8,18),DATE(2026,8,20))</x:f>
        <x:v>46254</x:v>
      </x:c>
      <x:c r="N15" s="236" t="str">
        <x:v>Review source record and request confirmation through secure written channel</x:v>
      </x:c>
      <x:c r="O15" s="236"/>
      <x:c r="P15" s="236"/>
    </x:row>
    <x:row r="16" ht="26" customHeight="1">
      <x:c r="A16" s="234" t="str">
        <x:f>"HC-CASE-012"</x:f>
        <x:v>HC-CASE-012</x:v>
      </x:c>
      <x:c r="B16" s="234" t="n">
        <x:f>'Record Validation'!A31</x:f>
        <x:v>31</x:v>
      </x:c>
      <x:c r="C16" s="234" t="str">
        <x:f>'Record Validation'!B31</x:f>
        <x:v>APT-2026-027</x:v>
      </x:c>
      <x:c r="D16" s="234" t="str">
        <x:f>'Record Validation'!C31</x:f>
        <x:v>PT-DEMO-027</x:v>
      </x:c>
      <x:c r="E16" s="249" t="n">
        <x:f>'Record Validation'!D31</x:f>
        <x:v>46259</x:v>
      </x:c>
      <x:c r="F16" s="234" t="str">
        <x:f>'Record Validation'!F31</x:f>
        <x:v>North Clinic</x:v>
      </x:c>
      <x:c r="G16" s="234" t="str">
        <x:f>'Record Validation'!S31</x:f>
        <x:v>Ready</x:v>
      </x:c>
      <x:c r="H16" s="234" t="str">
        <x:f>'Schedule Control'!L31</x:f>
        <x:v>Review</x:v>
      </x:c>
      <x:c r="I16" s="234" t="str">
        <x:f>IF('Record Validation'!M31&gt;1,"Duplicate Appointment ID",IF('Record Validation'!N31&lt;&gt;"OK",'Record Validation'!N31,IF('Record Validation'!O31&lt;&gt;"OK",'Record Validation'!O31,IF('Record Validation'!P31&lt;&gt;"OK",'Record Validation'!P31,IF('Record Validation'!Q31&lt;&gt;"OK",'Record Validation'!Q31,IF('Record Validation'!R31&lt;&gt;"OK",'Record Validation'!R31,IF('Schedule Control'!I31&lt;&gt;"OK",'Schedule Control'!I31,'Schedule Control'!K31)))))))</x:f>
        <x:v>Overdue Follow-up</x:v>
      </x:c>
      <x:c r="J16" s="234" t="str">
        <x:f>IF(OR(G16="High Priority Review",H16="High Priority Review"),"High","Medium")</x:f>
        <x:v>Medium</x:v>
      </x:c>
      <x:c r="K16" s="234" t="str">
        <x:v>Healthcare Admin</x:v>
      </x:c>
      <x:c r="L16" s="234" t="str">
        <x:v>Open</x:v>
      </x:c>
      <x:c r="M16" s="249" t="n">
        <x:f>IF(J16="High",DATE(2026,8,18),DATE(2026,8,20))</x:f>
        <x:v>46254</x:v>
      </x:c>
      <x:c r="N16" s="234" t="str">
        <x:v>Review source record and request confirmation through secure written channel</x:v>
      </x:c>
      <x:c r="O16" s="234"/>
      <x:c r="P16" s="234"/>
    </x:row>
    <x:row r="17" ht="26" customHeight="1">
      <x:c r="A17" s="236" t="str">
        <x:f>"HC-CASE-013"</x:f>
        <x:v>HC-CASE-013</x:v>
      </x:c>
      <x:c r="B17" s="236" t="n">
        <x:f>'Record Validation'!A34</x:f>
        <x:v>34</x:v>
      </x:c>
      <x:c r="C17" s="236" t="str">
        <x:f>'Record Validation'!B34</x:f>
        <x:v>APT-2026-030</x:v>
      </x:c>
      <x:c r="D17" s="236" t="str">
        <x:f>'Record Validation'!C34</x:f>
        <x:v>PT-DEMO-030</x:v>
      </x:c>
      <x:c r="E17" s="250" t="n">
        <x:f>'Record Validation'!D34</x:f>
        <x:v>46252</x:v>
      </x:c>
      <x:c r="F17" s="236" t="str">
        <x:f>'Record Validation'!F34</x:f>
        <x:v>North Clinic</x:v>
      </x:c>
      <x:c r="G17" s="236" t="str">
        <x:f>'Record Validation'!S34</x:f>
        <x:v>Review</x:v>
      </x:c>
      <x:c r="H17" s="236" t="str">
        <x:f>'Schedule Control'!L34</x:f>
        <x:v>Ready</x:v>
      </x:c>
      <x:c r="I17" s="236" t="str">
        <x:f>IF('Record Validation'!M34&gt;1,"Duplicate Appointment ID",IF('Record Validation'!N34&lt;&gt;"OK",'Record Validation'!N34,IF('Record Validation'!O34&lt;&gt;"OK",'Record Validation'!O34,IF('Record Validation'!P34&lt;&gt;"OK",'Record Validation'!P34,IF('Record Validation'!Q34&lt;&gt;"OK",'Record Validation'!Q34,IF('Record Validation'!R34&lt;&gt;"OK",'Record Validation'!R34,IF('Schedule Control'!I34&lt;&gt;"OK",'Schedule Control'!I34,'Schedule Control'!K34)))))))</x:f>
        <x:v>Missing Referral</x:v>
      </x:c>
      <x:c r="J17" s="236" t="str">
        <x:f>IF(OR(G17="High Priority Review",H17="High Priority Review"),"High","Medium")</x:f>
        <x:v>Medium</x:v>
      </x:c>
      <x:c r="K17" s="236" t="str">
        <x:v>Healthcare Admin</x:v>
      </x:c>
      <x:c r="L17" s="236" t="str">
        <x:v>Open</x:v>
      </x:c>
      <x:c r="M17" s="250" t="n">
        <x:f>IF(J17="High",DATE(2026,8,18),DATE(2026,8,20))</x:f>
        <x:v>46254</x:v>
      </x:c>
      <x:c r="N17" s="236" t="str">
        <x:v>Review source record and request confirmation through secure written channel</x:v>
      </x:c>
      <x:c r="O17" s="236"/>
      <x:c r="P17" s="236"/>
    </x:row>
    <x:row r="18" ht="26" customHeight="1">
      <x:c r="A18" s="234" t="str">
        <x:f>"HC-CASE-014"</x:f>
        <x:v>HC-CASE-014</x:v>
      </x:c>
      <x:c r="B18" s="234" t="n">
        <x:f>'Record Validation'!A37</x:f>
        <x:v>37</x:v>
      </x:c>
      <x:c r="C18" s="234" t="str">
        <x:f>'Record Validation'!B37</x:f>
        <x:v>APT-2026-033</x:v>
      </x:c>
      <x:c r="D18" s="234" t="str">
        <x:f>'Record Validation'!C37</x:f>
        <x:v>PT-DEMO-033</x:v>
      </x:c>
      <x:c r="E18" s="249" t="n">
        <x:f>'Record Validation'!D37</x:f>
        <x:v>46255</x:v>
      </x:c>
      <x:c r="F18" s="234" t="str">
        <x:f>'Record Validation'!F37</x:f>
        <x:v>North Clinic</x:v>
      </x:c>
      <x:c r="G18" s="234" t="str">
        <x:f>'Record Validation'!S37</x:f>
        <x:v>Review</x:v>
      </x:c>
      <x:c r="H18" s="234" t="str">
        <x:f>'Schedule Control'!L37</x:f>
        <x:v>Ready</x:v>
      </x:c>
      <x:c r="I18" s="234" t="str">
        <x:f>IF('Record Validation'!M37&gt;1,"Duplicate Appointment ID",IF('Record Validation'!N37&lt;&gt;"OK",'Record Validation'!N37,IF('Record Validation'!O37&lt;&gt;"OK",'Record Validation'!O37,IF('Record Validation'!P37&lt;&gt;"OK",'Record Validation'!P37,IF('Record Validation'!Q37&lt;&gt;"OK",'Record Validation'!Q37,IF('Record Validation'!R37&lt;&gt;"OK",'Record Validation'!R37,IF('Schedule Control'!I37&lt;&gt;"OK",'Schedule Control'!I37,'Schedule Control'!K37)))))))</x:f>
        <x:v>Missing Consent</x:v>
      </x:c>
      <x:c r="J18" s="234" t="str">
        <x:f>IF(OR(G18="High Priority Review",H18="High Priority Review"),"High","Medium")</x:f>
        <x:v>Medium</x:v>
      </x:c>
      <x:c r="K18" s="234" t="str">
        <x:v>Healthcare Admin</x:v>
      </x:c>
      <x:c r="L18" s="234" t="str">
        <x:v>Open</x:v>
      </x:c>
      <x:c r="M18" s="249" t="n">
        <x:f>IF(J18="High",DATE(2026,8,18),DATE(2026,8,20))</x:f>
        <x:v>46254</x:v>
      </x:c>
      <x:c r="N18" s="234" t="str">
        <x:v>Review source record and request confirmation through secure written channel</x:v>
      </x:c>
      <x:c r="O18" s="234"/>
      <x:c r="P18" s="234"/>
    </x:row>
    <x:row r="19" ht="26" customHeight="1">
      <x:c r="A19" s="236" t="str">
        <x:f>"HC-CASE-015"</x:f>
        <x:v>HC-CASE-015</x:v>
      </x:c>
      <x:c r="B19" s="236" t="n">
        <x:f>'Record Validation'!A38</x:f>
        <x:v>38</x:v>
      </x:c>
      <x:c r="C19" s="236" t="str">
        <x:f>'Record Validation'!B38</x:f>
        <x:v>APT-2026-034</x:v>
      </x:c>
      <x:c r="D19" s="236" t="str">
        <x:f>'Record Validation'!C38</x:f>
        <x:v>PT-DEMO-034</x:v>
      </x:c>
      <x:c r="E19" s="250" t="n">
        <x:f>'Record Validation'!D38</x:f>
        <x:v>46255</x:v>
      </x:c>
      <x:c r="F19" s="236" t="str">
        <x:f>'Record Validation'!F38</x:f>
        <x:v>East Clinic</x:v>
      </x:c>
      <x:c r="G19" s="236" t="str">
        <x:f>'Record Validation'!S38</x:f>
        <x:v>Ready</x:v>
      </x:c>
      <x:c r="H19" s="236" t="str">
        <x:f>'Schedule Control'!L38</x:f>
        <x:v>High Priority Review</x:v>
      </x:c>
      <x:c r="I19" s="236" t="str">
        <x:f>IF('Record Validation'!M38&gt;1,"Duplicate Appointment ID",IF('Record Validation'!N38&lt;&gt;"OK",'Record Validation'!N38,IF('Record Validation'!O38&lt;&gt;"OK",'Record Validation'!O38,IF('Record Validation'!P38&lt;&gt;"OK",'Record Validation'!P38,IF('Record Validation'!Q38&lt;&gt;"OK",'Record Validation'!Q38,IF('Record Validation'!R38&lt;&gt;"OK",'Record Validation'!R38,IF('Schedule Control'!I38&lt;&gt;"OK",'Schedule Control'!I38,'Schedule Control'!K38)))))))</x:f>
        <x:v>Slot Conflict</x:v>
      </x:c>
      <x:c r="J19" s="236" t="str">
        <x:f>IF(OR(G19="High Priority Review",H19="High Priority Review"),"High","Medium")</x:f>
        <x:v>High</x:v>
      </x:c>
      <x:c r="K19" s="236" t="str">
        <x:v>Healthcare Admin</x:v>
      </x:c>
      <x:c r="L19" s="236" t="str">
        <x:v>Open</x:v>
      </x:c>
      <x:c r="M19" s="250" t="n">
        <x:f>IF(J19="High",DATE(2026,8,18),DATE(2026,8,20))</x:f>
        <x:v>46252</x:v>
      </x:c>
      <x:c r="N19" s="236" t="str">
        <x:v>Review source record and request confirmation through secure written channel</x:v>
      </x:c>
      <x:c r="O19" s="236"/>
      <x:c r="P19" s="236"/>
    </x:row>
    <x:row r="20" ht="26" customHeight="1">
      <x:c r="A20" s="234" t="str">
        <x:f>"HC-CASE-016"</x:f>
        <x:v>HC-CASE-016</x:v>
      </x:c>
      <x:c r="B20" s="234" t="n">
        <x:f>'Record Validation'!A39</x:f>
        <x:v>39</x:v>
      </x:c>
      <x:c r="C20" s="234" t="str">
        <x:f>'Record Validation'!B39</x:f>
        <x:v>APT-2026-035</x:v>
      </x:c>
      <x:c r="D20" s="234" t="str">
        <x:f>'Record Validation'!C39</x:f>
        <x:v>PT-DEMO-035</x:v>
      </x:c>
      <x:c r="E20" s="249" t="n">
        <x:f>'Record Validation'!D39</x:f>
        <x:v>46255</x:v>
      </x:c>
      <x:c r="F20" s="234" t="str">
        <x:f>'Record Validation'!F39</x:f>
        <x:v>East Clinic</x:v>
      </x:c>
      <x:c r="G20" s="234" t="str">
        <x:f>'Record Validation'!S39</x:f>
        <x:v>Ready</x:v>
      </x:c>
      <x:c r="H20" s="234" t="str">
        <x:f>'Schedule Control'!L39</x:f>
        <x:v>High Priority Review</x:v>
      </x:c>
      <x:c r="I20" s="234" t="str">
        <x:f>IF('Record Validation'!M39&gt;1,"Duplicate Appointment ID",IF('Record Validation'!N39&lt;&gt;"OK",'Record Validation'!N39,IF('Record Validation'!O39&lt;&gt;"OK",'Record Validation'!O39,IF('Record Validation'!P39&lt;&gt;"OK",'Record Validation'!P39,IF('Record Validation'!Q39&lt;&gt;"OK",'Record Validation'!Q39,IF('Record Validation'!R39&lt;&gt;"OK",'Record Validation'!R39,IF('Schedule Control'!I39&lt;&gt;"OK",'Schedule Control'!I39,'Schedule Control'!K39)))))))</x:f>
        <x:v>Slot Conflict</x:v>
      </x:c>
      <x:c r="J20" s="234" t="str">
        <x:f>IF(OR(G20="High Priority Review",H20="High Priority Review"),"High","Medium")</x:f>
        <x:v>High</x:v>
      </x:c>
      <x:c r="K20" s="234" t="str">
        <x:v>Healthcare Admin</x:v>
      </x:c>
      <x:c r="L20" s="234" t="str">
        <x:v>Open</x:v>
      </x:c>
      <x:c r="M20" s="249" t="n">
        <x:f>IF(J20="High",DATE(2026,8,18),DATE(2026,8,20))</x:f>
        <x:v>46252</x:v>
      </x:c>
      <x:c r="N20" s="234" t="str">
        <x:v>Review source record and request confirmation through secure written channel</x:v>
      </x:c>
      <x:c r="O20" s="234"/>
      <x:c r="P20" s="234"/>
    </x:row>
    <x:row r="21" ht="26" customHeight="1">
      <x:c r="A21" s="236" t="str">
        <x:f>"HC-CASE-017"</x:f>
        <x:v>HC-CASE-017</x:v>
      </x:c>
      <x:c r="B21" s="236" t="n">
        <x:f>'Record Validation'!A40</x:f>
        <x:v>40</x:v>
      </x:c>
      <x:c r="C21" s="236" t="str">
        <x:f>'Record Validation'!B40</x:f>
        <x:v>APT-2026-036</x:v>
      </x:c>
      <x:c r="D21" s="236" t="str">
        <x:f>'Record Validation'!C40</x:f>
        <x:v>PT-DEMO-036</x:v>
      </x:c>
      <x:c r="E21" s="250" t="n">
        <x:f>'Record Validation'!D40</x:f>
        <x:v>46258</x:v>
      </x:c>
      <x:c r="F21" s="236" t="str">
        <x:f>'Record Validation'!F40</x:f>
        <x:v>North Clinic</x:v>
      </x:c>
      <x:c r="G21" s="236" t="str">
        <x:f>'Record Validation'!S40</x:f>
        <x:v>High Priority Review</x:v>
      </x:c>
      <x:c r="H21" s="236" t="str">
        <x:f>'Schedule Control'!L40</x:f>
        <x:v>Ready</x:v>
      </x:c>
      <x:c r="I21" s="236" t="str">
        <x:f>IF('Record Validation'!M40&gt;1,"Duplicate Appointment ID",IF('Record Validation'!N40&lt;&gt;"OK",'Record Validation'!N40,IF('Record Validation'!O40&lt;&gt;"OK",'Record Validation'!O40,IF('Record Validation'!P40&lt;&gt;"OK",'Record Validation'!P40,IF('Record Validation'!Q40&lt;&gt;"OK",'Record Validation'!Q40,IF('Record Validation'!R40&lt;&gt;"OK",'Record Validation'!R40,IF('Schedule Control'!I40&lt;&gt;"OK",'Schedule Control'!I40,'Schedule Control'!K40)))))))</x:f>
        <x:v>Duplicate Appointment ID</x:v>
      </x:c>
      <x:c r="J21" s="236" t="str">
        <x:f>IF(OR(G21="High Priority Review",H21="High Priority Review"),"High","Medium")</x:f>
        <x:v>High</x:v>
      </x:c>
      <x:c r="K21" s="236" t="str">
        <x:v>Healthcare Admin</x:v>
      </x:c>
      <x:c r="L21" s="236" t="str">
        <x:v>Open</x:v>
      </x:c>
      <x:c r="M21" s="250" t="n">
        <x:f>IF(J21="High",DATE(2026,8,18),DATE(2026,8,20))</x:f>
        <x:v>46252</x:v>
      </x:c>
      <x:c r="N21" s="236" t="str">
        <x:v>Review source record and request confirmation through secure written channel</x:v>
      </x:c>
      <x:c r="O21" s="236"/>
      <x:c r="P21" s="236"/>
    </x:row>
    <x:row r="22" ht="26" customHeight="1">
      <x:c r="A22" s="234" t="str">
        <x:f>"HC-CASE-018"</x:f>
        <x:v>HC-CASE-018</x:v>
      </x:c>
      <x:c r="B22" s="234" t="n">
        <x:f>'Record Validation'!A41</x:f>
        <x:v>41</x:v>
      </x:c>
      <x:c r="C22" s="234" t="str">
        <x:f>'Record Validation'!B41</x:f>
        <x:v>APT-2026-036</x:v>
      </x:c>
      <x:c r="D22" s="234" t="str">
        <x:f>'Record Validation'!C41</x:f>
        <x:v>PT-DEMO-037</x:v>
      </x:c>
      <x:c r="E22" s="249" t="n">
        <x:f>'Record Validation'!D41</x:f>
        <x:v>46259</x:v>
      </x:c>
      <x:c r="F22" s="234" t="str">
        <x:f>'Record Validation'!F41</x:f>
        <x:v>Central Clinic</x:v>
      </x:c>
      <x:c r="G22" s="234" t="str">
        <x:f>'Record Validation'!S41</x:f>
        <x:v>High Priority Review</x:v>
      </x:c>
      <x:c r="H22" s="234" t="str">
        <x:f>'Schedule Control'!L41</x:f>
        <x:v>Ready</x:v>
      </x:c>
      <x:c r="I22" s="234" t="str">
        <x:f>IF('Record Validation'!M41&gt;1,"Duplicate Appointment ID",IF('Record Validation'!N41&lt;&gt;"OK",'Record Validation'!N41,IF('Record Validation'!O41&lt;&gt;"OK",'Record Validation'!O41,IF('Record Validation'!P41&lt;&gt;"OK",'Record Validation'!P41,IF('Record Validation'!Q41&lt;&gt;"OK",'Record Validation'!Q41,IF('Record Validation'!R41&lt;&gt;"OK",'Record Validation'!R41,IF('Schedule Control'!I41&lt;&gt;"OK",'Schedule Control'!I41,'Schedule Control'!K41)))))))</x:f>
        <x:v>Duplicate Appointment ID</x:v>
      </x:c>
      <x:c r="J22" s="234" t="str">
        <x:f>IF(OR(G22="High Priority Review",H22="High Priority Review"),"High","Medium")</x:f>
        <x:v>High</x:v>
      </x:c>
      <x:c r="K22" s="234" t="str">
        <x:v>Healthcare Admin</x:v>
      </x:c>
      <x:c r="L22" s="234" t="str">
        <x:v>Open</x:v>
      </x:c>
      <x:c r="M22" s="249" t="n">
        <x:f>IF(J22="High",DATE(2026,8,18),DATE(2026,8,20))</x:f>
        <x:v>46252</x:v>
      </x:c>
      <x:c r="N22" s="234" t="str">
        <x:v>Review source record and request confirmation through secure written channel</x:v>
      </x:c>
      <x:c r="O22" s="234"/>
      <x:c r="P22" s="234"/>
    </x:row>
    <x:row r="23" ht="26" customHeight="1">
      <x:c r="A23" s="236" t="str">
        <x:f>"HC-CASE-019"</x:f>
        <x:v>HC-CASE-019</x:v>
      </x:c>
      <x:c r="B23" s="236" t="n">
        <x:f>'Record Validation'!A43</x:f>
        <x:v>43</x:v>
      </x:c>
      <x:c r="C23" s="236" t="str">
        <x:f>'Record Validation'!B43</x:f>
        <x:v>APT-2026-039</x:v>
      </x:c>
      <x:c r="D23" s="236" t="str">
        <x:f>'Record Validation'!C43</x:f>
        <x:v>PT-DEMO-039</x:v>
      </x:c>
      <x:c r="E23" s="250" t="n">
        <x:f>'Record Validation'!D43</x:f>
        <x:v>46261</x:v>
      </x:c>
      <x:c r="F23" s="236" t="str">
        <x:f>'Record Validation'!F43</x:f>
        <x:v>North Clinic</x:v>
      </x:c>
      <x:c r="G23" s="236" t="str">
        <x:f>'Record Validation'!S43</x:f>
        <x:v>Ready</x:v>
      </x:c>
      <x:c r="H23" s="236" t="str">
        <x:f>'Schedule Control'!L43</x:f>
        <x:v>Review</x:v>
      </x:c>
      <x:c r="I23" s="236" t="str">
        <x:f>IF('Record Validation'!M43&gt;1,"Duplicate Appointment ID",IF('Record Validation'!N43&lt;&gt;"OK",'Record Validation'!N43,IF('Record Validation'!O43&lt;&gt;"OK",'Record Validation'!O43,IF('Record Validation'!P43&lt;&gt;"OK",'Record Validation'!P43,IF('Record Validation'!Q43&lt;&gt;"OK",'Record Validation'!Q43,IF('Record Validation'!R43&lt;&gt;"OK",'Record Validation'!R43,IF('Schedule Control'!I43&lt;&gt;"OK",'Schedule Control'!I43,'Schedule Control'!K43)))))))</x:f>
        <x:v>Overdue Follow-up</x:v>
      </x:c>
      <x:c r="J23" s="236" t="str">
        <x:f>IF(OR(G23="High Priority Review",H23="High Priority Review"),"High","Medium")</x:f>
        <x:v>Medium</x:v>
      </x:c>
      <x:c r="K23" s="236" t="str">
        <x:v>Healthcare Admin</x:v>
      </x:c>
      <x:c r="L23" s="236" t="str">
        <x:v>Open</x:v>
      </x:c>
      <x:c r="M23" s="250" t="n">
        <x:f>IF(J23="High",DATE(2026,8,18),DATE(2026,8,20))</x:f>
        <x:v>46254</x:v>
      </x:c>
      <x:c r="N23" s="236" t="str">
        <x:v>Review source record and request confirmation through secure written channel</x:v>
      </x:c>
      <x:c r="O23" s="236"/>
      <x:c r="P23" s="236"/>
    </x:row>
    <x:row r="24" ht="26" customHeight="1">
      <x:c r="A24" s="234" t="str">
        <x:f>"HC-CASE-020"</x:f>
        <x:v>HC-CASE-020</x:v>
      </x:c>
      <x:c r="B24" s="234" t="n">
        <x:f>'Record Validation'!A46</x:f>
        <x:v>46</x:v>
      </x:c>
      <x:c r="C24" s="234" t="str">
        <x:f>'Record Validation'!B46</x:f>
        <x:v>APT-2026-042</x:v>
      </x:c>
      <x:c r="D24" s="234" t="str">
        <x:f>'Record Validation'!C46</x:f>
        <x:v>PT-DEMO-042</x:v>
      </x:c>
      <x:c r="E24" s="249" t="n">
        <x:f>'Record Validation'!D46</x:f>
        <x:v>46254</x:v>
      </x:c>
      <x:c r="F24" s="234" t="str">
        <x:f>'Record Validation'!F46</x:f>
        <x:v>North Clinic</x:v>
      </x:c>
      <x:c r="G24" s="234" t="str">
        <x:f>'Record Validation'!S46</x:f>
        <x:v>Review</x:v>
      </x:c>
      <x:c r="H24" s="234" t="str">
        <x:f>'Schedule Control'!L46</x:f>
        <x:v>Ready</x:v>
      </x:c>
      <x:c r="I24" s="234" t="str">
        <x:f>IF('Record Validation'!M46&gt;1,"Duplicate Appointment ID",IF('Record Validation'!N46&lt;&gt;"OK",'Record Validation'!N46,IF('Record Validation'!O46&lt;&gt;"OK",'Record Validation'!O46,IF('Record Validation'!P46&lt;&gt;"OK",'Record Validation'!P46,IF('Record Validation'!Q46&lt;&gt;"OK",'Record Validation'!Q46,IF('Record Validation'!R46&lt;&gt;"OK",'Record Validation'!R46,IF('Schedule Control'!I46&lt;&gt;"OK",'Schedule Control'!I46,'Schedule Control'!K46)))))))</x:f>
        <x:v>Invalid Channel</x:v>
      </x:c>
      <x:c r="J24" s="234" t="str">
        <x:f>IF(OR(G24="High Priority Review",H24="High Priority Review"),"High","Medium")</x:f>
        <x:v>Medium</x:v>
      </x:c>
      <x:c r="K24" s="234" t="str">
        <x:v>Healthcare Admin</x:v>
      </x:c>
      <x:c r="L24" s="234" t="str">
        <x:v>Open</x:v>
      </x:c>
      <x:c r="M24" s="249" t="n">
        <x:f>IF(J24="High",DATE(2026,8,18),DATE(2026,8,20))</x:f>
        <x:v>46254</x:v>
      </x:c>
      <x:c r="N24" s="234" t="str">
        <x:v>Review source record and request confirmation through secure written channel</x:v>
      </x:c>
      <x:c r="O24" s="234"/>
      <x:c r="P24" s="234"/>
    </x:row>
    <x:row r="25" ht="26" customHeight="1">
      <x:c r="A25" s="236" t="str">
        <x:f>"HC-CASE-021"</x:f>
        <x:v>HC-CASE-021</x:v>
      </x:c>
      <x:c r="B25" s="236" t="n">
        <x:f>'Record Validation'!A48</x:f>
        <x:v>48</x:v>
      </x:c>
      <x:c r="C25" s="236" t="str">
        <x:f>'Record Validation'!B48</x:f>
        <x:v>APT-2026-044</x:v>
      </x:c>
      <x:c r="D25" s="236" t="str">
        <x:f>'Record Validation'!C48</x:f>
        <x:v>PT-DEMO-134</x:v>
      </x:c>
      <x:c r="E25" s="250" t="n">
        <x:f>'Record Validation'!D48</x:f>
        <x:v>46256</x:v>
      </x:c>
      <x:c r="F25" s="236" t="str">
        <x:f>'Record Validation'!F48</x:f>
        <x:v>East Clinic</x:v>
      </x:c>
      <x:c r="G25" s="236" t="str">
        <x:f>'Record Validation'!S48</x:f>
        <x:v>High Priority Review</x:v>
      </x:c>
      <x:c r="H25" s="236" t="str">
        <x:f>'Schedule Control'!L48</x:f>
        <x:v>Ready</x:v>
      </x:c>
      <x:c r="I25" s="236" t="str">
        <x:f>IF('Record Validation'!M48&gt;1,"Duplicate Appointment ID",IF('Record Validation'!N48&lt;&gt;"OK",'Record Validation'!N48,IF('Record Validation'!O48&lt;&gt;"OK",'Record Validation'!O48,IF('Record Validation'!P48&lt;&gt;"OK",'Record Validation'!P48,IF('Record Validation'!Q48&lt;&gt;"OK",'Record Validation'!Q48,IF('Record Validation'!R48&lt;&gt;"OK",'Record Validation'!R48,IF('Schedule Control'!I48&lt;&gt;"OK",'Schedule Control'!I48,'Schedule Control'!K48)))))))</x:f>
        <x:v>Patient ID Not Found</x:v>
      </x:c>
      <x:c r="J25" s="236" t="str">
        <x:f>IF(OR(G25="High Priority Review",H25="High Priority Review"),"High","Medium")</x:f>
        <x:v>High</x:v>
      </x:c>
      <x:c r="K25" s="236" t="str">
        <x:v>Healthcare Admin</x:v>
      </x:c>
      <x:c r="L25" s="236" t="str">
        <x:v>Open</x:v>
      </x:c>
      <x:c r="M25" s="250" t="n">
        <x:f>IF(J25="High",DATE(2026,8,18),DATE(2026,8,20))</x:f>
        <x:v>46252</x:v>
      </x:c>
      <x:c r="N25" s="236" t="str">
        <x:v>Review source record and request confirmation through secure written channel</x:v>
      </x:c>
      <x:c r="O25" s="236"/>
      <x:c r="P25" s="236"/>
    </x:row>
    <x:row r="26" ht="26" customHeight="1">
      <x:c r="A26" s="234" t="str">
        <x:f>"HC-CASE-022"</x:f>
        <x:v>HC-CASE-022</x:v>
      </x:c>
      <x:c r="B26" s="234" t="n">
        <x:f>'Record Validation'!A49</x:f>
        <x:v>49</x:v>
      </x:c>
      <x:c r="C26" s="234" t="str">
        <x:f>'Record Validation'!B49</x:f>
        <x:v>APT-2026-045</x:v>
      </x:c>
      <x:c r="D26" s="234" t="str">
        <x:f>'Record Validation'!C49</x:f>
        <x:v>PT-DEMO-045</x:v>
      </x:c>
      <x:c r="E26" s="249" t="n">
        <x:f>'Record Validation'!D49</x:f>
        <x:v>46257</x:v>
      </x:c>
      <x:c r="F26" s="234" t="str">
        <x:f>'Record Validation'!F49</x:f>
        <x:v>North Clinic</x:v>
      </x:c>
      <x:c r="G26" s="234" t="str">
        <x:f>'Record Validation'!S49</x:f>
        <x:v>Review</x:v>
      </x:c>
      <x:c r="H26" s="234" t="str">
        <x:f>'Schedule Control'!L49</x:f>
        <x:v>Ready</x:v>
      </x:c>
      <x:c r="I26" s="234" t="str">
        <x:f>IF('Record Validation'!M49&gt;1,"Duplicate Appointment ID",IF('Record Validation'!N49&lt;&gt;"OK",'Record Validation'!N49,IF('Record Validation'!O49&lt;&gt;"OK",'Record Validation'!O49,IF('Record Validation'!P49&lt;&gt;"OK",'Record Validation'!P49,IF('Record Validation'!Q49&lt;&gt;"OK",'Record Validation'!Q49,IF('Record Validation'!R49&lt;&gt;"OK",'Record Validation'!R49,IF('Schedule Control'!I49&lt;&gt;"OK",'Schedule Control'!I49,'Schedule Control'!K49)))))))</x:f>
        <x:v>Missing Consent</x:v>
      </x:c>
      <x:c r="J26" s="234" t="str">
        <x:f>IF(OR(G26="High Priority Review",H26="High Priority Review"),"High","Medium")</x:f>
        <x:v>Medium</x:v>
      </x:c>
      <x:c r="K26" s="234" t="str">
        <x:v>Healthcare Admin</x:v>
      </x:c>
      <x:c r="L26" s="234" t="str">
        <x:v>Open</x:v>
      </x:c>
      <x:c r="M26" s="249" t="n">
        <x:f>IF(J26="High",DATE(2026,8,18),DATE(2026,8,20))</x:f>
        <x:v>46254</x:v>
      </x:c>
      <x:c r="N26" s="234" t="str">
        <x:v>Review source record and request confirmation through secure written channel</x:v>
      </x:c>
      <x:c r="O26" s="234"/>
      <x:c r="P26" s="234"/>
    </x:row>
    <x:row r="27" ht="26" customHeight="1">
      <x:c r="A27" s="236" t="str">
        <x:f>"HC-CASE-023"</x:f>
        <x:v>HC-CASE-023</x:v>
      </x:c>
      <x:c r="B27" s="236" t="n">
        <x:f>'Record Validation'!A51</x:f>
        <x:v>51</x:v>
      </x:c>
      <x:c r="C27" s="236" t="str">
        <x:f>'Record Validation'!B51</x:f>
        <x:v>APT-2026-047</x:v>
      </x:c>
      <x:c r="D27" s="236" t="str">
        <x:f>'Record Validation'!C51</x:f>
        <x:v>PT-DEMO-002</x:v>
      </x:c>
      <x:c r="E27" s="250" t="n">
        <x:f>'Record Validation'!D51</x:f>
        <x:v>46259</x:v>
      </x:c>
      <x:c r="F27" s="236" t="str">
        <x:f>'Record Validation'!F51</x:f>
        <x:v>East Clinic</x:v>
      </x:c>
      <x:c r="G27" s="236" t="str">
        <x:f>'Record Validation'!S51</x:f>
        <x:v>Review</x:v>
      </x:c>
      <x:c r="H27" s="236" t="str">
        <x:f>'Schedule Control'!L51</x:f>
        <x:v>Ready</x:v>
      </x:c>
      <x:c r="I27" s="236" t="str">
        <x:f>IF('Record Validation'!M51&gt;1,"Duplicate Appointment ID",IF('Record Validation'!N51&lt;&gt;"OK",'Record Validation'!N51,IF('Record Validation'!O51&lt;&gt;"OK",'Record Validation'!O51,IF('Record Validation'!P51&lt;&gt;"OK",'Record Validation'!P51,IF('Record Validation'!Q51&lt;&gt;"OK",'Record Validation'!Q51,IF('Record Validation'!R51&lt;&gt;"OK",'Record Validation'!R51,IF('Schedule Control'!I51&lt;&gt;"OK",'Schedule Control'!I51,'Schedule Control'!K51)))))))</x:f>
        <x:v>Invalid Status</x:v>
      </x:c>
      <x:c r="J27" s="236" t="str">
        <x:f>IF(OR(G27="High Priority Review",H27="High Priority Review"),"High","Medium")</x:f>
        <x:v>Medium</x:v>
      </x:c>
      <x:c r="K27" s="236" t="str">
        <x:v>Healthcare Admin</x:v>
      </x:c>
      <x:c r="L27" s="236" t="str">
        <x:v>Open</x:v>
      </x:c>
      <x:c r="M27" s="250" t="n">
        <x:f>IF(J27="High",DATE(2026,8,18),DATE(2026,8,20))</x:f>
        <x:v>46254</x:v>
      </x:c>
      <x:c r="N27" s="236" t="str">
        <x:v>Review source record and request confirmation through secure written channel</x:v>
      </x:c>
      <x:c r="O27" s="236"/>
      <x:c r="P27" s="236"/>
    </x:row>
    <x:row r="28" ht="26" customHeight="1">
      <x:c r="A28" s="251" t="str">
        <x:f>"HC-CASE-024"</x:f>
        <x:v>HC-CASE-024</x:v>
      </x:c>
      <x:c r="B28" s="251" t="n">
        <x:f>'Record Validation'!A52</x:f>
        <x:v>52</x:v>
      </x:c>
      <x:c r="C28" s="251" t="str">
        <x:f>'Record Validation'!B52</x:f>
        <x:v>APT-2026-048</x:v>
      </x:c>
      <x:c r="D28" s="251" t="str">
        <x:f>'Record Validation'!C52</x:f>
        <x:v>PT-DEMO-003</x:v>
      </x:c>
      <x:c r="E28" s="252" t="n">
        <x:f>'Record Validation'!D52</x:f>
        <x:v>46260</x:v>
      </x:c>
      <x:c r="F28" s="251" t="str">
        <x:f>'Record Validation'!F52</x:f>
        <x:v>North Clinic</x:v>
      </x:c>
      <x:c r="G28" s="251" t="str">
        <x:f>'Record Validation'!S52</x:f>
        <x:v>Ready</x:v>
      </x:c>
      <x:c r="H28" s="251" t="str">
        <x:f>'Schedule Control'!L52</x:f>
        <x:v>Review</x:v>
      </x:c>
      <x:c r="I28" s="251" t="str">
        <x:f>IF('Record Validation'!M52&gt;1,"Duplicate Appointment ID",IF('Record Validation'!N52&lt;&gt;"OK",'Record Validation'!N52,IF('Record Validation'!O52&lt;&gt;"OK",'Record Validation'!O52,IF('Record Validation'!P52&lt;&gt;"OK",'Record Validation'!P52,IF('Record Validation'!Q52&lt;&gt;"OK",'Record Validation'!Q52,IF('Record Validation'!R52&lt;&gt;"OK",'Record Validation'!R52,IF('Schedule Control'!I52&lt;&gt;"OK",'Schedule Control'!I52,'Schedule Control'!K52)))))))</x:f>
        <x:v>Overdue Follow-up</x:v>
      </x:c>
      <x:c r="J28" s="251" t="str">
        <x:f>IF(OR(G28="High Priority Review",H28="High Priority Review"),"High","Medium")</x:f>
        <x:v>Medium</x:v>
      </x:c>
      <x:c r="K28" s="251" t="str">
        <x:v>Healthcare Admin</x:v>
      </x:c>
      <x:c r="L28" s="251" t="str">
        <x:v>Open</x:v>
      </x:c>
      <x:c r="M28" s="252" t="n">
        <x:f>IF(J28="High",DATE(2026,8,18),DATE(2026,8,20))</x:f>
        <x:v>46254</x:v>
      </x:c>
      <x:c r="N28" s="251" t="str">
        <x:v>Review source record and request confirmation through secure written channel</x:v>
      </x:c>
      <x:c r="O28" s="251"/>
      <x:c r="P28" s="251"/>
    </x:row>
  </x:sheetData>
  <x:mergeCells>
    <x:mergeCell ref="A1:P1"/>
    <x:mergeCell ref="A2:P2"/>
  </x:mergeCells>
  <x:dataValidations count="3">
    <x:dataValidation type="list" sqref="J5:J28">
      <x:formula1>"High,Medium,Low"</x:formula1>
    </x:dataValidation>
    <x:dataValidation type="list" sqref="K5:K28">
      <x:formula1>"Healthcare Admin,Records Reviewer,Scheduling Coordinator"</x:formula1>
    </x:dataValidation>
    <x:dataValidation type="list" sqref="L5:L28">
      <x:formula1>"Open,In Progress,Waiting for Source,Resolved"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65" hidden="0" customWidth="1"/>
    <x:col min="5" max="5" width="28" hidden="0" customWidth="1"/>
    <x:col min="6" max="6" width="28" hidden="0" customWidth="1"/>
  </x:cols>
  <x:sheetData>
    <x:row r="1" ht="36" customHeight="1">
      <x:c r="A1" s="220" t="str">
        <x:v>PROJ-009 | WRITTEN COMMUNICATION TEMPLATES</x:v>
      </x:c>
      <x:c r="B1" s="220"/>
      <x:c r="C1" s="220"/>
      <x:c r="D1" s="220"/>
      <x:c r="E1" s="220"/>
      <x:c r="F1" s="220"/>
    </x:row>
    <x:row r="2" ht="25" customHeight="1">
      <x:c r="A2" s="221" t="str">
        <x:v>Secure, concise, asynchronous administrative follow-up</x:v>
      </x:c>
      <x:c r="B2" s="221"/>
      <x:c r="C2" s="221"/>
      <x:c r="D2" s="221"/>
      <x:c r="E2" s="221"/>
      <x:c r="F2" s="221"/>
    </x:row>
    <x:row r="3">
      <x:c r="A3" s="222"/>
      <x:c r="B3" s="222"/>
      <x:c r="C3" s="222"/>
      <x:c r="D3" s="222"/>
      <x:c r="E3" s="222"/>
      <x:c r="F3" s="222"/>
    </x:row>
    <x:row r="4" ht="34" customHeight="1">
      <x:c r="A4" s="223" t="str">
        <x:v>Template ID</x:v>
      </x:c>
      <x:c r="B4" s="223" t="str">
        <x:v>Use Case</x:v>
      </x:c>
      <x:c r="C4" s="223" t="str">
        <x:v>Subject / Title</x:v>
      </x:c>
      <x:c r="D4" s="223" t="str">
        <x:v>Message Template</x:v>
      </x:c>
      <x:c r="E4" s="223" t="str">
        <x:v>Approved Channel</x:v>
      </x:c>
      <x:c r="F4" s="223" t="str">
        <x:v>Boundary</x:v>
      </x:c>
    </x:row>
    <x:row r="5" ht="58" customHeight="1">
      <x:c r="A5" s="232" t="str">
        <x:v>TPL-01</x:v>
      </x:c>
      <x:c r="B5" s="232" t="str">
        <x:v>Missing consent</x:v>
      </x:c>
      <x:c r="C5" s="232" t="str">
        <x:v>Consent evidence required</x:v>
      </x:c>
      <x:c r="D5" s="297" t="str">
        <x:v>Please upload or confirm the required consent evidence through the approved secure channel. The record will remain under review until verified.</x:v>
      </x:c>
      <x:c r="E5" s="232" t="str">
        <x:v>Patient Portal / Secure Email</x:v>
      </x:c>
      <x:c r="F5" s="232" t="str">
        <x:v>No medical advice</x:v>
      </x:c>
    </x:row>
    <x:row r="6" ht="58" customHeight="1">
      <x:c r="A6" s="234" t="str">
        <x:v>TPL-02</x:v>
      </x:c>
      <x:c r="B6" s="234" t="str">
        <x:v>Missing referral</x:v>
      </x:c>
      <x:c r="C6" s="234" t="str">
        <x:v>Referral reference required</x:v>
      </x:c>
      <x:c r="D6" s="298" t="str">
        <x:v>Please provide the approved referral reference through the secure portal so the administrative record can be completed.</x:v>
      </x:c>
      <x:c r="E6" s="234" t="str">
        <x:v>Patient Portal</x:v>
      </x:c>
      <x:c r="F6" s="234" t="str">
        <x:v>No clinical decision</x:v>
      </x:c>
    </x:row>
    <x:row r="7" ht="58" customHeight="1">
      <x:c r="A7" s="236" t="str">
        <x:v>TPL-03</x:v>
      </x:c>
      <x:c r="B7" s="236" t="str">
        <x:v>Schedule conflict</x:v>
      </x:c>
      <x:c r="C7" s="236" t="str">
        <x:v>Appointment slot confirmation</x:v>
      </x:c>
      <x:c r="D7" s="299" t="str">
        <x:v>Two administrative records currently use the same clinic slot. Please confirm the approved schedule update in writing.</x:v>
      </x:c>
      <x:c r="E7" s="236" t="str">
        <x:v>Task Tracker / Secure Chat</x:v>
      </x:c>
      <x:c r="F7" s="236" t="str">
        <x:v>No phone call required</x:v>
      </x:c>
    </x:row>
    <x:row r="8" ht="58" customHeight="1">
      <x:c r="A8" s="234" t="str">
        <x:v>TPL-04</x:v>
      </x:c>
      <x:c r="B8" s="234" t="str">
        <x:v>Invalid status</x:v>
      </x:c>
      <x:c r="C8" s="234" t="str">
        <x:v>Status clarification</x:v>
      </x:c>
      <x:c r="D8" s="298" t="str">
        <x:v>Please confirm the approved appointment status from the source system. The current value is outside the controlled status list.</x:v>
      </x:c>
      <x:c r="E8" s="234" t="str">
        <x:v>Task Tracker</x:v>
      </x:c>
      <x:c r="F8" s="234" t="str">
        <x:v>No invented correction</x:v>
      </x:c>
    </x:row>
    <x:row r="9" ht="58" customHeight="1">
      <x:c r="A9" s="236" t="str">
        <x:v>TPL-05</x:v>
      </x:c>
      <x:c r="B9" s="236" t="str">
        <x:v>Patient ID not found</x:v>
      </x:c>
      <x:c r="C9" s="236" t="str">
        <x:v>Identity token verification</x:v>
      </x:c>
      <x:c r="D9" s="299" t="str">
        <x:v>Please verify the fictional patient token against the approved registry before any administrative update is made.</x:v>
      </x:c>
      <x:c r="E9" s="236" t="str">
        <x:v>Secure Chat / Task Tracker</x:v>
      </x:c>
      <x:c r="F9" s="236" t="str">
        <x:v>Minimum necessary data</x:v>
      </x:c>
    </x:row>
    <x:row r="10" ht="58" customHeight="1">
      <x:c r="A10" s="251" t="str">
        <x:v>TPL-06</x:v>
      </x:c>
      <x:c r="B10" s="251" t="str">
        <x:v>Overdue follow-up</x:v>
      </x:c>
      <x:c r="C10" s="251" t="str">
        <x:v>Written follow-up reminder</x:v>
      </x:c>
      <x:c r="D10" s="300" t="str">
        <x:v>This administrative request has exceeded the defined follow-up SLA. Please update the case status or provide the supporting record.</x:v>
      </x:c>
      <x:c r="E10" s="251" t="str">
        <x:v>Secure Email / Task Tracker</x:v>
      </x:c>
      <x:c r="F10" s="251" t="str">
        <x:v>No cold calling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5" hidden="0" customWidth="1"/>
    <x:col min="4" max="4" width="34" hidden="0" customWidth="1"/>
    <x:col min="5" max="5" width="25" hidden="0" customWidth="1"/>
    <x:col min="6" max="6" width="27" hidden="0" customWidth="1"/>
    <x:col min="7" max="7" width="31" hidden="0" customWidth="1"/>
  </x:cols>
  <x:sheetData>
    <x:row r="1" ht="36" customHeight="1">
      <x:c r="A1" s="220" t="str">
        <x:v>PROJ-009 | HEALTHCARE ADMIN SOP</x:v>
      </x:c>
      <x:c r="B1" s="220"/>
      <x:c r="C1" s="220"/>
      <x:c r="D1" s="220"/>
      <x:c r="E1" s="220"/>
      <x:c r="F1" s="220"/>
      <x:c r="G1" s="220"/>
    </x:row>
    <x:row r="2" ht="25" customHeight="1">
      <x:c r="A2" s="221" t="str">
        <x:v>Privacy-safe, non-clinical workflow with documented handoff</x:v>
      </x:c>
      <x:c r="B2" s="221"/>
      <x:c r="C2" s="221"/>
      <x:c r="D2" s="221"/>
      <x:c r="E2" s="221"/>
      <x:c r="F2" s="221"/>
      <x:c r="G2" s="221"/>
    </x:row>
    <x:row r="3">
      <x:c r="A3" s="222"/>
      <x:c r="B3" s="222"/>
      <x:c r="C3" s="222"/>
      <x:c r="D3" s="222"/>
      <x:c r="E3" s="222"/>
      <x:c r="F3" s="222"/>
      <x:c r="G3" s="222"/>
    </x:row>
    <x:row r="4" ht="34" customHeight="1">
      <x:c r="A4" s="223" t="str">
        <x:v>Step</x:v>
      </x:c>
      <x:c r="B4" s="223" t="str">
        <x:v>Activity</x:v>
      </x:c>
      <x:c r="C4" s="223" t="str">
        <x:v>Input</x:v>
      </x:c>
      <x:c r="D4" s="223" t="str">
        <x:v>Control</x:v>
      </x:c>
      <x:c r="E4" s="223" t="str">
        <x:v>Output</x:v>
      </x:c>
      <x:c r="F4" s="223" t="str">
        <x:v>Escalate When</x:v>
      </x:c>
      <x:c r="G4" s="223" t="str">
        <x:v>Role Boundary</x:v>
      </x:c>
    </x:row>
    <x:row r="5" ht="52" customHeight="1">
      <x:c r="A5" s="232" t="n">
        <x:v>1</x:v>
      </x:c>
      <x:c r="B5" s="297" t="str">
        <x:v>Receive record</x:v>
      </x:c>
      <x:c r="C5" s="297" t="str">
        <x:v>Approved source export</x:v>
      </x:c>
      <x:c r="D5" s="297" t="str">
        <x:v>Log source reference; do not alter raw data</x:v>
      </x:c>
      <x:c r="E5" s="297" t="str">
        <x:v>Traceable raw row</x:v>
      </x:c>
      <x:c r="F5" s="297" t="str">
        <x:v>Source is missing or unreadable</x:v>
      </x:c>
      <x:c r="G5" s="297" t="str">
        <x:v>Administrative intake only</x:v>
      </x:c>
    </x:row>
    <x:row r="6" ht="52" customHeight="1">
      <x:c r="A6" s="234" t="n">
        <x:v>2</x:v>
      </x:c>
      <x:c r="B6" s="298" t="str">
        <x:v>Verify minimum fields</x:v>
      </x:c>
      <x:c r="C6" s="298" t="str">
        <x:v>Appointment and registry tokens</x:v>
      </x:c>
      <x:c r="D6" s="298" t="str">
        <x:v>Check IDs, dates, status, channel</x:v>
      </x:c>
      <x:c r="E6" s="298" t="str">
        <x:v>Validated record</x:v>
      </x:c>
      <x:c r="F6" s="298" t="str">
        <x:v>Patient token not found</x:v>
      </x:c>
      <x:c r="G6" s="298" t="str">
        <x:v>Do not infer identity</x:v>
      </x:c>
    </x:row>
    <x:row r="7" ht="52" customHeight="1">
      <x:c r="A7" s="236" t="n">
        <x:v>3</x:v>
      </x:c>
      <x:c r="B7" s="299" t="str">
        <x:v>Check consent/referral</x:v>
      </x:c>
      <x:c r="C7" s="299" t="str">
        <x:v>Evidence references</x:v>
      </x:c>
      <x:c r="D7" s="299" t="str">
        <x:v>Keep missing evidence as exception</x:v>
      </x:c>
      <x:c r="E7" s="299" t="str">
        <x:v>Document-control result</x:v>
      </x:c>
      <x:c r="F7" s="299" t="str">
        <x:v>Required evidence absent</x:v>
      </x:c>
      <x:c r="G7" s="299" t="str">
        <x:v>Do not provide clinical approval</x:v>
      </x:c>
    </x:row>
    <x:row r="8" ht="52" customHeight="1">
      <x:c r="A8" s="234" t="n">
        <x:v>4</x:v>
      </x:c>
      <x:c r="B8" s="298" t="str">
        <x:v>Check schedule</x:v>
      </x:c>
      <x:c r="C8" s="298" t="str">
        <x:v>Date, time, clinic</x:v>
      </x:c>
      <x:c r="D8" s="298" t="str">
        <x:v>Detect duplicate slot</x:v>
      </x:c>
      <x:c r="E8" s="298" t="str">
        <x:v>Schedule-control result</x:v>
      </x:c>
      <x:c r="F8" s="298" t="str">
        <x:v>Slot count exceeds one</x:v>
      </x:c>
      <x:c r="G8" s="298" t="str">
        <x:v>Do not reschedule without approval</x:v>
      </x:c>
    </x:row>
    <x:row r="9" ht="52" customHeight="1">
      <x:c r="A9" s="236" t="n">
        <x:v>5</x:v>
      </x:c>
      <x:c r="B9" s="299" t="str">
        <x:v>Prioritize exceptions</x:v>
      </x:c>
      <x:c r="C9" s="299" t="str">
        <x:v>Validation outputs</x:v>
      </x:c>
      <x:c r="D9" s="299" t="str">
        <x:v>High for identity or slot conflict</x:v>
      </x:c>
      <x:c r="E9" s="299" t="str">
        <x:v>Exception queue</x:v>
      </x:c>
      <x:c r="F9" s="299" t="str">
        <x:v>High-priority case exists</x:v>
      </x:c>
      <x:c r="G9" s="299" t="str">
        <x:v>No fabricated resolution</x:v>
      </x:c>
    </x:row>
    <x:row r="10" ht="52" customHeight="1">
      <x:c r="A10" s="234" t="n">
        <x:v>6</x:v>
      </x:c>
      <x:c r="B10" s="298" t="str">
        <x:v>Send written follow-up</x:v>
      </x:c>
      <x:c r="C10" s="298" t="str">
        <x:v>Approved template</x:v>
      </x:c>
      <x:c r="D10" s="298" t="str">
        <x:v>Use secure approved channel</x:v>
      </x:c>
      <x:c r="E10" s="298" t="str">
        <x:v>Documented request</x:v>
      </x:c>
      <x:c r="F10" s="298" t="str">
        <x:v>SLA exceeded</x:v>
      </x:c>
      <x:c r="G10" s="298" t="str">
        <x:v>No cold calling or medical advice</x:v>
      </x:c>
    </x:row>
    <x:row r="11" ht="52" customHeight="1">
      <x:c r="A11" s="236" t="n">
        <x:v>7</x:v>
      </x:c>
      <x:c r="B11" s="299" t="str">
        <x:v>Record resolution</x:v>
      </x:c>
      <x:c r="C11" s="299" t="str">
        <x:v>Verified written evidence</x:v>
      </x:c>
      <x:c r="D11" s="299" t="str">
        <x:v>Complete note and verifier only after proof</x:v>
      </x:c>
      <x:c r="E11" s="299" t="str">
        <x:v>Auditable closure</x:v>
      </x:c>
      <x:c r="F11" s="299" t="str">
        <x:v>Evidence is conflicting</x:v>
      </x:c>
      <x:c r="G11" s="299" t="str">
        <x:v>Reviewer makes final decision</x:v>
      </x:c>
    </x:row>
    <x:row r="12" ht="52" customHeight="1">
      <x:c r="A12" s="251" t="n">
        <x:v>8</x:v>
      </x:c>
      <x:c r="B12" s="300" t="str">
        <x:v>Archive evidence</x:v>
      </x:c>
      <x:c r="C12" s="300" t="str">
        <x:v>Approved storage location</x:v>
      </x:c>
      <x:c r="D12" s="300" t="str">
        <x:v>Minimum necessary access</x:v>
      </x:c>
      <x:c r="E12" s="300" t="str">
        <x:v>Evidence package</x:v>
      </x:c>
      <x:c r="F12" s="300" t="str">
        <x:v>Access or privacy concern</x:v>
      </x:c>
      <x:c r="G12" s="300" t="str">
        <x:v>No local uncontrolled copies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6" customHeight="1">
      <x:c r="A1" s="220" t="str">
        <x:v>PROJ-009 | PROJECT NOTES</x:v>
      </x:c>
      <x:c r="B1" s="220"/>
      <x:c r="C1" s="220"/>
      <x:c r="D1" s="220"/>
      <x:c r="E1" s="220"/>
      <x:c r="F1" s="220"/>
    </x:row>
    <x:row r="2" ht="25" customHeight="1">
      <x:c r="A2" s="221" t="str">
        <x:v>Assumptions • definitions • privacy and portfolio integrity</x:v>
      </x:c>
      <x:c r="B2" s="221"/>
      <x:c r="C2" s="221"/>
      <x:c r="D2" s="221"/>
      <x:c r="E2" s="221"/>
      <x:c r="F2" s="221"/>
    </x:row>
    <x:row r="3">
      <x:c r="A3" s="222"/>
      <x:c r="B3" s="222"/>
      <x:c r="C3" s="222"/>
      <x:c r="D3" s="222"/>
      <x:c r="E3" s="222"/>
      <x:c r="F3" s="222"/>
    </x:row>
    <x:row r="4" ht="34" customHeight="1">
      <x:c r="A4" s="223" t="str">
        <x:v>Topic</x:v>
      </x:c>
      <x:c r="B4" s="223" t="str">
        <x:v>Detail</x:v>
      </x:c>
      <x:c r="C4" s="222"/>
      <x:c r="D4" s="222"/>
      <x:c r="E4" s="222"/>
      <x:c r="F4" s="222"/>
    </x:row>
    <x:row r="5" ht="48" customHeight="1">
      <x:c r="A5" s="232" t="str">
        <x:v>Portfolio status</x:v>
      </x:c>
      <x:c r="B5" s="297" t="str">
        <x:v>Independent simulated portfolio project; not client work and not employment evidence.</x:v>
      </x:c>
      <x:c r="C5" s="222"/>
      <x:c r="D5" s="222"/>
      <x:c r="E5" s="222"/>
      <x:c r="F5" s="222"/>
    </x:row>
    <x:row r="6" ht="48" customHeight="1">
      <x:c r="A6" s="234" t="str">
        <x:v>Data status</x:v>
      </x:c>
      <x:c r="B6" s="298" t="str">
        <x:v>All patient IDs, initials, dates, references, clinics, and cases are fictional.</x:v>
      </x:c>
      <x:c r="C6" s="222"/>
      <x:c r="D6" s="222"/>
      <x:c r="E6" s="222"/>
      <x:c r="F6" s="222"/>
    </x:row>
    <x:row r="7" ht="48" customHeight="1">
      <x:c r="A7" s="236" t="str">
        <x:v>Privacy</x:v>
      </x:c>
      <x:c r="B7" s="299" t="str">
        <x:v>No real names, addresses, phone numbers, emails, diagnoses, medications, insurance numbers, or medical record data are included.</x:v>
      </x:c>
      <x:c r="C7" s="222"/>
      <x:c r="D7" s="222"/>
      <x:c r="E7" s="222"/>
      <x:c r="F7" s="222"/>
    </x:row>
    <x:row r="8" ht="48" customHeight="1">
      <x:c r="A8" s="234" t="str">
        <x:v>Purpose</x:v>
      </x:c>
      <x:c r="B8" s="298" t="str">
        <x:v>Demonstrate healthcare data entry, appointment administration, quality control, exception handling, and written remote support.</x:v>
      </x:c>
      <x:c r="C8" s="222"/>
      <x:c r="D8" s="222"/>
      <x:c r="E8" s="222"/>
      <x:c r="F8" s="222"/>
    </x:row>
    <x:row r="9" ht="48" customHeight="1">
      <x:c r="A9" s="236" t="str">
        <x:v>Ready definition</x:v>
      </x:c>
      <x:c r="B9" s="299" t="str">
        <x:v>All record-validation controls pass for the row.</x:v>
      </x:c>
      <x:c r="C9" s="222"/>
      <x:c r="D9" s="222"/>
      <x:c r="E9" s="222"/>
      <x:c r="F9" s="222"/>
    </x:row>
    <x:row r="10" ht="48" customHeight="1">
      <x:c r="A10" s="234" t="str">
        <x:v>High priority</x:v>
      </x:c>
      <x:c r="B10" s="298" t="str">
        <x:v>Duplicate appointment ID, patient ID not found, or appointment-slot conflict.</x:v>
      </x:c>
      <x:c r="C10" s="222"/>
      <x:c r="D10" s="222"/>
      <x:c r="E10" s="222"/>
      <x:c r="F10" s="222"/>
    </x:row>
    <x:row r="11" ht="48" customHeight="1">
      <x:c r="A11" s="236" t="str">
        <x:v>Open cases</x:v>
      </x:c>
      <x:c r="B11" s="299" t="str">
        <x:v>Resolution fields remain blank until evidence exists; completion is never fabricated.</x:v>
      </x:c>
      <x:c r="C11" s="222"/>
      <x:c r="D11" s="222"/>
      <x:c r="E11" s="222"/>
      <x:c r="F11" s="222"/>
    </x:row>
    <x:row r="12" ht="48" customHeight="1">
      <x:c r="A12" s="234" t="str">
        <x:v>Non-clinical boundary</x:v>
      </x:c>
      <x:c r="B12" s="298" t="str">
        <x:v>No diagnosis, treatment recommendation, dosage, medical interpretation, or clinical decision.</x:v>
      </x:c>
      <x:c r="C12" s="222"/>
      <x:c r="D12" s="222"/>
      <x:c r="E12" s="222"/>
      <x:c r="F12" s="222"/>
    </x:row>
    <x:row r="13" ht="48" customHeight="1">
      <x:c r="A13" s="236" t="str">
        <x:v>Authority boundary</x:v>
      </x:c>
      <x:c r="B13" s="299" t="str">
        <x:v>No record correction, rescheduling, or deletion without documented approval.</x:v>
      </x:c>
      <x:c r="C13" s="222"/>
      <x:c r="D13" s="222"/>
      <x:c r="E13" s="222"/>
      <x:c r="F13" s="222"/>
    </x:row>
    <x:row r="14" ht="48" customHeight="1">
      <x:c r="A14" s="234" t="str">
        <x:v>Communication</x:v>
      </x:c>
      <x:c r="B14" s="298" t="str">
        <x:v>Designed for secure email, patient portal, secure chat, and task tracker.</x:v>
      </x:c>
      <x:c r="C14" s="222"/>
      <x:c r="D14" s="222"/>
      <x:c r="E14" s="222"/>
      <x:c r="F14" s="222"/>
    </x:row>
    <x:row r="15" ht="48" customHeight="1">
      <x:c r="A15" s="238" t="str">
        <x:v>Accessibility</x:v>
      </x:c>
      <x:c r="B15" s="301" t="str">
        <x:v>No cold calling, phone support, sales calls, or frequent English meetings are required.</x:v>
      </x:c>
      <x:c r="C15" s="222"/>
      <x:c r="D15" s="222"/>
      <x:c r="E15" s="222"/>
      <x:c r="F15" s="222"/>
    </x:row>
  </x:sheetData>
  <x:mergeCells>
    <x:mergeCell ref="A1:F1"/>
    <x:mergeCell ref="A2:F2"/>
  </x:mergeCells>
  <x:pageMargins left="0.7" right="0.7" top="0.75" bottom="0.75" header="0.3" footer="0.3"/>
</x:worksheet>
</file>