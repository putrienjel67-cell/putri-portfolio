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288d0905c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Data" sheetId="1" r:id="Rb64828e745e04bd2"/>
    <x:sheet xmlns:r="http://schemas.openxmlformats.org/officeDocument/2006/relationships" name="Warehouse Data" sheetId="2" r:id="R9ad159cbf08d476e"/>
    <x:sheet xmlns:r="http://schemas.openxmlformats.org/officeDocument/2006/relationships" name="Reconciliation" sheetId="3" r:id="Re4aad4d7671943f2"/>
    <x:sheet xmlns:r="http://schemas.openxmlformats.org/officeDocument/2006/relationships" name="QA Summary" sheetId="4" r:id="Rbafc71d9dca5469b"/>
    <x:sheet xmlns:r="http://schemas.openxmlformats.org/officeDocument/2006/relationships" name="Exception Queue" sheetId="5" r:id="R332e9f2d6de34f3f"/>
  </x:sheets>
</x:workbook>
</file>

<file path=xl/sharedStrings.xml><?xml version="1.0" encoding="utf-8"?>
<x:sst xmlns:x="http://schemas.openxmlformats.org/spreadsheetml/2006/main">
  <x:si>
    <x:t xml:space="preserve">Order ID</x:t>
  </x:si>
  <x:si>
    <x:t xml:space="preserve">SKU</x:t>
  </x:si>
  <x:si>
    <x:t xml:space="preserve">Product Name</x:t>
  </x:si>
  <x:si>
    <x:t xml:space="preserve">Qty Ordered</x:t>
  </x:si>
  <x:si>
    <x:t xml:space="preserve">Order Date</x:t>
  </x:si>
  <x:si>
    <x:t xml:space="preserve">Order Status</x:t>
  </x:si>
  <x:si>
    <x:t xml:space="preserve">ORD-1001</x:t>
  </x:si>
  <x:si>
    <x:t xml:space="preserve">NHL-CW-001</x:t>
  </x:si>
  <x:si>
    <x:t xml:space="preserve">Ceramic Mixing Bowl Set</x:t>
  </x:si>
  <x:si>
    <x:t xml:space="preserve">2026-07-01</x:t>
  </x:si>
  <x:si>
    <x:t xml:space="preserve">Shipped</x:t>
  </x:si>
  <x:si>
    <x:t xml:space="preserve">ORD-1002</x:t>
  </x:si>
  <x:si>
    <x:t xml:space="preserve">NHL-CW-002</x:t>
  </x:si>
  <x:si>
    <x:t xml:space="preserve">Non-Stick Frying Pan 26cm</x:t>
  </x:si>
  <x:si>
    <x:t xml:space="preserve">shipped</x:t>
  </x:si>
  <x:si>
    <x:t xml:space="preserve">ORD-1003</x:t>
  </x:si>
  <x:si>
    <x:t xml:space="preserve">NHL-BD-010</x:t>
  </x:si>
  <x:si>
    <x:t xml:space="preserve">Cotton Bedsheet Set Queen</x:t>
  </x:si>
  <x:si>
    <x:t xml:space="preserve">Processing</x:t>
  </x:si>
  <x:si>
    <x:t xml:space="preserve">ORD-1004</x:t>
  </x:si>
  <x:si>
    <x:t xml:space="preserve">NHL-CW-003</x:t>
  </x:si>
  <x:si>
    <x:t xml:space="preserve">Bamboo Cutting Board</x:t>
  </x:si>
  <x:si>
    <x:t xml:space="preserve">2026-07-02</x:t>
  </x:si>
  <x:si>
    <x:t xml:space="preserve">ORD-1005</x:t>
  </x:si>
  <x:si>
    <x:t xml:space="preserve">nhl-st-005</x:t>
  </x:si>
  <x:si>
    <x:t xml:space="preserve">Stackable Storage Box 20L</x:t>
  </x:si>
  <x:si>
    <x:t xml:space="preserve">SHIPPED </x:t>
  </x:si>
  <x:si>
    <x:t xml:space="preserve">ORD-1006</x:t>
  </x:si>
  <x:si>
    <x:t xml:space="preserve">NHL-BD-011</x:t>
  </x:si>
  <x:si>
    <x:t xml:space="preserve">Microfiber Pillowcase Pair</x:t>
  </x:si>
  <x:si>
    <x:t xml:space="preserve">ORD-1007</x:t>
  </x:si>
  <x:si>
    <x:t xml:space="preserve">NHL-CW-004</x:t>
  </x:si>
  <x:si>
    <x:t xml:space="preserve">Stainless Steel Kettle 1.5L</x:t>
  </x:si>
  <x:si>
    <x:t xml:space="preserve">2026-07-03</x:t>
  </x:si>
  <x:si>
    <x:t xml:space="preserve">ORD-1008</x:t>
  </x:si>
  <x:si>
    <x:t xml:space="preserve">NHL-ST-006</x:t>
  </x:si>
  <x:si>
    <x:t xml:space="preserve">Vacuum Storage Bag Set</x:t>
  </x:si>
  <x:si>
    <x:t xml:space="preserve">Cancelled</x:t>
  </x:si>
  <x:si>
    <x:t xml:space="preserve">ORD-1009</x:t>
  </x:si>
  <x:si>
    <x:t xml:space="preserve">ORD-1010</x:t>
  </x:si>
  <x:si>
    <x:t xml:space="preserve">NHL-BD-012</x:t>
  </x:si>
  <x:si>
    <x:t xml:space="preserve">Weighted Blanket 6kg</x:t>
  </x:si>
  <x:si>
    <x:t xml:space="preserve">2026-07-04</x:t>
  </x:si>
  <x:si>
    <x:t xml:space="preserve">Processing </x:t>
  </x:si>
  <x:si>
    <x:t xml:space="preserve">ORD-1011</x:t>
  </x:si>
  <x:si>
    <x:t xml:space="preserve">NHL-CW-005</x:t>
  </x:si>
  <x:si>
    <x:t xml:space="preserve">Glass Food Storage Set 5pc</x:t>
  </x:si>
  <x:si>
    <x:t xml:space="preserve">ORD-1012</x:t>
  </x:si>
  <x:si>
    <x:t xml:space="preserve">NHL-ST-007</x:t>
  </x:si>
  <x:si>
    <x:t xml:space="preserve">Under-bed Storage Bin</x:t>
  </x:si>
  <x:si>
    <x:t xml:space="preserve">ORD-1013</x:t>
  </x:si>
  <x:si>
    <x:t xml:space="preserve">2026-07-05</x:t>
  </x:si>
  <x:si>
    <x:t xml:space="preserve">ORD-1014</x:t>
  </x:si>
  <x:si>
    <x:t xml:space="preserve">NHL-BD-013</x:t>
  </x:si>
  <x:si>
    <x:t xml:space="preserve">Waterproof Mattress Protector</x:t>
  </x:si>
  <x:si>
    <x:t xml:space="preserve">ORD-1015</x:t>
  </x:si>
  <x:si>
    <x:t xml:space="preserve">NHL-CW-006</x:t>
  </x:si>
  <x:si>
    <x:t xml:space="preserve">Electric Hand Mixer</x:t>
  </x:si>
  <x:si>
    <x:t xml:space="preserve">Backordered</x:t>
  </x:si>
  <x:si>
    <x:t xml:space="preserve">ORD-1016</x:t>
  </x:si>
  <x:si>
    <x:t xml:space="preserve">NHL-ST-005</x:t>
  </x:si>
  <x:si>
    <x:t xml:space="preserve">2026-07-06</x:t>
  </x:si>
  <x:si>
    <x:t xml:space="preserve">ORD-1017</x:t>
  </x:si>
  <x:si>
    <x:t xml:space="preserve">ORD-1018</x:t>
  </x:si>
  <x:si>
    <x:t xml:space="preserve">ORD-1019</x:t>
  </x:si>
  <x:si>
    <x:t xml:space="preserve">NHL-CW-007</x:t>
  </x:si>
  <x:si>
    <x:t xml:space="preserve">Silicone Baking Mat Set</x:t>
  </x:si>
  <x:si>
    <x:t xml:space="preserve">2026-07-07</x:t>
  </x:si>
  <x:si>
    <x:t xml:space="preserve">Shipped </x:t>
  </x:si>
  <x:si>
    <x:t xml:space="preserve">ORD-1020</x:t>
  </x:si>
  <x:si>
    <x:t xml:space="preserve">NHL-ST-008</x:t>
  </x:si>
  <x:si>
    <x:t xml:space="preserve">Closet Organizer Rack</x:t>
  </x:si>
  <x:si>
    <x:t xml:space="preserve">ORD-1021</x:t>
  </x:si>
  <x:si>
    <x:t xml:space="preserve">ORD-1022</x:t>
  </x:si>
  <x:si>
    <x:t xml:space="preserve">2026-07-08</x:t>
  </x:si>
  <x:si>
    <x:t xml:space="preserve">ORD-1023</x:t>
  </x:si>
  <x:si>
    <x:t xml:space="preserve">NHL-CW-008</x:t>
  </x:si>
  <x:si>
    <x:t xml:space="preserve">Cast Iron Skillet 30cm</x:t>
  </x:si>
  <x:si>
    <x:t xml:space="preserve">ORD-1024</x:t>
  </x:si>
  <x:si>
    <x:t xml:space="preserve">ORD-1025</x:t>
  </x:si>
  <x:si>
    <x:t xml:space="preserve">2026-07-09</x:t>
  </x:si>
  <x:si>
    <x:t xml:space="preserve">ORD-1026</x:t>
  </x:si>
  <x:si>
    <x:t xml:space="preserve">NHL-BD-014</x:t>
  </x:si>
  <x:si>
    <x:t xml:space="preserve">Bamboo Laundry Hamper</x:t>
  </x:si>
  <x:si>
    <x:t xml:space="preserve">ORD-1027</x:t>
  </x:si>
  <x:si>
    <x:t xml:space="preserve">NHL-CW-009</x:t>
  </x:si>
  <x:si>
    <x:t xml:space="preserve">Digital Kitchen Scale</x:t>
  </x:si>
  <x:si>
    <x:t xml:space="preserve">ORD-1028</x:t>
  </x:si>
  <x:si>
    <x:t xml:space="preserve">NHL-ST-009</x:t>
  </x:si>
  <x:si>
    <x:t xml:space="preserve">Fabric Storage Cube Set</x:t>
  </x:si>
  <x:si>
    <x:t xml:space="preserve">2026-07-10</x:t>
  </x:si>
  <x:si>
    <x:t xml:space="preserve">ORD-1029</x:t>
  </x:si>
  <x:si>
    <x:t xml:space="preserve">ORD-1030</x:t>
  </x:si>
  <x:si>
    <x:t xml:space="preserve">ORD-1031</x:t>
  </x:si>
  <x:si>
    <x:t xml:space="preserve">NHL-CW-010</x:t>
  </x:si>
  <x:si>
    <x:t xml:space="preserve">Insulated Coffee Tumbler Set</x:t>
  </x:si>
  <x:si>
    <x:t xml:space="preserve">2026-07-11</x:t>
  </x:si>
  <x:si>
    <x:t xml:space="preserve">ORD-1032</x:t>
  </x:si>
  <x:si>
    <x:t xml:space="preserve">ORD-1033</x:t>
  </x:si>
  <x:si>
    <x:t xml:space="preserve">ORD-1034</x:t>
  </x:si>
  <x:si>
    <x:t xml:space="preserve">2026-07-12</x:t>
  </x:si>
  <x:si>
    <x:t xml:space="preserve">ORD-1035</x:t>
  </x:si>
  <x:si>
    <x:t xml:space="preserve">NHL-CW-011</x:t>
  </x:si>
  <x:si>
    <x:t xml:space="preserve">Wooden Utensil Set 8pc</x:t>
  </x:si>
  <x:si>
    <x:t xml:space="preserve">ORD-1036</x:t>
  </x:si>
  <x:si>
    <x:t xml:space="preserve">NHL-ST-010</x:t>
  </x:si>
  <x:si>
    <x:t xml:space="preserve">Multi-Purpose Wall Shelf</x:t>
  </x:si>
  <x:si>
    <x:t xml:space="preserve">ORD-1037</x:t>
  </x:si>
  <x:si>
    <x:t xml:space="preserve">2026-07-13</x:t>
  </x:si>
  <x:si>
    <x:t xml:space="preserve">ORD-1038</x:t>
  </x:si>
  <x:si>
    <x:t xml:space="preserve">ORD-1039</x:t>
  </x:si>
  <x:si>
    <x:t xml:space="preserve">NHL-CW-012</x:t>
  </x:si>
  <x:si>
    <x:t xml:space="preserve">Enamel Cookware Pot 3L</x:t>
  </x:si>
  <x:si>
    <x:t xml:space="preserve">ORD-1040</x:t>
  </x:si>
  <x:si>
    <x:t xml:space="preserve">2026-07-14</x:t>
  </x:si>
  <x:si>
    <x:t xml:space="preserve">Dispatch ID</x:t>
  </x:si>
  <x:si>
    <x:t xml:space="preserve">Qty Dispatched</x:t>
  </x:si>
  <x:si>
    <x:t xml:space="preserve">Dispatch Date</x:t>
  </x:si>
  <x:si>
    <x:t xml:space="preserve">Warehouse Note</x:t>
  </x:si>
  <x:si>
    <x:t xml:space="preserve">Order Match Status</x:t>
  </x:si>
  <x:si>
    <x:t xml:space="preserve">DSP-5001</x:t>
  </x:si>
  <x:si>
    <x:t xml:space="preserve">DSP-5002</x:t>
  </x:si>
  <x:si>
    <x:t xml:space="preserve">nhl-cw-002</x:t>
  </x:si>
  <x:si>
    <x:t xml:space="preserve">DSP-5003</x:t>
  </x:si>
  <x:si>
    <x:t xml:space="preserve">DSP-5004</x:t>
  </x:si>
  <x:si>
    <x:t xml:space="preserve">DSP-5005</x:t>
  </x:si>
  <x:si>
    <x:t xml:space="preserve">DSP-5006</x:t>
  </x:si>
  <x:si>
    <x:t xml:space="preserve">qty short by 1, backfilled next batch</x:t>
  </x:si>
  <x:si>
    <x:t xml:space="preserve">DSP-5007</x:t>
  </x:si>
  <x:si>
    <x:t xml:space="preserve">DSP-5008</x:t>
  </x:si>
  <x:si>
    <x:t xml:space="preserve">DSP-5009</x:t>
  </x:si>
  <x:si>
    <x:t xml:space="preserve">DSP-5010</x:t>
  </x:si>
  <x:si>
    <x:t xml:space="preserve">DSP-5011</x:t>
  </x:si>
  <x:si>
    <x:t xml:space="preserve">DSP-5012</x:t>
  </x:si>
  <x:si>
    <x:t xml:space="preserve">qty short by 2, item damaged in pick</x:t>
  </x:si>
  <x:si>
    <x:t xml:space="preserve">DSP-5013</x:t>
  </x:si>
  <x:si>
    <x:t xml:space="preserve">DSP-5014</x:t>
  </x:si>
  <x:si>
    <x:t xml:space="preserve">DSP-5015</x:t>
  </x:si>
  <x:si>
    <x:t xml:space="preserve">DSP-5016</x:t>
  </x:si>
  <x:si>
    <x:t xml:space="preserve">DSP-5017</x:t>
  </x:si>
  <x:si>
    <x:t xml:space="preserve">DSP-5018</x:t>
  </x:si>
  <x:si>
    <x:t xml:space="preserve">DSP-5019</x:t>
  </x:si>
  <x:si>
    <x:t xml:space="preserve">DSP-5020</x:t>
  </x:si>
  <x:si>
    <x:t xml:space="preserve">2026-07-15</x:t>
  </x:si>
  <x:si>
    <x:t xml:space="preserve">DSP-5021</x:t>
  </x:si>
  <x:si>
    <x:t xml:space="preserve">duplicate log entry</x:t>
  </x:si>
  <x:si>
    <x:t xml:space="preserve">DSP-5022</x:t>
  </x:si>
  <x:si>
    <x:t xml:space="preserve">ORD-9999</x:t>
  </x:si>
  <x:si>
    <x:t xml:space="preserve">no matching order found</x:t>
  </x:si>
  <x:si>
    <x:t xml:space="preserve">DSP-5023</x:t>
  </x:si>
  <x:si>
    <x:t xml:space="preserve">DSP-5024</x:t>
  </x:si>
  <x:si>
    <x:t xml:space="preserve">2026-07-16</x:t>
  </x:si>
  <x:si>
    <x:t xml:space="preserve">released from backorder</x:t>
  </x:si>
  <x:si>
    <x:t xml:space="preserve">DSP-5025</x:t>
  </x:si>
  <x:si>
    <x:t xml:space="preserve">Status (Normalized)</x:t>
  </x:si>
  <x:si>
    <x:t xml:space="preserve">Order Entry Duplicate?</x:t>
  </x:si>
  <x:si>
    <x:t xml:space="preserve">Dispatch Found</x:t>
  </x:si>
  <x:si>
    <x:t xml:space="preserve">Qty Match</x:t>
  </x:si>
  <x:si>
    <x:t xml:space="preserve">Discrepancy Category</x:t>
  </x:si>
  <x:si>
    <x:t xml:space="preserve">COLOR KEY</x:t>
  </x:si>
  <x:si>
    <x:t xml:space="preserve">Verified</x:t>
  </x:si>
  <x:si>
    <x:t xml:space="preserve">Normal / N-A</x:t>
  </x:si>
  <x:si>
    <x:t xml:space="preserve">Traceability gap</x:t>
  </x:si>
  <x:si>
    <x:t xml:space="preserve">Reverse gap</x:t>
  </x:si>
  <x:si>
    <x:t xml:space="preserve">Qty / data issue</x:t>
  </x:si>
  <x:si>
    <x:t xml:space="preserve">PROJ-003 Reconciliation — QA Summary</x:t>
  </x:si>
  <x:si>
    <x:t xml:space="preserve">Reconciliation control totals • highlighted exceptions for review</x:t>
  </x:si>
  <x:si>
    <x:t xml:space="preserve">Total order rows (incl. duplicate entry)</x:t>
  </x:si>
  <x:si>
    <x:t xml:space="preserve">Unique order rows</x:t>
  </x:si>
  <x:si>
    <x:t xml:space="preserve">Verified matches (OK)</x:t>
  </x:si>
  <x:si>
    <x:t xml:space="preserve">Shipped but no dispatch record</x:t>
  </x:si>
  <x:si>
    <x:t xml:space="preserve">Quantity mismatches</x:t>
  </x:si>
  <x:si>
    <x:t xml:space="preserve">Dispatched but order status not updated</x:t>
  </x:si>
  <x:si>
    <x:t xml:space="preserve">Missing order quantity (data issue)</x:t>
  </x:si>
  <x:si>
    <x:t xml:space="preserve">Duplicate order entries flagged</x:t>
  </x:si>
  <x:si>
    <x:t xml:space="preserve">Unmatched warehouse dispatch records (phantom)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</x:si>
</x:sst>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27">
    <x:font>
      <x:sz val="11"/>
      <x:color theme="1"/>
      <x:name val="Calibri"/>
    </x:font>
    <x:font>
      <x:b/>
      <x:sz val="11"/>
      <x:color rgb="FFFFFFFF"/>
      <x:name val="Arial"/>
    </x:font>
    <x:font>
      <x:sz val="9"/>
      <x:color rgb="FF3E6B54"/>
      <x:name val="Arial"/>
    </x:font>
    <x:font>
      <x:sz val="9"/>
      <x:color rgb="FF3A5A78"/>
      <x:name val="Arial"/>
    </x:font>
    <x:font>
      <x:sz val="9"/>
      <x:color rgb="FF5C5C5C"/>
      <x:name val="Arial"/>
    </x:font>
    <x:font>
      <x:sz val="9"/>
      <x:color rgb="FF8B4038"/>
      <x:name val="Arial"/>
    </x:font>
    <x:font>
      <x:sz val="9"/>
      <x:color rgb="FF5C4C73"/>
      <x:name val="Arial"/>
    </x:font>
    <x:font>
      <x:sz val="9"/>
      <x:color rgb="FF8A5A22"/>
      <x:name val="Arial"/>
    </x:font>
    <x:font>
      <x:sz val="11"/>
      <x:color rgb="FF18212B"/>
      <x:name val="Arial"/>
    </x:font>
    <x:font>
      <x:sz val="11"/>
      <x:color rgb="FF3E6B54"/>
      <x:name val="Arial"/>
    </x:font>
    <x:font>
      <x:sz val="11"/>
      <x:color rgb="FF456A8B"/>
      <x:name val="Arial"/>
    </x:font>
    <x:font>
      <x:sz val="11"/>
      <x:color rgb="FFA76D16"/>
      <x:name val="Arial"/>
    </x:font>
    <x:font>
      <x:sz val="11"/>
      <x:color rgb="FF5F6670"/>
      <x:name val="Arial"/>
    </x:font>
    <x:font>
      <x:sz val="11"/>
      <x:color rgb="FF765889"/>
      <x:name val="Arial"/>
    </x:font>
    <x:font>
      <x:sz val="11"/>
      <x:color rgb="FFA34A3F"/>
      <x:name val="Arial"/>
    </x:font>
    <x:font>
      <x:b/>
      <x:sz val="10"/>
      <x:color rgb="FFFFFFFF"/>
      <x:name val="Arial"/>
    </x:font>
    <x:font>
      <x:b/>
      <x:sz val="11"/>
      <x:color rgb="FFFFFFFF"/>
      <x:name val="Calibri"/>
    </x:font>
    <x:font>
      <x:b/>
      <x:sz val="13"/>
      <x:color rgb="FFFFFFFF"/>
      <x:name val="Arial"/>
    </x:font>
    <x:font>
      <x:i/>
      <x:sz val="11"/>
      <x:color rgb="FF18212B"/>
      <x:name val="Calibri"/>
    </x:font>
    <x:font>
      <x:b/>
      <x:sz val="11"/>
      <x:color rgb="FF172D4F"/>
      <x:name val="Arial"/>
    </x:font>
    <x:font>
      <x:b/>
      <x:sz val="11"/>
      <x:color rgb="FF3E6B54"/>
      <x:name val="Arial"/>
    </x:font>
    <x:font>
      <x:b/>
      <x:sz val="11"/>
      <x:color rgb="FFA34A3F"/>
      <x:name val="Arial"/>
    </x:font>
    <x:font>
      <x:b/>
      <x:sz val="11"/>
      <x:color rgb="FFA76D16"/>
      <x:name val="Arial"/>
    </x:font>
    <x:font>
      <x:b/>
      <x:sz val="11"/>
      <x:color rgb="FF765889"/>
      <x:name val="Arial"/>
    </x:font>
    <x:font>
      <x:b/>
      <x:sz val="11"/>
      <x:color rgb="FF456A8B"/>
      <x:name val="Arial"/>
    </x:font>
    <x:font>
      <x:b/>
      <x:sz val="15"/>
      <x:color rgb="FFFFFFFF"/>
      <x:name val="Calibri"/>
    </x:font>
    <x:font>
      <x:b/>
      <x:i/>
      <x:sz val="11"/>
      <x:color rgb="FF111111"/>
      <x:name val="Calibri"/>
    </x:font>
  </x:fonts>
  <x:fills count="27">
    <x:fill>
      <x:patternFill patternType="none"/>
    </x:fill>
    <x:fill>
      <x:patternFill patternType="gray125"/>
    </x:fill>
    <x:fill>
      <x:patternFill patternType="solid">
        <x:fgColor rgb="FFE3EDE7"/>
      </x:patternFill>
    </x:fill>
    <x:fill>
      <x:patternFill patternType="solid">
        <x:fgColor rgb="FFE7EEF4"/>
      </x:patternFill>
    </x:fill>
    <x:fill>
      <x:patternFill patternType="solid">
        <x:fgColor rgb="FFEFEFEF"/>
      </x:patternFill>
    </x:fill>
    <x:fill>
      <x:patternFill patternType="solid">
        <x:fgColor rgb="FFF5E7E5"/>
      </x:patternFill>
    </x:fill>
    <x:fill>
      <x:patternFill patternType="solid">
        <x:fgColor rgb="FFEDE6F0"/>
      </x:patternFill>
    </x:fill>
    <x:fill>
      <x:patternFill patternType="solid">
        <x:fgColor rgb="FFF6EADC"/>
      </x:patternFill>
    </x:fill>
    <x:fill>
      <x:patternFill patternType="solid">
        <x:fgColor rgb="FF172D4F"/>
      </x:patternFill>
    </x:fill>
    <x:fill>
      <x:patternFill patternType="solid">
        <x:fgColor rgb="FFE3EDE7"/>
      </x:patternFill>
    </x:fill>
    <x:fill>
      <x:patternFill patternType="solid">
        <x:fgColor rgb="FFE7EEF6"/>
      </x:patternFill>
    </x:fill>
    <x:fill>
      <x:patternFill patternType="solid">
        <x:fgColor rgb="FFFBEDD8"/>
      </x:patternFill>
    </x:fill>
    <x:fill>
      <x:patternFill patternType="solid">
        <x:fgColor rgb="FFECEDEF"/>
      </x:patternFill>
    </x:fill>
    <x:fill>
      <x:patternFill patternType="solid">
        <x:fgColor rgb="FFEEE7F3"/>
      </x:patternFill>
    </x:fill>
    <x:fill>
      <x:patternFill patternType="solid">
        <x:fgColor rgb="FFF7E5E2"/>
      </x:patternFill>
    </x:fill>
    <x:fill>
      <x:patternFill patternType="solid">
        <x:fgColor rgb="FFF6F4EE"/>
      </x:patternFill>
    </x:fill>
    <x:fill>
      <x:patternFill patternType="solid">
        <x:fgColor rgb="FFFAFBFC"/>
      </x:patternFill>
    </x:fill>
    <x:fill>
      <x:patternFill patternType="solid">
        <x:fgColor rgb="FFFBEDD8"/>
      </x:patternFill>
    </x:fill>
    <x:fill>
      <x:patternFill patternType="solid">
        <x:fgColor rgb="FFF7E5E2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17365D"/>
      </x:patternFill>
    </x:fill>
    <x:fill>
      <x:patternFill patternType="solid">
        <x:fgColor rgb="FFC7FF00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17365D"/>
      </x:patternFill>
    </x:fill>
    <x:fill>
      <x:patternFill patternType="solid">
        <x:fgColor rgb="FFC7FF00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101820"/>
      </x:left>
      <x:right style="thin">
        <x:color rgb="FF101820"/>
      </x:right>
      <x:top style="thin">
        <x:color rgb="FF101820"/>
      </x:top>
      <x:bottom style="thin">
        <x:color rgb="FF101820"/>
      </x:bottom>
    </x:border>
    <x:border>
      <x:left style="thin">
        <x:color rgb="FF445566"/>
      </x:left>
      <x:right style="thin">
        <x:color rgb="FF445566"/>
      </x:right>
      <x:top style="thin">
        <x:color rgb="FF445566"/>
      </x:top>
      <x:bottom style="thin">
        <x:color rgb="FF445566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1" fillId="8" borderId="2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vertical="center"/>
    </x:xf>
    <x:xf numFmtId="0" fontId="9" fillId="9" borderId="1" xfId="0" applyFont="1" applyFill="1" applyBorder="1" applyAlignment="1">
      <x:alignment horizontal="right" vertical="center"/>
    </x:xf>
    <x:xf numFmtId="0" fontId="9" fillId="9" borderId="1" xfId="0" applyFont="1" applyFill="1" applyBorder="1" applyAlignment="1">
      <x:alignment horizontal="center" vertical="center"/>
    </x:xf>
    <x:xf numFmtId="0" fontId="10" fillId="10" borderId="1" xfId="0" applyFont="1" applyFill="1" applyBorder="1" applyAlignment="1">
      <x:alignment vertical="center"/>
    </x:xf>
    <x:xf numFmtId="0" fontId="10" fillId="10" borderId="1" xfId="0" applyFont="1" applyFill="1" applyBorder="1" applyAlignment="1">
      <x:alignment horizontal="right" vertical="center"/>
    </x:xf>
    <x:xf numFmtId="0" fontId="10" fillId="10" borderId="1" xfId="0" applyFont="1" applyFill="1" applyBorder="1" applyAlignment="1">
      <x:alignment horizontal="center" vertical="center"/>
    </x:xf>
    <x:xf numFmtId="0" fontId="11" fillId="11" borderId="1" xfId="0" applyFont="1" applyFill="1" applyBorder="1" applyAlignment="1">
      <x:alignment vertical="center"/>
    </x:xf>
    <x:xf numFmtId="0" fontId="11" fillId="11" borderId="1" xfId="0" applyFont="1" applyFill="1" applyBorder="1" applyAlignment="1">
      <x:alignment horizontal="right" vertical="center"/>
    </x:xf>
    <x:xf numFmtId="0" fontId="11" fillId="11" borderId="1" xfId="0" applyFont="1" applyFill="1" applyBorder="1" applyAlignment="1">
      <x:alignment horizontal="center" vertical="center"/>
    </x:xf>
    <x:xf numFmtId="0" fontId="12" fillId="12" borderId="1" xfId="0" applyFont="1" applyFill="1" applyBorder="1" applyAlignment="1">
      <x:alignment vertical="center"/>
    </x:xf>
    <x:xf numFmtId="0" fontId="12" fillId="12" borderId="1" xfId="0" applyFont="1" applyFill="1" applyBorder="1" applyAlignment="1">
      <x:alignment horizontal="right" vertical="center"/>
    </x:xf>
    <x:xf numFmtId="0" fontId="12" fillId="12" borderId="1" xfId="0" applyFont="1" applyFill="1" applyBorder="1" applyAlignment="1">
      <x:alignment horizontal="center" vertical="center"/>
    </x:xf>
    <x:xf numFmtId="0" fontId="13" fillId="13" borderId="1" xfId="0" applyFont="1" applyFill="1" applyBorder="1" applyAlignment="1">
      <x:alignment vertical="center"/>
    </x:xf>
    <x:xf numFmtId="0" fontId="13" fillId="13" borderId="1" xfId="0" applyFont="1" applyFill="1" applyBorder="1" applyAlignment="1">
      <x:alignment horizontal="right" vertical="center"/>
    </x:xf>
    <x:xf numFmtId="0" fontId="13" fillId="13" borderId="1" xfId="0" applyFont="1" applyFill="1" applyBorder="1" applyAlignment="1">
      <x:alignment horizontal="center" vertical="center"/>
    </x:xf>
    <x:xf numFmtId="0" fontId="14" fillId="14" borderId="1" xfId="0" applyFont="1" applyFill="1" applyBorder="1" applyAlignment="1">
      <x:alignment vertical="center"/>
    </x:xf>
    <x:xf numFmtId="0" fontId="14" fillId="14" borderId="1" xfId="0" applyFont="1" applyFill="1" applyBorder="1" applyAlignment="1">
      <x:alignment horizontal="right" vertical="center"/>
    </x:xf>
    <x:xf numFmtId="0" fontId="14" fillId="14" borderId="1" xfId="0" applyFont="1" applyFill="1" applyBorder="1" applyAlignment="1">
      <x:alignment horizontal="center" vertical="center"/>
    </x:xf>
    <x:xf numFmtId="0" fontId="15" fillId="8" borderId="0" xfId="0" applyFont="1" applyFill="1" applyAlignment="1">
      <x:alignment horizontal="center"/>
    </x:xf>
    <x:xf numFmtId="0" fontId="16" fillId="8" borderId="0" xfId="0" applyFont="1" applyFill="1" applyAlignment="1">
      <x:alignment horizontal="center"/>
    </x:xf>
    <x:xf numFmtId="0" fontId="0" fillId="2" borderId="1" xfId="0" applyFill="1" applyBorder="1"/>
    <x:xf numFmtId="0" fontId="2" fillId="0" borderId="1" xfId="0" applyFont="1" applyBorder="1"/>
    <x:xf numFmtId="0" fontId="0" fillId="3" borderId="1" xfId="0" applyFill="1" applyBorder="1"/>
    <x:xf numFmtId="0" fontId="3" fillId="0" borderId="1" xfId="0" applyFont="1" applyBorder="1"/>
    <x:xf numFmtId="0" fontId="0" fillId="4" borderId="1" xfId="0" applyFill="1" applyBorder="1"/>
    <x:xf numFmtId="0" fontId="4" fillId="0" borderId="1" xfId="0" applyFont="1" applyBorder="1"/>
    <x:xf numFmtId="0" fontId="0" fillId="5" borderId="1" xfId="0" applyFill="1" applyBorder="1"/>
    <x:xf numFmtId="0" fontId="5" fillId="0" borderId="1" xfId="0" applyFont="1" applyBorder="1"/>
    <x:xf numFmtId="0" fontId="0" fillId="6" borderId="1" xfId="0" applyFill="1" applyBorder="1"/>
    <x:xf numFmtId="0" fontId="6" fillId="0" borderId="1" xfId="0" applyFont="1" applyBorder="1"/>
    <x:xf numFmtId="0" fontId="0" fillId="7" borderId="1" xfId="0" applyFill="1" applyBorder="1"/>
    <x:xf numFmtId="0" fontId="7" fillId="0" borderId="1" xfId="0" applyFont="1" applyBorder="1"/>
    <x:xf numFmtId="0" fontId="8" fillId="16" borderId="1" xfId="0" applyFont="1" applyFill="1" applyBorder="1" applyAlignment="1">
      <x:alignment vertical="center"/>
    </x:xf>
    <x:xf numFmtId="0" fontId="19" fillId="16" borderId="1" xfId="0" applyFont="1" applyFill="1" applyBorder="1" applyAlignment="1">
      <x:alignment horizontal="center" vertical="center"/>
    </x:xf>
    <x:xf numFmtId="0" fontId="20" fillId="9" borderId="1" xfId="0" applyFont="1" applyFill="1" applyBorder="1" applyAlignment="1">
      <x:alignment horizontal="center" vertical="center"/>
    </x:xf>
    <x:xf numFmtId="0" fontId="21" fillId="14" borderId="1" xfId="0" applyFont="1" applyFill="1" applyBorder="1" applyAlignment="1">
      <x:alignment horizontal="center" vertical="center"/>
    </x:xf>
    <x:xf numFmtId="0" fontId="22" fillId="11" borderId="1" xfId="0" applyFont="1" applyFill="1" applyBorder="1" applyAlignment="1">
      <x:alignment horizontal="center" vertical="center"/>
    </x:xf>
    <x:xf numFmtId="0" fontId="23" fillId="13" borderId="1" xfId="0" applyFont="1" applyFill="1" applyBorder="1" applyAlignment="1">
      <x:alignment horizontal="center" vertical="center"/>
    </x:xf>
    <x:xf numFmtId="0" fontId="24" fillId="10" borderId="1" xfId="0" applyFont="1" applyFill="1" applyBorder="1" applyAlignment="1">
      <x:alignment horizontal="center" vertical="center"/>
    </x:xf>
    <x:xf numFmtId="0" fontId="17" fillId="8" borderId="0" xfId="0" applyFont="1" applyFill="1" applyAlignment="1">
      <x:alignment horizontal="center" vertical="center"/>
    </x:xf>
    <x:xf numFmtId="0" fontId="0" fillId="0" borderId="0" xfId="0"/>
    <x:xf numFmtId="0" fontId="18" fillId="15" borderId="0" xfId="0" applyFont="1" applyFill="1" applyAlignment="1">
      <x:alignment vertical="center"/>
    </x:xf>
    <x:xf numFmtId="0" fontId="14" fillId="17" borderId="1" xfId="0" applyNumberFormat="1" applyFont="1" applyFill="1" applyBorder="1" applyAlignment="1">
      <x:alignment vertical="center"/>
    </x:xf>
    <x:xf numFmtId="0" fontId="14" fillId="17" borderId="1" xfId="0" applyNumberFormat="1" applyFont="1" applyFill="1" applyBorder="1" applyAlignment="1">
      <x:alignment horizontal="right" vertical="center"/>
    </x:xf>
    <x:xf numFmtId="0" fontId="11" fillId="17" borderId="1" xfId="0" applyNumberFormat="1" applyFont="1" applyFill="1" applyBorder="1" applyAlignment="1">
      <x:alignment vertical="center"/>
    </x:xf>
    <x:xf numFmtId="0" fontId="11" fillId="17" borderId="1" xfId="0" applyNumberFormat="1" applyFont="1" applyFill="1" applyBorder="1" applyAlignment="1">
      <x:alignment horizontal="right" vertical="center"/>
    </x:xf>
    <x:xf numFmtId="0" fontId="10" fillId="17" borderId="1" xfId="0" applyNumberFormat="1" applyFont="1" applyFill="1" applyBorder="1" applyAlignment="1">
      <x:alignment vertical="center"/>
    </x:xf>
    <x:xf numFmtId="0" fontId="10" fillId="17" borderId="1" xfId="0" applyNumberFormat="1" applyFont="1" applyFill="1" applyBorder="1" applyAlignment="1">
      <x:alignment horizontal="right" vertical="center"/>
    </x:xf>
    <x:xf numFmtId="0" fontId="14" fillId="18" borderId="1" xfId="0" applyNumberFormat="1" applyFont="1" applyFill="1" applyBorder="1" applyAlignment="1">
      <x:alignment vertical="center"/>
    </x:xf>
    <x:xf numFmtId="0" fontId="21" fillId="18" borderId="1" xfId="0" applyNumberFormat="1" applyFont="1" applyFill="1" applyBorder="1" applyAlignment="1">
      <x:alignment horizontal="center" vertical="center"/>
    </x:xf>
    <x:xf numFmtId="0" fontId="22" fillId="17" borderId="1" xfId="0" applyNumberFormat="1" applyFont="1" applyFill="1" applyBorder="1" applyAlignment="1">
      <x:alignment horizontal="center" vertical="center"/>
    </x:xf>
    <x:xf numFmtId="0" fontId="22" fillId="11" borderId="1" xfId="0" applyNumberFormat="1" applyFont="1" applyFill="1" applyBorder="1" applyAlignment="1">
      <x:alignment horizontal="center" vertical="center"/>
    </x:xf>
    <x:xf numFmtId="0" fontId="23" fillId="13" borderId="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0" fillId="19" xfId="0" applyNumberFormat="1" applyFont="1" applyFill="1" applyBorder="0"/>
    <x:xf numFmtId="0" fontId="0" fillId="19" xfId="0" applyNumberFormat="1" applyFont="1" applyFill="1" applyBorder="0" applyAlignment="1">
      <x:alignment vertical="center"/>
    </x:xf>
    <x:xf numFmtId="0" fontId="0" fillId="20" borderId="0" xfId="0" applyNumberFormat="1" applyFont="1" applyFill="1" applyBorder="1"/>
    <x:xf numFmtId="0" fontId="0" fillId="20" xfId="0" applyNumberFormat="1" applyFont="1" applyFill="1" applyBorder="0"/>
    <x:xf numFmtId="0" fontId="0" fillId="20" xfId="0" applyNumberFormat="1" applyFont="1" applyFill="1" applyBorder="0" applyAlignment="1">
      <x:alignment vertical="center"/>
    </x:xf>
    <x:xf numFmtId="0" fontId="0" fillId="21" borderId="0" xfId="0" applyNumberFormat="1" applyFont="1" applyFill="1" applyBorder="1"/>
    <x:xf numFmtId="0" fontId="25" fillId="21" borderId="0" xfId="0" applyNumberFormat="1" applyFont="1" applyFill="1" applyBorder="1"/>
    <x:xf numFmtId="0" fontId="0" fillId="22" borderId="0" xfId="0" applyNumberFormat="1" applyFont="1" applyFill="1" applyBorder="1"/>
    <x:xf numFmtId="0" fontId="26" fillId="22" borderId="0" xfId="0" applyNumberFormat="1" applyFont="1" applyFill="1" applyBorder="1"/>
    <x:xf numFmtId="0" fontId="16" fillId="21" borderId="0" xfId="0" applyNumberFormat="1" applyFont="1" applyFill="1" applyBorder="1"/>
    <x:xf numFmtId="0" fontId="16" fillId="21" borderId="3" xfId="0" applyNumberFormat="1" applyFont="1" applyFill="1" applyBorder="1"/>
    <x:xf numFmtId="0" fontId="16" fillId="21" borderId="3" xfId="0" applyNumberFormat="1" applyFont="1" applyFill="1" applyBorder="1" applyAlignment="1">
      <x:alignment wrapText="1"/>
    </x:xf>
    <x:xf numFmtId="0" fontId="16" fillId="21" borderId="3" xfId="0" applyNumberFormat="1" applyFont="1" applyFill="1" applyBorder="1" applyAlignment="1">
      <x:alignment horizontal="center" wrapText="1"/>
    </x:xf>
    <x:xf numFmtId="200" fontId="25" fillId="21" borderId="0" xfId="0" applyNumberFormat="1" applyFont="1" applyFill="1" applyBorder="1"/>
    <x:xf numFmtId="0" fontId="0" fillId="23" borderId="0" xfId="0" applyNumberFormat="1" applyFont="1" applyFill="1" applyBorder="1"/>
    <x:xf numFmtId="0" fontId="0" fillId="23" xfId="0" applyNumberFormat="1" applyFont="1" applyFill="1" applyBorder="0"/>
    <x:xf numFmtId="0" fontId="0" fillId="23" xfId="0" applyNumberFormat="1" applyFont="1" applyFill="1" applyBorder="0" applyAlignment="1">
      <x:alignment vertical="center"/>
    </x:xf>
    <x:xf numFmtId="0" fontId="0" fillId="24" borderId="0" xfId="0" applyNumberFormat="1" applyFont="1" applyFill="1" applyBorder="1"/>
    <x:xf numFmtId="0" fontId="0" fillId="24" xfId="0" applyNumberFormat="1" applyFont="1" applyFill="1" applyBorder="0"/>
    <x:xf numFmtId="0" fontId="0" fillId="24" xfId="0" applyNumberFormat="1" applyFont="1" applyFill="1" applyBorder="0" applyAlignment="1">
      <x:alignment vertical="center"/>
    </x:xf>
    <x:xf numFmtId="0" fontId="0" fillId="25" borderId="0" xfId="0" applyNumberFormat="1" applyFont="1" applyFill="1" applyBorder="1"/>
    <x:xf numFmtId="0" fontId="25" fillId="25" borderId="0" xfId="0" applyNumberFormat="1" applyFont="1" applyFill="1" applyBorder="1"/>
    <x:xf numFmtId="0" fontId="0" fillId="26" borderId="0" xfId="0" applyNumberFormat="1" applyFont="1" applyFill="1" applyBorder="1"/>
    <x:xf numFmtId="0" fontId="26" fillId="26" borderId="0" xfId="0" applyNumberFormat="1" applyFont="1" applyFill="1" applyBorder="1"/>
    <x:xf numFmtId="0" fontId="16" fillId="25" borderId="0" xfId="0" applyNumberFormat="1" applyFont="1" applyFill="1" applyBorder="1"/>
    <x:xf numFmtId="0" fontId="16" fillId="25" borderId="3" xfId="0" applyNumberFormat="1" applyFont="1" applyFill="1" applyBorder="1"/>
    <x:xf numFmtId="0" fontId="16" fillId="25" borderId="3" xfId="0" applyNumberFormat="1" applyFont="1" applyFill="1" applyBorder="1" applyAlignment="1">
      <x:alignment wrapText="1"/>
    </x:xf>
    <x:xf numFmtId="0" fontId="16" fillId="25" borderId="3" xfId="0" applyNumberFormat="1" applyFont="1" applyFill="1" applyBorder="1" applyAlignment="1">
      <x:alignment horizontal="center" wrapText="1"/>
    </x:xf>
    <x:xf numFmtId="200" fontId="0" fillId="23" xfId="0" applyNumberFormat="1" applyFont="1" applyFill="1" applyBorder="0" applyAlignment="1">
      <x:alignment vertical="center"/>
    </x:xf>
    <x:xf numFmtId="200" fontId="0" fillId="24" xfId="0" applyNumberFormat="1" applyFont="1" applyFill="1" applyBorder="0" applyAlignment="1">
      <x:alignment vertical="center"/>
    </x:xf>
    <x:xf numFmtId="0" fontId="0" fillId="23" xfId="0" applyNumberFormat="1" applyFont="1" applyFill="1" applyBorder="0" applyAlignment="1">
      <x:alignment vertical="center" wrapText="1"/>
    </x:xf>
    <x:xf numFmtId="0" fontId="0" fillId="24" xfId="0" applyNumberFormat="1" applyFont="1" applyFill="1" applyBorder="0" applyAlignment="1">
      <x:alignment vertical="center" wrapText="1"/>
    </x:xf>
  </x:cellXfs>
  <x:cellStyles count="1">
    <x:cellStyle name="Normal" xfId="0"/>
  </x:cellStyles>
  <x:dxfs count="9">
    <x:dxf>
      <x:font>
        <x:sz val="11"/>
        <x:color rgb="FF8A5A22"/>
        <x:name val="Arial"/>
      </x:font>
      <x:fill>
        <x:patternFill>
          <x:bgColor rgb="FFF6EADC"/>
        </x:patternFill>
      </x:fill>
    </x:dxf>
    <x:dxf>
      <x:font>
        <x:sz val="11"/>
        <x:color rgb="FF8A5A22"/>
        <x:name val="Arial"/>
      </x:font>
      <x:fill>
        <x:patternFill>
          <x:bgColor rgb="FFF6EADC"/>
        </x:patternFill>
      </x:fill>
    </x:dxf>
    <x:dxf>
      <x:font>
        <x:sz val="11"/>
        <x:color rgb="FF5C4C73"/>
        <x:name val="Arial"/>
      </x:font>
      <x:fill>
        <x:patternFill>
          <x:bgColor rgb="FFEDE6F0"/>
        </x:patternFill>
      </x:fill>
    </x:dxf>
    <x:dxf>
      <x:font>
        <x:sz val="11"/>
        <x:color rgb="FF8B4038"/>
        <x:name val="Arial"/>
      </x:font>
      <x:fill>
        <x:patternFill>
          <x:bgColor rgb="FFF5E7E5"/>
        </x:patternFill>
      </x:fill>
    </x:dxf>
    <x:dxf>
      <x:font>
        <x:sz val="11"/>
        <x:color rgb="FF5C5C5C"/>
        <x:name val="Arial"/>
      </x:font>
      <x:fill>
        <x:patternFill>
          <x:bgColor rgb="FFEFEFEF"/>
        </x:patternFill>
      </x:fill>
    </x:dxf>
    <x:dxf>
      <x:font>
        <x:sz val="11"/>
        <x:color rgb="FF3A5A78"/>
        <x:name val="Arial"/>
      </x:font>
      <x:fill>
        <x:patternFill>
          <x:bgColor rgb="FFE7EEF4"/>
        </x:patternFill>
      </x:fill>
    </x:dxf>
    <x:dxf>
      <x:font>
        <x:sz val="11"/>
        <x:color rgb="FF3E6B54"/>
        <x:name val="Arial"/>
      </x:font>
      <x:fill>
        <x:patternFill>
          <x:bgColor rgb="FFE3EDE7"/>
        </x:patternFill>
      </x:fill>
    </x:dxf>
    <x:dxf>
      <x:font>
        <x:sz val="11"/>
        <x:color rgb="FF3E6B54"/>
        <x:name val="Arial"/>
      </x:font>
      <x:fill>
        <x:patternFill>
          <x:bgColor rgb="FFE3EDE7"/>
        </x:patternFill>
      </x:fill>
    </x:dxf>
    <x:dxf>
      <x:font>
        <x:sz val="11"/>
        <x:color rgb="FF8B4038"/>
        <x:name val="Arial"/>
      </x:font>
      <x:fill>
        <x:patternFill>
          <x:bgColor rgb="FFF5E7E5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A5A22"/>
      <x:rgbColor rgb="FF800080"/>
      <x:rgbColor rgb="FF008080"/>
      <x:rgbColor rgb="FFEDE6F0"/>
      <x:rgbColor rgb="FF808080"/>
      <x:rgbColor rgb="FF9999FF"/>
      <x:rgbColor rgb="FF8B4038"/>
      <x:rgbColor rgb="FFFAFBFC"/>
      <x:rgbColor rgb="FFE7EEF4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3EDE7"/>
      <x:rgbColor rgb="FFEFEFEF"/>
      <x:rgbColor rgb="FFF6EADC"/>
      <x:rgbColor rgb="FF99CCFF"/>
      <x:rgbColor rgb="FFFF99CC"/>
      <x:rgbColor rgb="FFCC99FF"/>
      <x:rgbColor rgb="FFF5E7E5"/>
      <x:rgbColor rgb="FF3366FF"/>
      <x:rgbColor rgb="FF33CCCC"/>
      <x:rgbColor rgb="FF99CC00"/>
      <x:rgbColor rgb="FFFFCC00"/>
      <x:rgbColor rgb="FFFF9900"/>
      <x:rgbColor rgb="FFFF6600"/>
      <x:rgbColor rgb="FF5C5C5C"/>
      <x:rgbColor rgb="FF969696"/>
      <x:rgbColor rgb="FF172D4F"/>
      <x:rgbColor rgb="FF3E6B54"/>
      <x:rgbColor rgb="FF003300"/>
      <x:rgbColor rgb="FF333300"/>
      <x:rgbColor rgb="FF993300"/>
      <x:rgbColor rgb="FF993366"/>
      <x:rgbColor rgb="FF3A5A78"/>
      <x:rgbColor rgb="FF5C4C7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517997ea34977" /><Relationship Type="http://schemas.openxmlformats.org/officeDocument/2006/relationships/theme" Target="/xl/theme/theme1.xml" Id="R4c0c134b45204209" /><Relationship Type="http://schemas.openxmlformats.org/officeDocument/2006/relationships/sharedStrings" Target="/xl/sharedStrings.xml" Id="R9dfc9781c9b14112" /><Relationship Type="http://schemas.openxmlformats.org/officeDocument/2006/relationships/worksheet" Target="/xl/worksheets/sheet1.xml" Id="Rb64828e745e04bd2" /><Relationship Type="http://schemas.openxmlformats.org/officeDocument/2006/relationships/worksheet" Target="/xl/worksheets/sheet2.xml" Id="R9ad159cbf08d476e" /><Relationship Type="http://schemas.openxmlformats.org/officeDocument/2006/relationships/worksheet" Target="/xl/worksheets/sheet3.xml" Id="Re4aad4d7671943f2" /><Relationship Type="http://schemas.openxmlformats.org/officeDocument/2006/relationships/worksheet" Target="/xl/worksheets/sheet4.xml" Id="Rbafc71d9dca5469b" /><Relationship Type="http://schemas.openxmlformats.org/officeDocument/2006/relationships/worksheet" Target="/xl/worksheets/sheet5.xml" Id="R332e9f2d6de34f3f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theme="3"/>
  </x:sheetPr>
  <x:sheetViews>
    <x:sheetView showGridLines="0" workbookViewId="0"/>
  </x:sheetViews>
  <x:sheetFormatPr defaultColWidth="8.7109375" defaultRowHeight="15"/>
  <x:cols>
    <x:col min="1" max="1" width="14" customWidth="1"/>
    <x:col min="2" max="2" width="16" customWidth="1"/>
    <x:col min="3" max="3" width="30" customWidth="1"/>
    <x:col min="4" max="5" width="14" customWidth="1"/>
    <x:col min="6" max="6" width="16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0.100000381469727" customHeight="1">
      <x:c r="A2" s="2" t="s">
        <x:v>6</x:v>
      </x:c>
      <x:c r="B2" s="2" t="s">
        <x:v>7</x:v>
      </x:c>
      <x:c r="C2" s="2" t="s">
        <x:v>8</x:v>
      </x:c>
      <x:c r="D2" s="3">
        <x:v>12</x:v>
      </x:c>
      <x:c r="E2" s="4" t="s">
        <x:v>9</x:v>
      </x:c>
      <x:c r="F2" s="2" t="s">
        <x:v>10</x:v>
      </x:c>
    </x:row>
    <x:row r="3" ht="20.100000381469727" customHeight="1">
      <x:c r="A3" s="2" t="s">
        <x:v>11</x:v>
      </x:c>
      <x:c r="B3" s="2" t="s">
        <x:v>12</x:v>
      </x:c>
      <x:c r="C3" s="2" t="s">
        <x:v>13</x:v>
      </x:c>
      <x:c r="D3" s="3">
        <x:v>8</x:v>
      </x:c>
      <x:c r="E3" s="4" t="s">
        <x:v>9</x:v>
      </x:c>
      <x:c r="F3" s="2" t="s">
        <x:v>14</x:v>
      </x:c>
    </x:row>
    <x:row r="4" ht="20.100000381469727" customHeight="1">
      <x:c r="A4" s="5" t="s">
        <x:v>15</x:v>
      </x:c>
      <x:c r="B4" s="5" t="s">
        <x:v>16</x:v>
      </x:c>
      <x:c r="C4" s="5" t="s">
        <x:v>17</x:v>
      </x:c>
      <x:c r="D4" s="6">
        <x:v>5</x:v>
      </x:c>
      <x:c r="E4" s="7" t="s">
        <x:v>9</x:v>
      </x:c>
      <x:c r="F4" s="5" t="s">
        <x:v>18</x:v>
      </x:c>
    </x:row>
    <x:row r="5" ht="20.100000381469727" customHeight="1">
      <x:c r="A5" s="2" t="s">
        <x:v>19</x:v>
      </x:c>
      <x:c r="B5" s="2" t="s">
        <x:v>20</x:v>
      </x:c>
      <x:c r="C5" s="2" t="s">
        <x:v>21</x:v>
      </x:c>
      <x:c r="D5" s="3">
        <x:v>20</x:v>
      </x:c>
      <x:c r="E5" s="4" t="s">
        <x:v>22</x:v>
      </x:c>
      <x:c r="F5" s="2" t="s">
        <x:v>10</x:v>
      </x:c>
    </x:row>
    <x:row r="6" ht="20.100000381469727" customHeight="1">
      <x:c r="A6" s="2" t="s">
        <x:v>23</x:v>
      </x:c>
      <x:c r="B6" s="2" t="s">
        <x:v>24</x:v>
      </x:c>
      <x:c r="C6" s="2" t="s">
        <x:v>25</x:v>
      </x:c>
      <x:c r="D6" s="3">
        <x:v>15</x:v>
      </x:c>
      <x:c r="E6" s="4" t="s">
        <x:v>22</x:v>
      </x:c>
      <x:c r="F6" s="2" t="s">
        <x:v>26</x:v>
      </x:c>
    </x:row>
    <x:row r="7" ht="20.100000381469727" customHeight="1">
      <x:c r="A7" s="5" t="s">
        <x:v>27</x:v>
      </x:c>
      <x:c r="B7" s="5" t="s">
        <x:v>28</x:v>
      </x:c>
      <x:c r="C7" s="5" t="s">
        <x:v>29</x:v>
      </x:c>
      <x:c r="D7" s="6">
        <x:v>10</x:v>
      </x:c>
      <x:c r="E7" s="7" t="s">
        <x:v>22</x:v>
      </x:c>
      <x:c r="F7" s="5" t="s">
        <x:v>18</x:v>
      </x:c>
    </x:row>
    <x:row r="8" ht="20.100000381469727" customHeight="1">
      <x:c r="A8" s="8" t="s">
        <x:v>30</x:v>
      </x:c>
      <x:c r="B8" s="8" t="s">
        <x:v>31</x:v>
      </x:c>
      <x:c r="C8" s="8" t="s">
        <x:v>32</x:v>
      </x:c>
      <x:c r="D8" s="9"/>
      <x:c r="E8" s="10" t="s">
        <x:v>33</x:v>
      </x:c>
      <x:c r="F8" s="8" t="s">
        <x:v>10</x:v>
      </x:c>
    </x:row>
    <x:row r="9" ht="20.100000381469727" customHeight="1">
      <x:c r="A9" s="11" t="s">
        <x:v>34</x:v>
      </x:c>
      <x:c r="B9" s="11" t="s">
        <x:v>35</x:v>
      </x:c>
      <x:c r="C9" s="11" t="s">
        <x:v>36</x:v>
      </x:c>
      <x:c r="D9" s="12">
        <x:v>6</x:v>
      </x:c>
      <x:c r="E9" s="13" t="s">
        <x:v>33</x:v>
      </x:c>
      <x:c r="F9" s="11" t="s">
        <x:v>37</x:v>
      </x:c>
    </x:row>
    <x:row r="10" ht="20.100000381469727" customHeight="1">
      <x:c r="A10" s="2" t="s">
        <x:v>38</x:v>
      </x:c>
      <x:c r="B10" s="2" t="s">
        <x:v>7</x:v>
      </x:c>
      <x:c r="C10" s="2" t="s">
        <x:v>8</x:v>
      </x:c>
      <x:c r="D10" s="3">
        <x:v>4</x:v>
      </x:c>
      <x:c r="E10" s="4" t="s">
        <x:v>33</x:v>
      </x:c>
      <x:c r="F10" s="2" t="s">
        <x:v>10</x:v>
      </x:c>
    </x:row>
    <x:row r="11" ht="20.100000381469727" customHeight="1">
      <x:c r="A11" s="5" t="s">
        <x:v>39</x:v>
      </x:c>
      <x:c r="B11" s="5" t="s">
        <x:v>40</x:v>
      </x:c>
      <x:c r="C11" s="5" t="s">
        <x:v>41</x:v>
      </x:c>
      <x:c r="D11" s="6">
        <x:v>3</x:v>
      </x:c>
      <x:c r="E11" s="7" t="s">
        <x:v>42</x:v>
      </x:c>
      <x:c r="F11" s="5" t="s">
        <x:v>43</x:v>
      </x:c>
    </x:row>
    <x:row r="12" ht="20.100000381469727" customHeight="1">
      <x:c r="A12" s="2" t="s">
        <x:v>44</x:v>
      </x:c>
      <x:c r="B12" s="2" t="s">
        <x:v>45</x:v>
      </x:c>
      <x:c r="C12" s="2" t="s">
        <x:v>46</x:v>
      </x:c>
      <x:c r="D12" s="3">
        <x:v>9</x:v>
      </x:c>
      <x:c r="E12" s="4" t="s">
        <x:v>42</x:v>
      </x:c>
      <x:c r="F12" s="2" t="s">
        <x:v>10</x:v>
      </x:c>
    </x:row>
    <x:row r="13" ht="20.100000381469727" customHeight="1">
      <x:c r="A13" s="2" t="s">
        <x:v>47</x:v>
      </x:c>
      <x:c r="B13" s="2" t="s">
        <x:v>48</x:v>
      </x:c>
      <x:c r="C13" s="2" t="s">
        <x:v>49</x:v>
      </x:c>
      <x:c r="D13" s="3">
        <x:v>7</x:v>
      </x:c>
      <x:c r="E13" s="4" t="s">
        <x:v>42</x:v>
      </x:c>
      <x:c r="F13" s="2" t="s">
        <x:v>14</x:v>
      </x:c>
    </x:row>
    <x:row r="14" ht="20.100000381469727" customHeight="1">
      <x:c r="A14" s="5" t="s">
        <x:v>50</x:v>
      </x:c>
      <x:c r="B14" s="5" t="s">
        <x:v>12</x:v>
      </x:c>
      <x:c r="C14" s="5" t="s">
        <x:v>13</x:v>
      </x:c>
      <x:c r="D14" s="6">
        <x:v>11</x:v>
      </x:c>
      <x:c r="E14" s="7" t="s">
        <x:v>51</x:v>
      </x:c>
      <x:c r="F14" s="5" t="s">
        <x:v>18</x:v>
      </x:c>
    </x:row>
    <x:row r="15" ht="20.100000381469727" customHeight="1">
      <x:c r="A15" s="2" t="s">
        <x:v>52</x:v>
      </x:c>
      <x:c r="B15" s="2" t="s">
        <x:v>53</x:v>
      </x:c>
      <x:c r="C15" s="2" t="s">
        <x:v>54</x:v>
      </x:c>
      <x:c r="D15" s="3">
        <x:v>5</x:v>
      </x:c>
      <x:c r="E15" s="4" t="s">
        <x:v>51</x:v>
      </x:c>
      <x:c r="F15" s="2" t="s">
        <x:v>10</x:v>
      </x:c>
    </x:row>
    <x:row r="16" ht="20.100000381469727" customHeight="1">
      <x:c r="A16" s="14" t="s">
        <x:v>55</x:v>
      </x:c>
      <x:c r="B16" s="14" t="s">
        <x:v>56</x:v>
      </x:c>
      <x:c r="C16" s="14" t="s">
        <x:v>57</x:v>
      </x:c>
      <x:c r="D16" s="15">
        <x:v>2</x:v>
      </x:c>
      <x:c r="E16" s="16" t="s">
        <x:v>51</x:v>
      </x:c>
      <x:c r="F16" s="14" t="s">
        <x:v>58</x:v>
      </x:c>
    </x:row>
    <x:row r="17" ht="20.100000381469727" customHeight="1">
      <x:c r="A17" s="2" t="s">
        <x:v>59</x:v>
      </x:c>
      <x:c r="B17" s="2" t="s">
        <x:v>60</x:v>
      </x:c>
      <x:c r="C17" s="2" t="s">
        <x:v>25</x:v>
      </x:c>
      <x:c r="D17" s="3">
        <x:v>13</x:v>
      </x:c>
      <x:c r="E17" s="4" t="s">
        <x:v>61</x:v>
      </x:c>
      <x:c r="F17" s="2" t="s">
        <x:v>10</x:v>
      </x:c>
    </x:row>
    <x:row r="18" ht="20.100000381469727" customHeight="1">
      <x:c r="A18" s="8" t="s">
        <x:v>62</x:v>
      </x:c>
      <x:c r="B18" s="8" t="s">
        <x:v>20</x:v>
      </x:c>
      <x:c r="C18" s="8" t="s">
        <x:v>21</x:v>
      </x:c>
      <x:c r="D18" s="9"/>
      <x:c r="E18" s="10" t="s">
        <x:v>61</x:v>
      </x:c>
      <x:c r="F18" s="8" t="s">
        <x:v>18</x:v>
      </x:c>
    </x:row>
    <x:row r="19" ht="20.100000381469727" customHeight="1">
      <x:c r="A19" s="2" t="s">
        <x:v>63</x:v>
      </x:c>
      <x:c r="B19" s="2" t="s">
        <x:v>16</x:v>
      </x:c>
      <x:c r="C19" s="2" t="s">
        <x:v>17</x:v>
      </x:c>
      <x:c r="D19" s="3">
        <x:v>6</x:v>
      </x:c>
      <x:c r="E19" s="4" t="s">
        <x:v>61</x:v>
      </x:c>
      <x:c r="F19" s="2" t="s">
        <x:v>10</x:v>
      </x:c>
    </x:row>
    <x:row r="20" ht="20.100000381469727" customHeight="1">
      <x:c r="A20" s="2" t="s">
        <x:v>64</x:v>
      </x:c>
      <x:c r="B20" s="2" t="s">
        <x:v>65</x:v>
      </x:c>
      <x:c r="C20" s="2" t="s">
        <x:v>66</x:v>
      </x:c>
      <x:c r="D20" s="3">
        <x:v>14</x:v>
      </x:c>
      <x:c r="E20" s="4" t="s">
        <x:v>67</x:v>
      </x:c>
      <x:c r="F20" s="2" t="s">
        <x:v>68</x:v>
      </x:c>
    </x:row>
    <x:row r="21" ht="20.100000381469727" customHeight="1">
      <x:c r="A21" s="5" t="s">
        <x:v>69</x:v>
      </x:c>
      <x:c r="B21" s="5" t="s">
        <x:v>70</x:v>
      </x:c>
      <x:c r="C21" s="5" t="s">
        <x:v>71</x:v>
      </x:c>
      <x:c r="D21" s="6">
        <x:v>4</x:v>
      </x:c>
      <x:c r="E21" s="7" t="s">
        <x:v>67</x:v>
      </x:c>
      <x:c r="F21" s="5" t="s">
        <x:v>18</x:v>
      </x:c>
    </x:row>
    <x:row r="22" ht="20.100000381469727" customHeight="1">
      <x:c r="A22" s="2" t="s">
        <x:v>72</x:v>
      </x:c>
      <x:c r="B22" s="2" t="s">
        <x:v>31</x:v>
      </x:c>
      <x:c r="C22" s="2" t="s">
        <x:v>32</x:v>
      </x:c>
      <x:c r="D22" s="3">
        <x:v>8</x:v>
      </x:c>
      <x:c r="E22" s="4" t="s">
        <x:v>67</x:v>
      </x:c>
      <x:c r="F22" s="2" t="s">
        <x:v>10</x:v>
      </x:c>
    </x:row>
    <x:row r="23" ht="20.100000381469727" customHeight="1">
      <x:c r="A23" s="2" t="s">
        <x:v>73</x:v>
      </x:c>
      <x:c r="B23" s="2" t="s">
        <x:v>28</x:v>
      </x:c>
      <x:c r="C23" s="2" t="s">
        <x:v>29</x:v>
      </x:c>
      <x:c r="D23" s="3">
        <x:v>12</x:v>
      </x:c>
      <x:c r="E23" s="4" t="s">
        <x:v>74</x:v>
      </x:c>
      <x:c r="F23" s="2" t="s">
        <x:v>14</x:v>
      </x:c>
    </x:row>
    <x:row r="24" ht="20.100000381469727" customHeight="1">
      <x:c r="A24" s="5" t="s">
        <x:v>75</x:v>
      </x:c>
      <x:c r="B24" s="5" t="s">
        <x:v>76</x:v>
      </x:c>
      <x:c r="C24" s="5" t="s">
        <x:v>77</x:v>
      </x:c>
      <x:c r="D24" s="6">
        <x:v>5</x:v>
      </x:c>
      <x:c r="E24" s="7" t="s">
        <x:v>74</x:v>
      </x:c>
      <x:c r="F24" s="5" t="s">
        <x:v>18</x:v>
      </x:c>
    </x:row>
    <x:row r="25" ht="20.100000381469727" customHeight="1">
      <x:c r="A25" s="2" t="s">
        <x:v>78</x:v>
      </x:c>
      <x:c r="B25" s="2" t="s">
        <x:v>35</x:v>
      </x:c>
      <x:c r="C25" s="2" t="s">
        <x:v>36</x:v>
      </x:c>
      <x:c r="D25" s="3">
        <x:v>9</x:v>
      </x:c>
      <x:c r="E25" s="4" t="s">
        <x:v>74</x:v>
      </x:c>
      <x:c r="F25" s="2" t="s">
        <x:v>10</x:v>
      </x:c>
    </x:row>
    <x:row r="26" ht="20.100000381469727" customHeight="1">
      <x:c r="A26" s="11" t="s">
        <x:v>79</x:v>
      </x:c>
      <x:c r="B26" s="11" t="s">
        <x:v>7</x:v>
      </x:c>
      <x:c r="C26" s="11" t="s">
        <x:v>8</x:v>
      </x:c>
      <x:c r="D26" s="12">
        <x:v>7</x:v>
      </x:c>
      <x:c r="E26" s="13" t="s">
        <x:v>80</x:v>
      </x:c>
      <x:c r="F26" s="11" t="s">
        <x:v>37</x:v>
      </x:c>
    </x:row>
    <x:row r="27" ht="20.100000381469727" customHeight="1">
      <x:c r="A27" s="2" t="s">
        <x:v>38</x:v>
      </x:c>
      <x:c r="B27" s="2" t="s">
        <x:v>7</x:v>
      </x:c>
      <x:c r="C27" s="2" t="s">
        <x:v>8</x:v>
      </x:c>
      <x:c r="D27" s="3">
        <x:v>4</x:v>
      </x:c>
      <x:c r="E27" s="4" t="s">
        <x:v>33</x:v>
      </x:c>
      <x:c r="F27" s="2" t="s">
        <x:v>10</x:v>
      </x:c>
    </x:row>
    <x:row r="28" ht="20.100000381469727" customHeight="1">
      <x:c r="A28" s="2" t="s">
        <x:v>81</x:v>
      </x:c>
      <x:c r="B28" s="2" t="s">
        <x:v>82</x:v>
      </x:c>
      <x:c r="C28" s="2" t="s">
        <x:v>83</x:v>
      </x:c>
      <x:c r="D28" s="3">
        <x:v>10</x:v>
      </x:c>
      <x:c r="E28" s="4" t="s">
        <x:v>80</x:v>
      </x:c>
      <x:c r="F28" s="2" t="s">
        <x:v>10</x:v>
      </x:c>
    </x:row>
    <x:row r="29" ht="20.100000381469727" customHeight="1">
      <x:c r="A29" s="5" t="s">
        <x:v>84</x:v>
      </x:c>
      <x:c r="B29" s="5" t="s">
        <x:v>85</x:v>
      </x:c>
      <x:c r="C29" s="5" t="s">
        <x:v>86</x:v>
      </x:c>
      <x:c r="D29" s="6">
        <x:v>16</x:v>
      </x:c>
      <x:c r="E29" s="7" t="s">
        <x:v>80</x:v>
      </x:c>
      <x:c r="F29" s="5" t="s">
        <x:v>18</x:v>
      </x:c>
    </x:row>
    <x:row r="30" ht="20.100000381469727" customHeight="1">
      <x:c r="A30" s="2" t="s">
        <x:v>87</x:v>
      </x:c>
      <x:c r="B30" s="2" t="s">
        <x:v>88</x:v>
      </x:c>
      <x:c r="C30" s="2" t="s">
        <x:v>89</x:v>
      </x:c>
      <x:c r="D30" s="3">
        <x:v>6</x:v>
      </x:c>
      <x:c r="E30" s="4" t="s">
        <x:v>90</x:v>
      </x:c>
      <x:c r="F30" s="2" t="s">
        <x:v>10</x:v>
      </x:c>
    </x:row>
    <x:row r="31" ht="20.100000381469727" customHeight="1">
      <x:c r="A31" s="14" t="s">
        <x:v>91</x:v>
      </x:c>
      <x:c r="B31" s="14" t="s">
        <x:v>12</x:v>
      </x:c>
      <x:c r="C31" s="14" t="s">
        <x:v>13</x:v>
      </x:c>
      <x:c r="D31" s="15">
        <x:v>3</x:v>
      </x:c>
      <x:c r="E31" s="16" t="s">
        <x:v>90</x:v>
      </x:c>
      <x:c r="F31" s="14" t="s">
        <x:v>58</x:v>
      </x:c>
    </x:row>
    <x:row r="32" ht="20.100000381469727" customHeight="1">
      <x:c r="A32" s="2" t="s">
        <x:v>92</x:v>
      </x:c>
      <x:c r="B32" s="2" t="s">
        <x:v>40</x:v>
      </x:c>
      <x:c r="C32" s="2" t="s">
        <x:v>41</x:v>
      </x:c>
      <x:c r="D32" s="3">
        <x:v>2</x:v>
      </x:c>
      <x:c r="E32" s="4" t="s">
        <x:v>90</x:v>
      </x:c>
      <x:c r="F32" s="2" t="s">
        <x:v>10</x:v>
      </x:c>
    </x:row>
    <x:row r="33" ht="20.100000381469727" customHeight="1">
      <x:c r="A33" s="2" t="s">
        <x:v>93</x:v>
      </x:c>
      <x:c r="B33" s="2" t="s">
        <x:v>94</x:v>
      </x:c>
      <x:c r="C33" s="2" t="s">
        <x:v>95</x:v>
      </x:c>
      <x:c r="D33" s="3">
        <x:v>18</x:v>
      </x:c>
      <x:c r="E33" s="4" t="s">
        <x:v>96</x:v>
      </x:c>
      <x:c r="F33" s="2" t="s">
        <x:v>10</x:v>
      </x:c>
    </x:row>
    <x:row r="34" ht="20.100000381469727" customHeight="1">
      <x:c r="A34" s="5" t="s">
        <x:v>97</x:v>
      </x:c>
      <x:c r="B34" s="5" t="s">
        <x:v>48</x:v>
      </x:c>
      <x:c r="C34" s="5" t="s">
        <x:v>49</x:v>
      </x:c>
      <x:c r="D34" s="6">
        <x:v>5</x:v>
      </x:c>
      <x:c r="E34" s="7" t="s">
        <x:v>96</x:v>
      </x:c>
      <x:c r="F34" s="5" t="s">
        <x:v>18</x:v>
      </x:c>
    </x:row>
    <x:row r="35" ht="20.100000381469727" customHeight="1">
      <x:c r="A35" s="2" t="s">
        <x:v>98</x:v>
      </x:c>
      <x:c r="B35" s="2" t="s">
        <x:v>45</x:v>
      </x:c>
      <x:c r="C35" s="2" t="s">
        <x:v>46</x:v>
      </x:c>
      <x:c r="D35" s="3">
        <x:v>11</x:v>
      </x:c>
      <x:c r="E35" s="4" t="s">
        <x:v>96</x:v>
      </x:c>
      <x:c r="F35" s="2" t="s">
        <x:v>68</x:v>
      </x:c>
    </x:row>
    <x:row r="36" ht="20.100000381469727" customHeight="1">
      <x:c r="A36" s="2" t="s">
        <x:v>99</x:v>
      </x:c>
      <x:c r="B36" s="2" t="s">
        <x:v>53</x:v>
      </x:c>
      <x:c r="C36" s="2" t="s">
        <x:v>54</x:v>
      </x:c>
      <x:c r="D36" s="3">
        <x:v>4</x:v>
      </x:c>
      <x:c r="E36" s="4" t="s">
        <x:v>100</x:v>
      </x:c>
      <x:c r="F36" s="2" t="s">
        <x:v>14</x:v>
      </x:c>
    </x:row>
    <x:row r="37" ht="20.100000381469727" customHeight="1">
      <x:c r="A37" s="5" t="s">
        <x:v>101</x:v>
      </x:c>
      <x:c r="B37" s="5" t="s">
        <x:v>102</x:v>
      </x:c>
      <x:c r="C37" s="5" t="s">
        <x:v>103</x:v>
      </x:c>
      <x:c r="D37" s="6">
        <x:v>9</x:v>
      </x:c>
      <x:c r="E37" s="7" t="s">
        <x:v>100</x:v>
      </x:c>
      <x:c r="F37" s="5" t="s">
        <x:v>18</x:v>
      </x:c>
    </x:row>
    <x:row r="38" ht="20.100000381469727" customHeight="1">
      <x:c r="A38" s="2" t="s">
        <x:v>104</x:v>
      </x:c>
      <x:c r="B38" s="2" t="s">
        <x:v>105</x:v>
      </x:c>
      <x:c r="C38" s="2" t="s">
        <x:v>106</x:v>
      </x:c>
      <x:c r="D38" s="3">
        <x:v>7</x:v>
      </x:c>
      <x:c r="E38" s="4" t="s">
        <x:v>100</x:v>
      </x:c>
      <x:c r="F38" s="2" t="s">
        <x:v>10</x:v>
      </x:c>
    </x:row>
    <x:row r="39" ht="20.100000381469727" customHeight="1">
      <x:c r="A39" s="2" t="s">
        <x:v>107</x:v>
      </x:c>
      <x:c r="B39" s="2" t="s">
        <x:v>56</x:v>
      </x:c>
      <x:c r="C39" s="2" t="s">
        <x:v>57</x:v>
      </x:c>
      <x:c r="D39" s="3">
        <x:v>3</x:v>
      </x:c>
      <x:c r="E39" s="4" t="s">
        <x:v>108</x:v>
      </x:c>
      <x:c r="F39" s="2" t="s">
        <x:v>10</x:v>
      </x:c>
    </x:row>
    <x:row r="40" ht="20.100000381469727" customHeight="1">
      <x:c r="A40" s="11" t="s">
        <x:v>109</x:v>
      </x:c>
      <x:c r="B40" s="11" t="s">
        <x:v>16</x:v>
      </x:c>
      <x:c r="C40" s="11" t="s">
        <x:v>17</x:v>
      </x:c>
      <x:c r="D40" s="12">
        <x:v>8</x:v>
      </x:c>
      <x:c r="E40" s="13" t="s">
        <x:v>108</x:v>
      </x:c>
      <x:c r="F40" s="11" t="s">
        <x:v>37</x:v>
      </x:c>
    </x:row>
    <x:row r="41" ht="20.100000381469727" customHeight="1">
      <x:c r="A41" s="5" t="s">
        <x:v>110</x:v>
      </x:c>
      <x:c r="B41" s="5" t="s">
        <x:v>111</x:v>
      </x:c>
      <x:c r="C41" s="5" t="s">
        <x:v>112</x:v>
      </x:c>
      <x:c r="D41" s="6">
        <x:v>6</x:v>
      </x:c>
      <x:c r="E41" s="7" t="s">
        <x:v>108</x:v>
      </x:c>
      <x:c r="F41" s="5" t="s">
        <x:v>18</x:v>
      </x:c>
    </x:row>
    <x:row r="42" ht="20.100000381469727" customHeight="1">
      <x:c r="A42" s="2" t="s">
        <x:v>113</x:v>
      </x:c>
      <x:c r="B42" s="2" t="s">
        <x:v>60</x:v>
      </x:c>
      <x:c r="C42" s="2" t="s">
        <x:v>25</x:v>
      </x:c>
      <x:c r="D42" s="3">
        <x:v>10</x:v>
      </x:c>
      <x:c r="E42" s="4" t="s">
        <x:v>114</x:v>
      </x:c>
      <x:c r="F42" s="2" t="s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5"/>
  </x:sheetPr>
  <x:sheetViews>
    <x:sheetView showGridLines="0" workbookViewId="0"/>
  </x:sheetViews>
  <x:sheetFormatPr defaultColWidth="8.7109375" defaultRowHeight="15"/>
  <x:cols>
    <x:col min="1" max="2" width="14" customWidth="1"/>
    <x:col min="3" max="3" width="16" customWidth="1"/>
    <x:col min="4" max="4" width="15" customWidth="1"/>
    <x:col min="5" max="5" width="14" customWidth="1"/>
    <x:col min="6" max="6" width="34" customWidth="1"/>
    <x:col min="7" max="7" width="28" customWidth="1"/>
  </x:cols>
  <x:sheetData>
    <x:row r="1" ht="27.950000762939453" customHeight="1">
      <x:c r="A1" s="1" t="s">
        <x:v>115</x:v>
      </x:c>
      <x:c r="B1" s="1" t="s">
        <x:v>0</x:v>
      </x:c>
      <x:c r="C1" s="1" t="s">
        <x:v>1</x:v>
      </x:c>
      <x:c r="D1" s="1" t="s">
        <x:v>116</x:v>
      </x:c>
      <x:c r="E1" s="1" t="s">
        <x:v>117</x:v>
      </x:c>
      <x:c r="F1" s="1" t="s">
        <x:v>118</x:v>
      </x:c>
      <x:c r="G1" s="1" t="s">
        <x:v>119</x:v>
      </x:c>
    </x:row>
    <x:row r="2" ht="21" customHeight="1">
      <x:c r="A2" s="2" t="s">
        <x:v>120</x:v>
      </x:c>
      <x:c r="B2" s="2" t="s">
        <x:v>6</x:v>
      </x:c>
      <x:c r="C2" s="2" t="s">
        <x:v>7</x:v>
      </x:c>
      <x:c r="D2" s="3">
        <x:v>12</x:v>
      </x:c>
      <x:c r="E2" s="4" t="s">
        <x:v>22</x:v>
      </x:c>
      <x:c r="F2" s="2"/>
      <x:c r="G2" s="2" t="str">
        <x:f>IF(COUNTIF('Order Data'!$A$2:$A$42,B2)=0,"Unmatched (Phantom Order ID)","Matched")</x:f>
        <x:v>Matched</x:v>
      </x:c>
    </x:row>
    <x:row r="3" ht="21" customHeight="1">
      <x:c r="A3" s="2" t="s">
        <x:v>121</x:v>
      </x:c>
      <x:c r="B3" s="2" t="s">
        <x:v>11</x:v>
      </x:c>
      <x:c r="C3" s="2" t="s">
        <x:v>122</x:v>
      </x:c>
      <x:c r="D3" s="3">
        <x:v>8</x:v>
      </x:c>
      <x:c r="E3" s="4" t="s">
        <x:v>22</x:v>
      </x:c>
      <x:c r="F3" s="2"/>
      <x:c r="G3" s="2" t="str">
        <x:f>IF(COUNTIF('Order Data'!$A$2:$A$42,B3)=0,"Unmatched (Phantom Order ID)","Matched")</x:f>
        <x:v>Matched</x:v>
      </x:c>
    </x:row>
    <x:row r="4" ht="21" customHeight="1">
      <x:c r="A4" s="2" t="s">
        <x:v>123</x:v>
      </x:c>
      <x:c r="B4" s="2" t="s">
        <x:v>23</x:v>
      </x:c>
      <x:c r="C4" s="2" t="s">
        <x:v>60</x:v>
      </x:c>
      <x:c r="D4" s="3">
        <x:v>15</x:v>
      </x:c>
      <x:c r="E4" s="4" t="s">
        <x:v>33</x:v>
      </x:c>
      <x:c r="F4" s="2"/>
      <x:c r="G4" s="2" t="str">
        <x:f>IF(COUNTIF('Order Data'!$A$2:$A$42,B4)=0,"Unmatched (Phantom Order ID)","Matched")</x:f>
        <x:v>Matched</x:v>
      </x:c>
    </x:row>
    <x:row r="5" ht="21" customHeight="1">
      <x:c r="A5" s="2" t="s">
        <x:v>124</x:v>
      </x:c>
      <x:c r="B5" s="2" t="s">
        <x:v>38</x:v>
      </x:c>
      <x:c r="C5" s="2" t="s">
        <x:v>7</x:v>
      </x:c>
      <x:c r="D5" s="3">
        <x:v>4</x:v>
      </x:c>
      <x:c r="E5" s="4" t="s">
        <x:v>42</x:v>
      </x:c>
      <x:c r="F5" s="2"/>
      <x:c r="G5" s="2" t="str">
        <x:f>IF(COUNTIF('Order Data'!$A$2:$A$42,B5)=0,"Unmatched (Phantom Order ID)","Matched")</x:f>
        <x:v>Matched</x:v>
      </x:c>
    </x:row>
    <x:row r="6" ht="21" customHeight="1">
      <x:c r="A6" s="2" t="s">
        <x:v>125</x:v>
      </x:c>
      <x:c r="B6" s="2" t="s">
        <x:v>44</x:v>
      </x:c>
      <x:c r="C6" s="2" t="s">
        <x:v>45</x:v>
      </x:c>
      <x:c r="D6" s="3">
        <x:v>9</x:v>
      </x:c>
      <x:c r="E6" s="4" t="s">
        <x:v>51</x:v>
      </x:c>
      <x:c r="F6" s="2"/>
      <x:c r="G6" s="2" t="str">
        <x:f>IF(COUNTIF('Order Data'!$A$2:$A$42,B6)=0,"Unmatched (Phantom Order ID)","Matched")</x:f>
        <x:v>Matched</x:v>
      </x:c>
    </x:row>
    <x:row r="7" ht="21" customHeight="1">
      <x:c r="A7" s="2" t="s">
        <x:v>126</x:v>
      </x:c>
      <x:c r="B7" s="2" t="s">
        <x:v>47</x:v>
      </x:c>
      <x:c r="C7" s="2" t="s">
        <x:v>48</x:v>
      </x:c>
      <x:c r="D7" s="3">
        <x:v>6</x:v>
      </x:c>
      <x:c r="E7" s="4" t="s">
        <x:v>51</x:v>
      </x:c>
      <x:c r="F7" s="2" t="s">
        <x:v>127</x:v>
      </x:c>
      <x:c r="G7" s="2" t="str">
        <x:f>IF(COUNTIF('Order Data'!$A$2:$A$42,B7)=0,"Unmatched (Phantom Order ID)","Matched")</x:f>
        <x:v>Matched</x:v>
      </x:c>
    </x:row>
    <x:row r="8" ht="21" customHeight="1">
      <x:c r="A8" s="2" t="s">
        <x:v>128</x:v>
      </x:c>
      <x:c r="B8" s="2" t="s">
        <x:v>52</x:v>
      </x:c>
      <x:c r="C8" s="2" t="s">
        <x:v>53</x:v>
      </x:c>
      <x:c r="D8" s="3">
        <x:v>5</x:v>
      </x:c>
      <x:c r="E8" s="4" t="s">
        <x:v>61</x:v>
      </x:c>
      <x:c r="F8" s="2"/>
      <x:c r="G8" s="2" t="str">
        <x:f>IF(COUNTIF('Order Data'!$A$2:$A$42,B8)=0,"Unmatched (Phantom Order ID)","Matched")</x:f>
        <x:v>Matched</x:v>
      </x:c>
    </x:row>
    <x:row r="9" ht="21" customHeight="1">
      <x:c r="A9" s="2" t="s">
        <x:v>129</x:v>
      </x:c>
      <x:c r="B9" s="2" t="s">
        <x:v>59</x:v>
      </x:c>
      <x:c r="C9" s="2" t="s">
        <x:v>24</x:v>
      </x:c>
      <x:c r="D9" s="3">
        <x:v>13</x:v>
      </x:c>
      <x:c r="E9" s="4" t="s">
        <x:v>67</x:v>
      </x:c>
      <x:c r="F9" s="2"/>
      <x:c r="G9" s="2" t="str">
        <x:f>IF(COUNTIF('Order Data'!$A$2:$A$42,B9)=0,"Unmatched (Phantom Order ID)","Matched")</x:f>
        <x:v>Matched</x:v>
      </x:c>
    </x:row>
    <x:row r="10" ht="21" customHeight="1">
      <x:c r="A10" s="2" t="s">
        <x:v>130</x:v>
      </x:c>
      <x:c r="B10" s="2" t="s">
        <x:v>63</x:v>
      </x:c>
      <x:c r="C10" s="2" t="s">
        <x:v>16</x:v>
      </x:c>
      <x:c r="D10" s="3">
        <x:v>6</x:v>
      </x:c>
      <x:c r="E10" s="4" t="s">
        <x:v>67</x:v>
      </x:c>
      <x:c r="F10" s="2"/>
      <x:c r="G10" s="2" t="str">
        <x:f>IF(COUNTIF('Order Data'!$A$2:$A$42,B10)=0,"Unmatched (Phantom Order ID)","Matched")</x:f>
        <x:v>Matched</x:v>
      </x:c>
    </x:row>
    <x:row r="11" ht="21" customHeight="1">
      <x:c r="A11" s="2" t="s">
        <x:v>131</x:v>
      </x:c>
      <x:c r="B11" s="2" t="s">
        <x:v>64</x:v>
      </x:c>
      <x:c r="C11" s="2" t="s">
        <x:v>65</x:v>
      </x:c>
      <x:c r="D11" s="3">
        <x:v>14</x:v>
      </x:c>
      <x:c r="E11" s="4" t="s">
        <x:v>74</x:v>
      </x:c>
      <x:c r="F11" s="2"/>
      <x:c r="G11" s="2" t="str">
        <x:f>IF(COUNTIF('Order Data'!$A$2:$A$42,B11)=0,"Unmatched (Phantom Order ID)","Matched")</x:f>
        <x:v>Matched</x:v>
      </x:c>
    </x:row>
    <x:row r="12" ht="21" customHeight="1">
      <x:c r="A12" s="2" t="s">
        <x:v>132</x:v>
      </x:c>
      <x:c r="B12" s="2" t="s">
        <x:v>72</x:v>
      </x:c>
      <x:c r="C12" s="2" t="s">
        <x:v>31</x:v>
      </x:c>
      <x:c r="D12" s="3">
        <x:v>8</x:v>
      </x:c>
      <x:c r="E12" s="4" t="s">
        <x:v>74</x:v>
      </x:c>
      <x:c r="F12" s="2"/>
      <x:c r="G12" s="2" t="str">
        <x:f>IF(COUNTIF('Order Data'!$A$2:$A$42,B12)=0,"Unmatched (Phantom Order ID)","Matched")</x:f>
        <x:v>Matched</x:v>
      </x:c>
    </x:row>
    <x:row r="13" ht="21" customHeight="1">
      <x:c r="A13" s="2" t="s">
        <x:v>133</x:v>
      </x:c>
      <x:c r="B13" s="2" t="s">
        <x:v>73</x:v>
      </x:c>
      <x:c r="C13" s="2" t="s">
        <x:v>28</x:v>
      </x:c>
      <x:c r="D13" s="3">
        <x:v>10</x:v>
      </x:c>
      <x:c r="E13" s="4" t="s">
        <x:v>80</x:v>
      </x:c>
      <x:c r="F13" s="2" t="s">
        <x:v>134</x:v>
      </x:c>
      <x:c r="G13" s="2" t="str">
        <x:f>IF(COUNTIF('Order Data'!$A$2:$A$42,B13)=0,"Unmatched (Phantom Order ID)","Matched")</x:f>
        <x:v>Matched</x:v>
      </x:c>
    </x:row>
    <x:row r="14" ht="21" customHeight="1">
      <x:c r="A14" s="2" t="s">
        <x:v>135</x:v>
      </x:c>
      <x:c r="B14" s="2" t="s">
        <x:v>78</x:v>
      </x:c>
      <x:c r="C14" s="2" t="s">
        <x:v>35</x:v>
      </x:c>
      <x:c r="D14" s="3">
        <x:v>9</x:v>
      </x:c>
      <x:c r="E14" s="4" t="s">
        <x:v>80</x:v>
      </x:c>
      <x:c r="F14" s="2"/>
      <x:c r="G14" s="2" t="str">
        <x:f>IF(COUNTIF('Order Data'!$A$2:$A$42,B14)=0,"Unmatched (Phantom Order ID)","Matched")</x:f>
        <x:v>Matched</x:v>
      </x:c>
    </x:row>
    <x:row r="15" ht="21" customHeight="1">
      <x:c r="A15" s="2" t="s">
        <x:v>136</x:v>
      </x:c>
      <x:c r="B15" s="2" t="s">
        <x:v>87</x:v>
      </x:c>
      <x:c r="C15" s="2" t="s">
        <x:v>88</x:v>
      </x:c>
      <x:c r="D15" s="3">
        <x:v>6</x:v>
      </x:c>
      <x:c r="E15" s="4" t="s">
        <x:v>96</x:v>
      </x:c>
      <x:c r="F15" s="2"/>
      <x:c r="G15" s="2" t="str">
        <x:f>IF(COUNTIF('Order Data'!$A$2:$A$42,B15)=0,"Unmatched (Phantom Order ID)","Matched")</x:f>
        <x:v>Matched</x:v>
      </x:c>
    </x:row>
    <x:row r="16" ht="21" customHeight="1">
      <x:c r="A16" s="2" t="s">
        <x:v>137</x:v>
      </x:c>
      <x:c r="B16" s="2" t="s">
        <x:v>92</x:v>
      </x:c>
      <x:c r="C16" s="2" t="s">
        <x:v>40</x:v>
      </x:c>
      <x:c r="D16" s="3">
        <x:v>2</x:v>
      </x:c>
      <x:c r="E16" s="4" t="s">
        <x:v>96</x:v>
      </x:c>
      <x:c r="F16" s="2"/>
      <x:c r="G16" s="2" t="str">
        <x:f>IF(COUNTIF('Order Data'!$A$2:$A$42,B16)=0,"Unmatched (Phantom Order ID)","Matched")</x:f>
        <x:v>Matched</x:v>
      </x:c>
    </x:row>
    <x:row r="17" ht="21" customHeight="1">
      <x:c r="A17" s="2" t="s">
        <x:v>138</x:v>
      </x:c>
      <x:c r="B17" s="2" t="s">
        <x:v>93</x:v>
      </x:c>
      <x:c r="C17" s="2" t="s">
        <x:v>94</x:v>
      </x:c>
      <x:c r="D17" s="3">
        <x:v>18</x:v>
      </x:c>
      <x:c r="E17" s="4" t="s">
        <x:v>100</x:v>
      </x:c>
      <x:c r="F17" s="2"/>
      <x:c r="G17" s="2" t="str">
        <x:f>IF(COUNTIF('Order Data'!$A$2:$A$42,B17)=0,"Unmatched (Phantom Order ID)","Matched")</x:f>
        <x:v>Matched</x:v>
      </x:c>
    </x:row>
    <x:row r="18" ht="21" customHeight="1">
      <x:c r="A18" s="2" t="s">
        <x:v>139</x:v>
      </x:c>
      <x:c r="B18" s="2" t="s">
        <x:v>98</x:v>
      </x:c>
      <x:c r="C18" s="2" t="s">
        <x:v>45</x:v>
      </x:c>
      <x:c r="D18" s="3">
        <x:v>11</x:v>
      </x:c>
      <x:c r="E18" s="4" t="s">
        <x:v>100</x:v>
      </x:c>
      <x:c r="F18" s="2"/>
      <x:c r="G18" s="2" t="str">
        <x:f>IF(COUNTIF('Order Data'!$A$2:$A$42,B18)=0,"Unmatched (Phantom Order ID)","Matched")</x:f>
        <x:v>Matched</x:v>
      </x:c>
    </x:row>
    <x:row r="19" ht="21" customHeight="1">
      <x:c r="A19" s="2" t="s">
        <x:v>140</x:v>
      </x:c>
      <x:c r="B19" s="2" t="s">
        <x:v>104</x:v>
      </x:c>
      <x:c r="C19" s="2" t="s">
        <x:v>105</x:v>
      </x:c>
      <x:c r="D19" s="3">
        <x:v>7</x:v>
      </x:c>
      <x:c r="E19" s="4" t="s">
        <x:v>108</x:v>
      </x:c>
      <x:c r="F19" s="2"/>
      <x:c r="G19" s="2" t="str">
        <x:f>IF(COUNTIF('Order Data'!$A$2:$A$42,B19)=0,"Unmatched (Phantom Order ID)","Matched")</x:f>
        <x:v>Matched</x:v>
      </x:c>
    </x:row>
    <x:row r="20" ht="21" customHeight="1">
      <x:c r="A20" s="2" t="s">
        <x:v>141</x:v>
      </x:c>
      <x:c r="B20" s="2" t="s">
        <x:v>107</x:v>
      </x:c>
      <x:c r="C20" s="2" t="s">
        <x:v>56</x:v>
      </x:c>
      <x:c r="D20" s="3">
        <x:v>3</x:v>
      </x:c>
      <x:c r="E20" s="4" t="s">
        <x:v>114</x:v>
      </x:c>
      <x:c r="F20" s="2"/>
      <x:c r="G20" s="2" t="str">
        <x:f>IF(COUNTIF('Order Data'!$A$2:$A$42,B20)=0,"Unmatched (Phantom Order ID)","Matched")</x:f>
        <x:v>Matched</x:v>
      </x:c>
    </x:row>
    <x:row r="21" ht="21" customHeight="1">
      <x:c r="A21" s="2" t="s">
        <x:v>142</x:v>
      </x:c>
      <x:c r="B21" s="2" t="s">
        <x:v>113</x:v>
      </x:c>
      <x:c r="C21" s="2" t="s">
        <x:v>24</x:v>
      </x:c>
      <x:c r="D21" s="3">
        <x:v>10</x:v>
      </x:c>
      <x:c r="E21" s="4" t="s">
        <x:v>143</x:v>
      </x:c>
      <x:c r="F21" s="2"/>
      <x:c r="G21" s="2" t="str">
        <x:f>IF(COUNTIF('Order Data'!$A$2:$A$42,B21)=0,"Unmatched (Phantom Order ID)","Matched")</x:f>
        <x:v>Matched</x:v>
      </x:c>
    </x:row>
    <x:row r="22" ht="21" customHeight="1">
      <x:c r="A22" s="2" t="s">
        <x:v>144</x:v>
      </x:c>
      <x:c r="B22" s="2" t="s">
        <x:v>38</x:v>
      </x:c>
      <x:c r="C22" s="2" t="s">
        <x:v>7</x:v>
      </x:c>
      <x:c r="D22" s="3">
        <x:v>4</x:v>
      </x:c>
      <x:c r="E22" s="4" t="s">
        <x:v>42</x:v>
      </x:c>
      <x:c r="F22" s="2" t="s">
        <x:v>145</x:v>
      </x:c>
      <x:c r="G22" s="2" t="str">
        <x:f>IF(COUNTIF('Order Data'!$A$2:$A$42,B22)=0,"Unmatched (Phantom Order ID)","Matched")</x:f>
        <x:v>Matched</x:v>
      </x:c>
    </x:row>
    <x:row r="23" ht="21" customHeight="1">
      <x:c r="A23" s="17" t="s">
        <x:v>146</x:v>
      </x:c>
      <x:c r="B23" s="17" t="s">
        <x:v>147</x:v>
      </x:c>
      <x:c r="C23" s="17" t="s">
        <x:v>12</x:v>
      </x:c>
      <x:c r="D23" s="18">
        <x:v>5</x:v>
      </x:c>
      <x:c r="E23" s="19" t="s">
        <x:v>143</x:v>
      </x:c>
      <x:c r="F23" s="17" t="s">
        <x:v>148</x:v>
      </x:c>
      <x:c r="G23" s="17" t="str">
        <x:f>IF(COUNTIF('Order Data'!$A$2:$A$42,B23)=0,"Unmatched (Phantom Order ID)","Matched")</x:f>
        <x:v>Unmatched (Phantom Order ID)</x:v>
      </x:c>
    </x:row>
    <x:row r="24" ht="21" customHeight="1">
      <x:c r="A24" s="2" t="s">
        <x:v>149</x:v>
      </x:c>
      <x:c r="B24" s="2" t="s">
        <x:v>50</x:v>
      </x:c>
      <x:c r="C24" s="2" t="s">
        <x:v>12</x:v>
      </x:c>
      <x:c r="D24" s="3">
        <x:v>11</x:v>
      </x:c>
      <x:c r="E24" s="4" t="s">
        <x:v>108</x:v>
      </x:c>
      <x:c r="F24" s="2"/>
      <x:c r="G24" s="2" t="str">
        <x:f>IF(COUNTIF('Order Data'!$A$2:$A$42,B24)=0,"Unmatched (Phantom Order ID)","Matched")</x:f>
        <x:v>Matched</x:v>
      </x:c>
    </x:row>
    <x:row r="25" ht="21" customHeight="1">
      <x:c r="A25" s="2" t="s">
        <x:v>150</x:v>
      </x:c>
      <x:c r="B25" s="2" t="s">
        <x:v>55</x:v>
      </x:c>
      <x:c r="C25" s="2" t="s">
        <x:v>56</x:v>
      </x:c>
      <x:c r="D25" s="3">
        <x:v>2</x:v>
      </x:c>
      <x:c r="E25" s="4" t="s">
        <x:v>151</x:v>
      </x:c>
      <x:c r="F25" s="2" t="s">
        <x:v>152</x:v>
      </x:c>
      <x:c r="G25" s="2" t="str">
        <x:f>IF(COUNTIF('Order Data'!$A$2:$A$42,B25)=0,"Unmatched (Phantom Order ID)","Matched")</x:f>
        <x:v>Matched</x:v>
      </x:c>
    </x:row>
    <x:row r="26" ht="21" customHeight="1">
      <x:c r="A26" s="2" t="s">
        <x:v>153</x:v>
      </x:c>
      <x:c r="B26" s="2" t="s">
        <x:v>91</x:v>
      </x:c>
      <x:c r="C26" s="2" t="s">
        <x:v>12</x:v>
      </x:c>
      <x:c r="D26" s="3">
        <x:v>3</x:v>
      </x:c>
      <x:c r="E26" s="4" t="s">
        <x:v>151</x:v>
      </x:c>
      <x:c r="F26" s="2" t="s">
        <x:v>152</x:v>
      </x:c>
      <x:c r="G26" s="2" t="str">
        <x:f>IF(COUNTIF('Order Data'!$A$2:$A$42,B26)=0,"Unmatched (Phantom Order ID)","Matched")</x:f>
        <x:v>Matched</x:v>
      </x:c>
    </x:row>
  </x:sheetData>
  <x:conditionalFormatting sqref="A2:G26">
    <x:cfRule type="expression" dxfId="8" priority="2">
      <x:formula>$G2="Unmatched (Phantom Order ID)"</x:formula>
    </x:cfRule>
    <x:cfRule type="expression" dxfId="7" priority="3">
      <x:formula>$G2="Matched"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6"/>
  </x:sheetPr>
  <x:sheetViews>
    <x:sheetView showGridLines="0" workbookViewId="0"/>
  </x:sheetViews>
  <x:sheetFormatPr defaultColWidth="8.7109375" defaultRowHeight="15"/>
  <x:cols>
    <x:col min="1" max="1" width="14" customWidth="1"/>
    <x:col min="2" max="2" width="16" customWidth="1"/>
    <x:col min="3" max="3" width="29" customWidth="1"/>
    <x:col min="4" max="4" width="13" customWidth="1"/>
    <x:col min="5" max="5" width="15" customWidth="1"/>
    <x:col min="6" max="7" width="18" customWidth="1"/>
    <x:col min="8" max="9" width="15" customWidth="1"/>
    <x:col min="10" max="10" width="13" customWidth="1"/>
    <x:col min="11" max="11" width="48" customWidth="1"/>
    <x:col min="12" max="12" width="35" customWidth="1"/>
    <x:col min="14" max="14" width="6" customWidth="1"/>
    <x:col min="15" max="15" width="20" customWidth="1"/>
  </x:cols>
  <x:sheetData>
    <x:row r="1" ht="38.09999847412109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5</x:v>
      </x:c>
      <x:c r="F1" s="1" t="s">
        <x:v>154</x:v>
      </x:c>
      <x:c r="G1" s="1" t="s">
        <x:v>155</x:v>
      </x:c>
      <x:c r="H1" s="1" t="s">
        <x:v>156</x:v>
      </x:c>
      <x:c r="I1" s="1" t="s">
        <x:v>116</x:v>
      </x:c>
      <x:c r="J1" s="1" t="s">
        <x:v>157</x:v>
      </x:c>
      <x:c r="K1" s="1" t="s">
        <x:v>158</x:v>
      </x:c>
      <x:c r="L1" s="1" t="s">
        <x:v>118</x:v>
      </x:c>
      <x:c r="N1" s="20" t="s">
        <x:v>159</x:v>
      </x:c>
      <x:c r="O1" s="21"/>
    </x:row>
    <x:row r="2" ht="21" customHeight="1">
      <x:c r="A2" s="2" t="str">
        <x:f>'Order Data'!A2</x:f>
        <x:v>ORD-1001</x:v>
      </x:c>
      <x:c r="B2" s="2" t="str">
        <x:f>'Order Data'!B2</x:f>
        <x:v>NHL-CW-001</x:v>
      </x:c>
      <x:c r="C2" s="2" t="str">
        <x:f>'Order Data'!C2</x:f>
        <x:v>Ceramic Mixing Bowl Set</x:v>
      </x:c>
      <x:c r="D2" s="3" t="n">
        <x:f>'Order Data'!D2</x:f>
        <x:v>12</x:v>
      </x:c>
      <x:c r="E2" s="2" t="str">
        <x:f>'Order Data'!F2</x:f>
        <x:v>Shipped</x:v>
      </x:c>
      <x:c r="F2" s="2" t="str">
        <x:f t="shared" ref="F2:F42" si="0">TRIM(UPPER(E2))</x:f>
        <x:v>SHIPPED</x:v>
      </x:c>
      <x:c r="G2" s="2" t="str">
        <x:f t="shared" ref="G2:G42" si="1">IF(COUNTIF($A$2:$A$42,A2)&gt;1,"Duplicate Order Entry","")</x:f>
      </x:c>
      <x:c r="H2" s="2" t="str">
        <x:f>IFERROR(IF(MATCH(A2,'Warehouse Data'!$B$2:$B$26,0)&gt;0,"Yes","No"),"No")</x:f>
        <x:v>Yes</x:v>
      </x:c>
      <x:c r="I2" s="3" t="n">
        <x:f>IFERROR(INDEX('Warehouse Data'!$D$2:$D$26,MATCH(A2,'Warehouse Data'!$B$2:$B$26,0)),"")</x:f>
        <x:v>12</x:v>
      </x:c>
      <x:c r="J2" s="2" t="str">
        <x:f t="shared" ref="J2:J42" si="2">IF(H2="No","N/A",IF(D2="","N/A",IF(D2=I2,"Match","Mismatch")))</x:f>
        <x:v>Match</x:v>
      </x:c>
      <x:c r="K2" s="2" t="str">
        <x:f t="shared" ref="K2:K42" si="3">IF(OR('Order Data'!D2="",D2=0),"Data Issue: Missing Order Quantity",IF(F2="CANCELLED","N/A - Order Cancelled",IF(AND(F2="SHIPPED",H2="No"),"Discrepancy: Shipped but No Dispatch Record (Traceability Gap)",IF(AND(F2="SHIPPED",H2="Yes",J2="Mismatch"),"Discrepancy: Quantity Mismatch",IF(AND(F2="SHIPPED",H2="Yes",J2="Match"),"OK - Verified",IF(AND(OR(F2="PROCESSING",F2="BACKORDERED"),H2="Yes"),"Discrepancy: Dispatched but Order Status Not Updated (Reverse Traceability Gap)",IF(OR(F2="PROCESSING",F2="BACKORDERED"),"N/A - Not Yet Shipped","Review Needed")))))))</x:f>
        <x:v>OK - Verified</x:v>
      </x:c>
      <x:c r="L2" s="2" t="str">
        <x:f>IFERROR(IF(INDEX('Warehouse Data'!$F$2:$F$26,MATCH(A2,'Warehouse Data'!$B$2:$B$26,0))=0,"",INDEX('Warehouse Data'!$F$2:$F$26,MATCH(A2,'Warehouse Data'!$B$2:$B$26,0))),"")</x:f>
      </x:c>
      <x:c r="N2" s="22" t="str">
        <x:f>""</x:f>
      </x:c>
      <x:c r="O2" s="23" t="s">
        <x:v>160</x:v>
      </x:c>
    </x:row>
    <x:row r="3" ht="21" customHeight="1">
      <x:c r="A3" s="2" t="str">
        <x:f>'Order Data'!A3</x:f>
        <x:v>ORD-1002</x:v>
      </x:c>
      <x:c r="B3" s="2" t="str">
        <x:f>'Order Data'!B3</x:f>
        <x:v>NHL-CW-002</x:v>
      </x:c>
      <x:c r="C3" s="2" t="str">
        <x:f>'Order Data'!C3</x:f>
        <x:v>Non-Stick Frying Pan 26cm</x:v>
      </x:c>
      <x:c r="D3" s="3" t="n">
        <x:f>'Order Data'!D3</x:f>
        <x:v>8</x:v>
      </x:c>
      <x:c r="E3" s="2" t="str">
        <x:f>'Order Data'!F3</x:f>
        <x:v>shipped</x:v>
      </x:c>
      <x:c r="F3" s="2" t="str">
        <x:f t="shared" si="0"/>
        <x:v>SHIPPED</x:v>
      </x:c>
      <x:c r="G3" s="2" t="str">
        <x:f t="shared" si="1"/>
      </x:c>
      <x:c r="H3" s="2" t="str">
        <x:f>IFERROR(IF(MATCH(A3,'Warehouse Data'!$B$2:$B$26,0)&gt;0,"Yes","No"),"No")</x:f>
        <x:v>Yes</x:v>
      </x:c>
      <x:c r="I3" s="3" t="n">
        <x:f>IFERROR(INDEX('Warehouse Data'!$D$2:$D$26,MATCH(A3,'Warehouse Data'!$B$2:$B$26,0)),"")</x:f>
        <x:v>8</x:v>
      </x:c>
      <x:c r="J3" s="2" t="str">
        <x:f t="shared" si="2"/>
        <x:v>Match</x:v>
      </x:c>
      <x:c r="K3" s="2" t="str">
        <x:f t="shared" si="3">IF(OR('Order Data'!D3="",D3=0),"Data Issue: Missing Order Quantity",IF(F3="CANCELLED","N/A - Order Cancelled",IF(AND(F3="SHIPPED",H3="No"),"Discrepancy: Shipped but No Dispatch Record (Traceability Gap)",IF(AND(F3="SHIPPED",H3="Yes",J3="Mismatch"),"Discrepancy: Quantity Mismatch",IF(AND(F3="SHIPPED",H3="Yes",J3="Match"),"OK - Verified",IF(AND(OR(F3="PROCESSING",F3="BACKORDERED"),H3="Yes"),"Discrepancy: Dispatched but Order Status Not Updated (Reverse Traceability Gap)",IF(OR(F3="PROCESSING",F3="BACKORDERED"),"N/A - Not Yet Shipped","Review Needed")))))))</x:f>
        <x:v>OK - Verified</x:v>
      </x:c>
      <x:c r="L3" s="2" t="str">
        <x:f>IFERROR(IF(INDEX('Warehouse Data'!$F$2:$F$26,MATCH(A3,'Warehouse Data'!$B$2:$B$26,0))=0,"",INDEX('Warehouse Data'!$F$2:$F$26,MATCH(A3,'Warehouse Data'!$B$2:$B$26,0))),"")</x:f>
      </x:c>
      <x:c r="N3" s="24" t="str">
        <x:f>""</x:f>
      </x:c>
      <x:c r="O3" s="25" t="s">
        <x:v>161</x:v>
      </x:c>
    </x:row>
    <x:row r="4" ht="21" customHeight="1">
      <x:c r="A4" s="5" t="str">
        <x:f>'Order Data'!A4</x:f>
        <x:v>ORD-1003</x:v>
      </x:c>
      <x:c r="B4" s="5" t="str">
        <x:f>'Order Data'!B4</x:f>
        <x:v>NHL-BD-010</x:v>
      </x:c>
      <x:c r="C4" s="5" t="str">
        <x:f>'Order Data'!C4</x:f>
        <x:v>Cotton Bedsheet Set Queen</x:v>
      </x:c>
      <x:c r="D4" s="6" t="n">
        <x:f>'Order Data'!D4</x:f>
        <x:v>5</x:v>
      </x:c>
      <x:c r="E4" s="5" t="str">
        <x:f>'Order Data'!F4</x:f>
        <x:v>Processing</x:v>
      </x:c>
      <x:c r="F4" s="5" t="str">
        <x:f t="shared" si="0"/>
        <x:v>PROCESSING</x:v>
      </x:c>
      <x:c r="G4" s="5" t="str">
        <x:f t="shared" si="1"/>
      </x:c>
      <x:c r="H4" s="5" t="str">
        <x:f>IFERROR(IF(MATCH(A4,'Warehouse Data'!$B$2:$B$26,0)&gt;0,"Yes","No"),"No")</x:f>
        <x:v>No</x:v>
      </x:c>
      <x:c r="I4" s="6" t="str">
        <x:f>IFERROR(INDEX('Warehouse Data'!$D$2:$D$26,MATCH(A4,'Warehouse Data'!$B$2:$B$26,0)),"")</x:f>
      </x:c>
      <x:c r="J4" s="5" t="str">
        <x:f t="shared" si="2"/>
        <x:v>N/A</x:v>
      </x:c>
      <x:c r="K4" s="5" t="str">
        <x:f t="shared" si="3">IF(OR('Order Data'!D4="",D4=0),"Data Issue: Missing Order Quantity",IF(F4="CANCELLED","N/A - Order Cancelled",IF(AND(F4="SHIPPED",H4="No"),"Discrepancy: Shipped but No Dispatch Record (Traceability Gap)",IF(AND(F4="SHIPPED",H4="Yes",J4="Mismatch"),"Discrepancy: Quantity Mismatch",IF(AND(F4="SHIPPED",H4="Yes",J4="Match"),"OK - Verified",IF(AND(OR(F4="PROCESSING",F4="BACKORDERED"),H4="Yes"),"Discrepancy: Dispatched but Order Status Not Updated (Reverse Traceability Gap)",IF(OR(F4="PROCESSING",F4="BACKORDERED"),"N/A - Not Yet Shipped","Review Needed")))))))</x:f>
        <x:v>N/A - Not Yet Shipped</x:v>
      </x:c>
      <x:c r="L4" s="5" t="str">
        <x:f>IFERROR(IF(INDEX('Warehouse Data'!$F$2:$F$26,MATCH(A4,'Warehouse Data'!$B$2:$B$26,0))=0,"",INDEX('Warehouse Data'!$F$2:$F$26,MATCH(A4,'Warehouse Data'!$B$2:$B$26,0))),"")</x:f>
      </x:c>
      <x:c r="N4" s="26" t="str">
        <x:f>""</x:f>
      </x:c>
      <x:c r="O4" s="27" t="s">
        <x:v>37</x:v>
      </x:c>
    </x:row>
    <x:row r="5" ht="21" customHeight="1">
      <x:c r="A5" s="17" t="str">
        <x:f>'Order Data'!A5</x:f>
        <x:v>ORD-1004</x:v>
      </x:c>
      <x:c r="B5" s="17" t="str">
        <x:f>'Order Data'!B5</x:f>
        <x:v>NHL-CW-003</x:v>
      </x:c>
      <x:c r="C5" s="17" t="str">
        <x:f>'Order Data'!C5</x:f>
        <x:v>Bamboo Cutting Board</x:v>
      </x:c>
      <x:c r="D5" s="18" t="n">
        <x:f>'Order Data'!D5</x:f>
        <x:v>20</x:v>
      </x:c>
      <x:c r="E5" s="17" t="str">
        <x:f>'Order Data'!F5</x:f>
        <x:v>Shipped</x:v>
      </x:c>
      <x:c r="F5" s="17" t="str">
        <x:f t="shared" si="0"/>
        <x:v>SHIPPED</x:v>
      </x:c>
      <x:c r="G5" s="17" t="str">
        <x:f t="shared" si="1"/>
      </x:c>
      <x:c r="H5" s="17" t="str">
        <x:f>IFERROR(IF(MATCH(A5,'Warehouse Data'!$B$2:$B$26,0)&gt;0,"Yes","No"),"No")</x:f>
        <x:v>No</x:v>
      </x:c>
      <x:c r="I5" s="18" t="str">
        <x:f>IFERROR(INDEX('Warehouse Data'!$D$2:$D$26,MATCH(A5,'Warehouse Data'!$B$2:$B$26,0)),"")</x:f>
      </x:c>
      <x:c r="J5" s="17" t="str">
        <x:f t="shared" si="2"/>
        <x:v>N/A</x:v>
      </x:c>
      <x:c r="K5" s="17" t="str">
        <x:f t="shared" si="3">IF(OR('Order Data'!D5="",D5=0),"Data Issue: Missing Order Quantity",IF(F5="CANCELLED","N/A - Order Cancelled",IF(AND(F5="SHIPPED",H5="No"),"Discrepancy: Shipped but No Dispatch Record (Traceability Gap)",IF(AND(F5="SHIPPED",H5="Yes",J5="Mismatch"),"Discrepancy: Quantity Mismatch",IF(AND(F5="SHIPPED",H5="Yes",J5="Match"),"OK - Verified",IF(AND(OR(F5="PROCESSING",F5="BACKORDERED"),H5="Yes"),"Discrepancy: Dispatched but Order Status Not Updated (Reverse Traceability Gap)",IF(OR(F5="PROCESSING",F5="BACKORDERED"),"N/A - Not Yet Shipped","Review Needed")))))))</x:f>
        <x:v>Discrepancy: Shipped but No Dispatch Record (Traceability Gap)</x:v>
      </x:c>
      <x:c r="L5" s="17" t="str">
        <x:f>IFERROR(IF(INDEX('Warehouse Data'!$F$2:$F$26,MATCH(A5,'Warehouse Data'!$B$2:$B$26,0))=0,"",INDEX('Warehouse Data'!$F$2:$F$26,MATCH(A5,'Warehouse Data'!$B$2:$B$26,0))),"")</x:f>
      </x:c>
      <x:c r="N5" s="28" t="str">
        <x:f>""</x:f>
      </x:c>
      <x:c r="O5" s="29" t="s">
        <x:v>162</x:v>
      </x:c>
    </x:row>
    <x:row r="6" ht="21" customHeight="1">
      <x:c r="A6" s="2" t="str">
        <x:f>'Order Data'!A6</x:f>
        <x:v>ORD-1005</x:v>
      </x:c>
      <x:c r="B6" s="2" t="str">
        <x:f>'Order Data'!B6</x:f>
        <x:v>nhl-st-005</x:v>
      </x:c>
      <x:c r="C6" s="2" t="str">
        <x:f>'Order Data'!C6</x:f>
        <x:v>Stackable Storage Box 20L</x:v>
      </x:c>
      <x:c r="D6" s="3" t="n">
        <x:f>'Order Data'!D6</x:f>
        <x:v>15</x:v>
      </x:c>
      <x:c r="E6" s="2" t="str">
        <x:f>'Order Data'!F6</x:f>
        <x:v>SHIPPED </x:v>
      </x:c>
      <x:c r="F6" s="2" t="str">
        <x:f t="shared" si="0"/>
        <x:v>SHIPPED</x:v>
      </x:c>
      <x:c r="G6" s="2" t="str">
        <x:f t="shared" si="1"/>
      </x:c>
      <x:c r="H6" s="2" t="str">
        <x:f>IFERROR(IF(MATCH(A6,'Warehouse Data'!$B$2:$B$26,0)&gt;0,"Yes","No"),"No")</x:f>
        <x:v>Yes</x:v>
      </x:c>
      <x:c r="I6" s="3" t="n">
        <x:f>IFERROR(INDEX('Warehouse Data'!$D$2:$D$26,MATCH(A6,'Warehouse Data'!$B$2:$B$26,0)),"")</x:f>
        <x:v>15</x:v>
      </x:c>
      <x:c r="J6" s="2" t="str">
        <x:f t="shared" si="2"/>
        <x:v>Match</x:v>
      </x:c>
      <x:c r="K6" s="2" t="str">
        <x:f t="shared" si="3">IF(OR('Order Data'!D6="",D6=0),"Data Issue: Missing Order Quantity",IF(F6="CANCELLED","N/A - Order Cancelled",IF(AND(F6="SHIPPED",H6="No"),"Discrepancy: Shipped but No Dispatch Record (Traceability Gap)",IF(AND(F6="SHIPPED",H6="Yes",J6="Mismatch"),"Discrepancy: Quantity Mismatch",IF(AND(F6="SHIPPED",H6="Yes",J6="Match"),"OK - Verified",IF(AND(OR(F6="PROCESSING",F6="BACKORDERED"),H6="Yes"),"Discrepancy: Dispatched but Order Status Not Updated (Reverse Traceability Gap)",IF(OR(F6="PROCESSING",F6="BACKORDERED"),"N/A - Not Yet Shipped","Review Needed")))))))</x:f>
        <x:v>OK - Verified</x:v>
      </x:c>
      <x:c r="L6" s="2" t="str">
        <x:f>IFERROR(IF(INDEX('Warehouse Data'!$F$2:$F$26,MATCH(A6,'Warehouse Data'!$B$2:$B$26,0))=0,"",INDEX('Warehouse Data'!$F$2:$F$26,MATCH(A6,'Warehouse Data'!$B$2:$B$26,0))),"")</x:f>
      </x:c>
      <x:c r="N6" s="30" t="str">
        <x:f>""</x:f>
      </x:c>
      <x:c r="O6" s="31" t="s">
        <x:v>163</x:v>
      </x:c>
    </x:row>
    <x:row r="7" ht="21" customHeight="1">
      <x:c r="A7" s="5" t="str">
        <x:f>'Order Data'!A7</x:f>
        <x:v>ORD-1006</x:v>
      </x:c>
      <x:c r="B7" s="5" t="str">
        <x:f>'Order Data'!B7</x:f>
        <x:v>NHL-BD-011</x:v>
      </x:c>
      <x:c r="C7" s="5" t="str">
        <x:f>'Order Data'!C7</x:f>
        <x:v>Microfiber Pillowcase Pair</x:v>
      </x:c>
      <x:c r="D7" s="6" t="n">
        <x:f>'Order Data'!D7</x:f>
        <x:v>10</x:v>
      </x:c>
      <x:c r="E7" s="5" t="str">
        <x:f>'Order Data'!F7</x:f>
        <x:v>Processing</x:v>
      </x:c>
      <x:c r="F7" s="5" t="str">
        <x:f t="shared" si="0"/>
        <x:v>PROCESSING</x:v>
      </x:c>
      <x:c r="G7" s="5" t="str">
        <x:f t="shared" si="1"/>
      </x:c>
      <x:c r="H7" s="5" t="str">
        <x:f>IFERROR(IF(MATCH(A7,'Warehouse Data'!$B$2:$B$26,0)&gt;0,"Yes","No"),"No")</x:f>
        <x:v>No</x:v>
      </x:c>
      <x:c r="I7" s="6" t="str">
        <x:f>IFERROR(INDEX('Warehouse Data'!$D$2:$D$26,MATCH(A7,'Warehouse Data'!$B$2:$B$26,0)),"")</x:f>
      </x:c>
      <x:c r="J7" s="5" t="str">
        <x:f t="shared" si="2"/>
        <x:v>N/A</x:v>
      </x:c>
      <x:c r="K7" s="5" t="str">
        <x:f t="shared" si="3">IF(OR('Order Data'!D7="",D7=0),"Data Issue: Missing Order Quantity",IF(F7="CANCELLED","N/A - Order Cancelled",IF(AND(F7="SHIPPED",H7="No"),"Discrepancy: Shipped but No Dispatch Record (Traceability Gap)",IF(AND(F7="SHIPPED",H7="Yes",J7="Mismatch"),"Discrepancy: Quantity Mismatch",IF(AND(F7="SHIPPED",H7="Yes",J7="Match"),"OK - Verified",IF(AND(OR(F7="PROCESSING",F7="BACKORDERED"),H7="Yes"),"Discrepancy: Dispatched but Order Status Not Updated (Reverse Traceability Gap)",IF(OR(F7="PROCESSING",F7="BACKORDERED"),"N/A - Not Yet Shipped","Review Needed")))))))</x:f>
        <x:v>N/A - Not Yet Shipped</x:v>
      </x:c>
      <x:c r="L7" s="5" t="str">
        <x:f>IFERROR(IF(INDEX('Warehouse Data'!$F$2:$F$26,MATCH(A7,'Warehouse Data'!$B$2:$B$26,0))=0,"",INDEX('Warehouse Data'!$F$2:$F$26,MATCH(A7,'Warehouse Data'!$B$2:$B$26,0))),"")</x:f>
      </x:c>
      <x:c r="N7" s="32" t="str">
        <x:f>""</x:f>
      </x:c>
      <x:c r="O7" s="33" t="s">
        <x:v>164</x:v>
      </x:c>
    </x:row>
    <x:row r="8" ht="21" customHeight="1">
      <x:c r="A8" s="46" t="str">
        <x:f>'Order Data'!A8</x:f>
        <x:v>ORD-1007</x:v>
      </x:c>
      <x:c r="B8" s="46" t="str">
        <x:f>'Order Data'!B8</x:f>
        <x:v>NHL-CW-004</x:v>
      </x:c>
      <x:c r="C8" s="46" t="str">
        <x:f>'Order Data'!C8</x:f>
        <x:v>Stainless Steel Kettle 1.5L</x:v>
      </x:c>
      <x:c r="D8" s="47" t="n">
        <x:f>'Order Data'!D8</x:f>
        <x:v>0</x:v>
      </x:c>
      <x:c r="E8" s="46" t="str">
        <x:f>'Order Data'!F8</x:f>
        <x:v>Shipped</x:v>
      </x:c>
      <x:c r="F8" s="46" t="str">
        <x:f t="shared" si="0"/>
        <x:v>SHIPPED</x:v>
      </x:c>
      <x:c r="G8" s="46" t="str">
        <x:f t="shared" si="1"/>
      </x:c>
      <x:c r="H8" s="46" t="str">
        <x:f>IFERROR(IF(MATCH(A8,'Warehouse Data'!$B$2:$B$26,0)&gt;0,"Yes","No"),"No")</x:f>
        <x:v>No</x:v>
      </x:c>
      <x:c r="I8" s="47" t="str">
        <x:f>IFERROR(INDEX('Warehouse Data'!$D$2:$D$26,MATCH(A8,'Warehouse Data'!$B$2:$B$26,0)),"")</x:f>
      </x:c>
      <x:c r="J8" s="46" t="str">
        <x:f t="shared" si="2"/>
        <x:v>N/A</x:v>
      </x:c>
      <x:c r="K8" s="46" t="str">
        <x:f t="shared" si="3">IF(OR('Order Data'!D8="",D8=0),"Data Issue: Missing Order Quantity",IF(F8="CANCELLED","N/A - Order Cancelled",IF(AND(F8="SHIPPED",H8="No"),"Discrepancy: Shipped but No Dispatch Record (Traceability Gap)",IF(AND(F8="SHIPPED",H8="Yes",J8="Mismatch"),"Discrepancy: Quantity Mismatch",IF(AND(F8="SHIPPED",H8="Yes",J8="Match"),"OK - Verified",IF(AND(OR(F8="PROCESSING",F8="BACKORDERED"),H8="Yes"),"Discrepancy: Dispatched but Order Status Not Updated (Reverse Traceability Gap)",IF(OR(F8="PROCESSING",F8="BACKORDERED"),"N/A - Not Yet Shipped","Review Needed")))))))</x:f>
        <x:v>Data Issue: Missing Order Quantity</x:v>
      </x:c>
      <x:c r="L8" s="46" t="str">
        <x:f>IFERROR(IF(INDEX('Warehouse Data'!$F$2:$F$26,MATCH(A8,'Warehouse Data'!$B$2:$B$26,0))=0,"",INDEX('Warehouse Data'!$F$2:$F$26,MATCH(A8,'Warehouse Data'!$B$2:$B$26,0))),"")</x:f>
      </x:c>
    </x:row>
    <x:row r="9" ht="21" customHeight="1">
      <x:c r="A9" s="11" t="str">
        <x:f>'Order Data'!A9</x:f>
        <x:v>ORD-1008</x:v>
      </x:c>
      <x:c r="B9" s="11" t="str">
        <x:f>'Order Data'!B9</x:f>
        <x:v>NHL-ST-006</x:v>
      </x:c>
      <x:c r="C9" s="11" t="str">
        <x:f>'Order Data'!C9</x:f>
        <x:v>Vacuum Storage Bag Set</x:v>
      </x:c>
      <x:c r="D9" s="12" t="n">
        <x:f>'Order Data'!D9</x:f>
        <x:v>6</x:v>
      </x:c>
      <x:c r="E9" s="11" t="str">
        <x:f>'Order Data'!F9</x:f>
        <x:v>Cancelled</x:v>
      </x:c>
      <x:c r="F9" s="11" t="str">
        <x:f t="shared" si="0"/>
        <x:v>CANCELLED</x:v>
      </x:c>
      <x:c r="G9" s="11" t="str">
        <x:f t="shared" si="1"/>
      </x:c>
      <x:c r="H9" s="11" t="str">
        <x:f>IFERROR(IF(MATCH(A9,'Warehouse Data'!$B$2:$B$26,0)&gt;0,"Yes","No"),"No")</x:f>
        <x:v>No</x:v>
      </x:c>
      <x:c r="I9" s="12" t="str">
        <x:f>IFERROR(INDEX('Warehouse Data'!$D$2:$D$26,MATCH(A9,'Warehouse Data'!$B$2:$B$26,0)),"")</x:f>
      </x:c>
      <x:c r="J9" s="11" t="str">
        <x:f t="shared" si="2"/>
        <x:v>N/A</x:v>
      </x:c>
      <x:c r="K9" s="11" t="str">
        <x:f t="shared" si="3">IF(OR('Order Data'!D9="",D9=0),"Data Issue: Missing Order Quantity",IF(F9="CANCELLED","N/A - Order Cancelled",IF(AND(F9="SHIPPED",H9="No"),"Discrepancy: Shipped but No Dispatch Record (Traceability Gap)",IF(AND(F9="SHIPPED",H9="Yes",J9="Mismatch"),"Discrepancy: Quantity Mismatch",IF(AND(F9="SHIPPED",H9="Yes",J9="Match"),"OK - Verified",IF(AND(OR(F9="PROCESSING",F9="BACKORDERED"),H9="Yes"),"Discrepancy: Dispatched but Order Status Not Updated (Reverse Traceability Gap)",IF(OR(F9="PROCESSING",F9="BACKORDERED"),"N/A - Not Yet Shipped","Review Needed")))))))</x:f>
        <x:v>N/A - Order Cancelled</x:v>
      </x:c>
      <x:c r="L9" s="11" t="str">
        <x:f>IFERROR(IF(INDEX('Warehouse Data'!$F$2:$F$26,MATCH(A9,'Warehouse Data'!$B$2:$B$26,0))=0,"",INDEX('Warehouse Data'!$F$2:$F$26,MATCH(A9,'Warehouse Data'!$B$2:$B$26,0))),"")</x:f>
      </x:c>
    </x:row>
    <x:row r="10" ht="21" customHeight="1">
      <x:c r="A10" s="2" t="str">
        <x:f>'Order Data'!A10</x:f>
        <x:v>ORD-1009</x:v>
      </x:c>
      <x:c r="B10" s="2" t="str">
        <x:f>'Order Data'!B10</x:f>
        <x:v>NHL-CW-001</x:v>
      </x:c>
      <x:c r="C10" s="2" t="str">
        <x:f>'Order Data'!C10</x:f>
        <x:v>Ceramic Mixing Bowl Set</x:v>
      </x:c>
      <x:c r="D10" s="3" t="n">
        <x:f>'Order Data'!D10</x:f>
        <x:v>4</x:v>
      </x:c>
      <x:c r="E10" s="2" t="str">
        <x:f>'Order Data'!F10</x:f>
        <x:v>Shipped</x:v>
      </x:c>
      <x:c r="F10" s="2" t="str">
        <x:f t="shared" si="0"/>
        <x:v>SHIPPED</x:v>
      </x:c>
      <x:c r="G10" s="2" t="str">
        <x:f t="shared" si="1"/>
        <x:v>Duplicate Order Entry</x:v>
      </x:c>
      <x:c r="H10" s="2" t="str">
        <x:f>IFERROR(IF(MATCH(A10,'Warehouse Data'!$B$2:$B$26,0)&gt;0,"Yes","No"),"No")</x:f>
        <x:v>Yes</x:v>
      </x:c>
      <x:c r="I10" s="3" t="n">
        <x:f>IFERROR(INDEX('Warehouse Data'!$D$2:$D$26,MATCH(A10,'Warehouse Data'!$B$2:$B$26,0)),"")</x:f>
        <x:v>4</x:v>
      </x:c>
      <x:c r="J10" s="2" t="str">
        <x:f t="shared" si="2"/>
        <x:v>Match</x:v>
      </x:c>
      <x:c r="K10" s="2" t="str">
        <x:f t="shared" si="3">IF(OR('Order Data'!D10="",D10=0),"Data Issue: Missing Order Quantity",IF(F10="CANCELLED","N/A - Order Cancelled",IF(AND(F10="SHIPPED",H10="No"),"Discrepancy: Shipped but No Dispatch Record (Traceability Gap)",IF(AND(F10="SHIPPED",H10="Yes",J10="Mismatch"),"Discrepancy: Quantity Mismatch",IF(AND(F10="SHIPPED",H10="Yes",J10="Match"),"OK - Verified",IF(AND(OR(F10="PROCESSING",F10="BACKORDERED"),H10="Yes"),"Discrepancy: Dispatched but Order Status Not Updated (Reverse Traceability Gap)",IF(OR(F10="PROCESSING",F10="BACKORDERED"),"N/A - Not Yet Shipped","Review Needed")))))))</x:f>
        <x:v>OK - Verified</x:v>
      </x:c>
      <x:c r="L10" s="2" t="str">
        <x:f>IFERROR(IF(INDEX('Warehouse Data'!$F$2:$F$26,MATCH(A10,'Warehouse Data'!$B$2:$B$26,0))=0,"",INDEX('Warehouse Data'!$F$2:$F$26,MATCH(A10,'Warehouse Data'!$B$2:$B$26,0))),"")</x:f>
      </x:c>
    </x:row>
    <x:row r="11" ht="21" customHeight="1">
      <x:c r="A11" s="5" t="str">
        <x:f>'Order Data'!A11</x:f>
        <x:v>ORD-1010</x:v>
      </x:c>
      <x:c r="B11" s="5" t="str">
        <x:f>'Order Data'!B11</x:f>
        <x:v>NHL-BD-012</x:v>
      </x:c>
      <x:c r="C11" s="5" t="str">
        <x:f>'Order Data'!C11</x:f>
        <x:v>Weighted Blanket 6kg</x:v>
      </x:c>
      <x:c r="D11" s="6" t="n">
        <x:f>'Order Data'!D11</x:f>
        <x:v>3</x:v>
      </x:c>
      <x:c r="E11" s="5" t="str">
        <x:f>'Order Data'!F11</x:f>
        <x:v>Processing </x:v>
      </x:c>
      <x:c r="F11" s="5" t="str">
        <x:f t="shared" si="0"/>
        <x:v>PROCESSING</x:v>
      </x:c>
      <x:c r="G11" s="5" t="str">
        <x:f t="shared" si="1"/>
      </x:c>
      <x:c r="H11" s="5" t="str">
        <x:f>IFERROR(IF(MATCH(A11,'Warehouse Data'!$B$2:$B$26,0)&gt;0,"Yes","No"),"No")</x:f>
        <x:v>No</x:v>
      </x:c>
      <x:c r="I11" s="6" t="str">
        <x:f>IFERROR(INDEX('Warehouse Data'!$D$2:$D$26,MATCH(A11,'Warehouse Data'!$B$2:$B$26,0)),"")</x:f>
      </x:c>
      <x:c r="J11" s="5" t="str">
        <x:f t="shared" si="2"/>
        <x:v>N/A</x:v>
      </x:c>
      <x:c r="K11" s="5" t="str">
        <x:f t="shared" si="3">IF(OR('Order Data'!D11="",D11=0),"Data Issue: Missing Order Quantity",IF(F11="CANCELLED","N/A - Order Cancelled",IF(AND(F11="SHIPPED",H11="No"),"Discrepancy: Shipped but No Dispatch Record (Traceability Gap)",IF(AND(F11="SHIPPED",H11="Yes",J11="Mismatch"),"Discrepancy: Quantity Mismatch",IF(AND(F11="SHIPPED",H11="Yes",J11="Match"),"OK - Verified",IF(AND(OR(F11="PROCESSING",F11="BACKORDERED"),H11="Yes"),"Discrepancy: Dispatched but Order Status Not Updated (Reverse Traceability Gap)",IF(OR(F11="PROCESSING",F11="BACKORDERED"),"N/A - Not Yet Shipped","Review Needed")))))))</x:f>
        <x:v>N/A - Not Yet Shipped</x:v>
      </x:c>
      <x:c r="L11" s="5" t="str">
        <x:f>IFERROR(IF(INDEX('Warehouse Data'!$F$2:$F$26,MATCH(A11,'Warehouse Data'!$B$2:$B$26,0))=0,"",INDEX('Warehouse Data'!$F$2:$F$26,MATCH(A11,'Warehouse Data'!$B$2:$B$26,0))),"")</x:f>
      </x:c>
    </x:row>
    <x:row r="12" ht="21" customHeight="1">
      <x:c r="A12" s="2" t="str">
        <x:f>'Order Data'!A12</x:f>
        <x:v>ORD-1011</x:v>
      </x:c>
      <x:c r="B12" s="2" t="str">
        <x:f>'Order Data'!B12</x:f>
        <x:v>NHL-CW-005</x:v>
      </x:c>
      <x:c r="C12" s="2" t="str">
        <x:f>'Order Data'!C12</x:f>
        <x:v>Glass Food Storage Set 5pc</x:v>
      </x:c>
      <x:c r="D12" s="3" t="n">
        <x:f>'Order Data'!D12</x:f>
        <x:v>9</x:v>
      </x:c>
      <x:c r="E12" s="2" t="str">
        <x:f>'Order Data'!F12</x:f>
        <x:v>Shipped</x:v>
      </x:c>
      <x:c r="F12" s="2" t="str">
        <x:f t="shared" si="0"/>
        <x:v>SHIPPED</x:v>
      </x:c>
      <x:c r="G12" s="2" t="str">
        <x:f t="shared" si="1"/>
      </x:c>
      <x:c r="H12" s="2" t="str">
        <x:f>IFERROR(IF(MATCH(A12,'Warehouse Data'!$B$2:$B$26,0)&gt;0,"Yes","No"),"No")</x:f>
        <x:v>Yes</x:v>
      </x:c>
      <x:c r="I12" s="3" t="n">
        <x:f>IFERROR(INDEX('Warehouse Data'!$D$2:$D$26,MATCH(A12,'Warehouse Data'!$B$2:$B$26,0)),"")</x:f>
        <x:v>9</x:v>
      </x:c>
      <x:c r="J12" s="2" t="str">
        <x:f t="shared" si="2"/>
        <x:v>Match</x:v>
      </x:c>
      <x:c r="K12" s="2" t="str">
        <x:f t="shared" si="3">IF(OR('Order Data'!D12="",D12=0),"Data Issue: Missing Order Quantity",IF(F12="CANCELLED","N/A - Order Cancelled",IF(AND(F12="SHIPPED",H12="No"),"Discrepancy: Shipped but No Dispatch Record (Traceability Gap)",IF(AND(F12="SHIPPED",H12="Yes",J12="Mismatch"),"Discrepancy: Quantity Mismatch",IF(AND(F12="SHIPPED",H12="Yes",J12="Match"),"OK - Verified",IF(AND(OR(F12="PROCESSING",F12="BACKORDERED"),H12="Yes"),"Discrepancy: Dispatched but Order Status Not Updated (Reverse Traceability Gap)",IF(OR(F12="PROCESSING",F12="BACKORDERED"),"N/A - Not Yet Shipped","Review Needed")))))))</x:f>
        <x:v>OK - Verified</x:v>
      </x:c>
      <x:c r="L12" s="2" t="str">
        <x:f>IFERROR(IF(INDEX('Warehouse Data'!$F$2:$F$26,MATCH(A12,'Warehouse Data'!$B$2:$B$26,0))=0,"",INDEX('Warehouse Data'!$F$2:$F$26,MATCH(A12,'Warehouse Data'!$B$2:$B$26,0))),"")</x:f>
      </x:c>
    </x:row>
    <x:row r="13" ht="21" customHeight="1">
      <x:c r="A13" s="8" t="str">
        <x:f>'Order Data'!A13</x:f>
        <x:v>ORD-1012</x:v>
      </x:c>
      <x:c r="B13" s="8" t="str">
        <x:f>'Order Data'!B13</x:f>
        <x:v>NHL-ST-007</x:v>
      </x:c>
      <x:c r="C13" s="8" t="str">
        <x:f>'Order Data'!C13</x:f>
        <x:v>Under-bed Storage Bin</x:v>
      </x:c>
      <x:c r="D13" s="9" t="n">
        <x:f>'Order Data'!D13</x:f>
        <x:v>7</x:v>
      </x:c>
      <x:c r="E13" s="8" t="str">
        <x:f>'Order Data'!F13</x:f>
        <x:v>shipped</x:v>
      </x:c>
      <x:c r="F13" s="8" t="str">
        <x:f t="shared" si="0"/>
        <x:v>SHIPPED</x:v>
      </x:c>
      <x:c r="G13" s="8" t="str">
        <x:f t="shared" si="1"/>
      </x:c>
      <x:c r="H13" s="8" t="str">
        <x:f>IFERROR(IF(MATCH(A13,'Warehouse Data'!$B$2:$B$26,0)&gt;0,"Yes","No"),"No")</x:f>
        <x:v>Yes</x:v>
      </x:c>
      <x:c r="I13" s="9" t="n">
        <x:f>IFERROR(INDEX('Warehouse Data'!$D$2:$D$26,MATCH(A13,'Warehouse Data'!$B$2:$B$26,0)),"")</x:f>
        <x:v>6</x:v>
      </x:c>
      <x:c r="J13" s="8" t="str">
        <x:f t="shared" si="2"/>
        <x:v>Mismatch</x:v>
      </x:c>
      <x:c r="K13" s="8" t="str">
        <x:f t="shared" si="3">IF(OR('Order Data'!D13="",D13=0),"Data Issue: Missing Order Quantity",IF(F13="CANCELLED","N/A - Order Cancelled",IF(AND(F13="SHIPPED",H13="No"),"Discrepancy: Shipped but No Dispatch Record (Traceability Gap)",IF(AND(F13="SHIPPED",H13="Yes",J13="Mismatch"),"Discrepancy: Quantity Mismatch",IF(AND(F13="SHIPPED",H13="Yes",J13="Match"),"OK - Verified",IF(AND(OR(F13="PROCESSING",F13="BACKORDERED"),H13="Yes"),"Discrepancy: Dispatched but Order Status Not Updated (Reverse Traceability Gap)",IF(OR(F13="PROCESSING",F13="BACKORDERED"),"N/A - Not Yet Shipped","Review Needed")))))))</x:f>
        <x:v>Discrepancy: Quantity Mismatch</x:v>
      </x:c>
      <x:c r="L13" s="8" t="str">
        <x:f>IFERROR(IF(INDEX('Warehouse Data'!$F$2:$F$26,MATCH(A13,'Warehouse Data'!$B$2:$B$26,0))=0,"",INDEX('Warehouse Data'!$F$2:$F$26,MATCH(A13,'Warehouse Data'!$B$2:$B$26,0))),"")</x:f>
        <x:v>qty short by 1, backfilled next batch</x:v>
      </x:c>
    </x:row>
    <x:row r="14" ht="21" customHeight="1">
      <x:c r="A14" s="14" t="str">
        <x:f>'Order Data'!A14</x:f>
        <x:v>ORD-1013</x:v>
      </x:c>
      <x:c r="B14" s="14" t="str">
        <x:f>'Order Data'!B14</x:f>
        <x:v>NHL-CW-002</x:v>
      </x:c>
      <x:c r="C14" s="14" t="str">
        <x:f>'Order Data'!C14</x:f>
        <x:v>Non-Stick Frying Pan 26cm</x:v>
      </x:c>
      <x:c r="D14" s="15" t="n">
        <x:f>'Order Data'!D14</x:f>
        <x:v>11</x:v>
      </x:c>
      <x:c r="E14" s="14" t="str">
        <x:f>'Order Data'!F14</x:f>
        <x:v>Processing</x:v>
      </x:c>
      <x:c r="F14" s="14" t="str">
        <x:f t="shared" si="0"/>
        <x:v>PROCESSING</x:v>
      </x:c>
      <x:c r="G14" s="14" t="str">
        <x:f t="shared" si="1"/>
      </x:c>
      <x:c r="H14" s="14" t="str">
        <x:f>IFERROR(IF(MATCH(A14,'Warehouse Data'!$B$2:$B$26,0)&gt;0,"Yes","No"),"No")</x:f>
        <x:v>Yes</x:v>
      </x:c>
      <x:c r="I14" s="15" t="n">
        <x:f>IFERROR(INDEX('Warehouse Data'!$D$2:$D$26,MATCH(A14,'Warehouse Data'!$B$2:$B$26,0)),"")</x:f>
        <x:v>11</x:v>
      </x:c>
      <x:c r="J14" s="14" t="str">
        <x:f t="shared" si="2"/>
        <x:v>Match</x:v>
      </x:c>
      <x:c r="K14" s="14" t="str">
        <x:f t="shared" si="3">IF(OR('Order Data'!D14="",D14=0),"Data Issue: Missing Order Quantity",IF(F14="CANCELLED","N/A - Order Cancelled",IF(AND(F14="SHIPPED",H14="No"),"Discrepancy: Shipped but No Dispatch Record (Traceability Gap)",IF(AND(F14="SHIPPED",H14="Yes",J14="Mismatch"),"Discrepancy: Quantity Mismatch",IF(AND(F14="SHIPPED",H14="Yes",J14="Match"),"OK - Verified",IF(AND(OR(F14="PROCESSING",F14="BACKORDERED"),H14="Yes"),"Discrepancy: Dispatched but Order Status Not Updated (Reverse Traceability Gap)",IF(OR(F14="PROCESSING",F14="BACKORDERED"),"N/A - Not Yet Shipped","Review Needed")))))))</x:f>
        <x:v>Discrepancy: Dispatched but Order Status Not Updated (Reverse Traceability Gap)</x:v>
      </x:c>
      <x:c r="L14" s="14" t="str">
        <x:f>IFERROR(IF(INDEX('Warehouse Data'!$F$2:$F$26,MATCH(A14,'Warehouse Data'!$B$2:$B$26,0))=0,"",INDEX('Warehouse Data'!$F$2:$F$26,MATCH(A14,'Warehouse Data'!$B$2:$B$26,0))),"")</x:f>
      </x:c>
    </x:row>
    <x:row r="15" ht="21" customHeight="1">
      <x:c r="A15" s="2" t="str">
        <x:f>'Order Data'!A15</x:f>
        <x:v>ORD-1014</x:v>
      </x:c>
      <x:c r="B15" s="2" t="str">
        <x:f>'Order Data'!B15</x:f>
        <x:v>NHL-BD-013</x:v>
      </x:c>
      <x:c r="C15" s="2" t="str">
        <x:f>'Order Data'!C15</x:f>
        <x:v>Waterproof Mattress Protector</x:v>
      </x:c>
      <x:c r="D15" s="3" t="n">
        <x:f>'Order Data'!D15</x:f>
        <x:v>5</x:v>
      </x:c>
      <x:c r="E15" s="2" t="str">
        <x:f>'Order Data'!F15</x:f>
        <x:v>Shipped</x:v>
      </x:c>
      <x:c r="F15" s="2" t="str">
        <x:f t="shared" si="0"/>
        <x:v>SHIPPED</x:v>
      </x:c>
      <x:c r="G15" s="2" t="str">
        <x:f t="shared" si="1"/>
      </x:c>
      <x:c r="H15" s="2" t="str">
        <x:f>IFERROR(IF(MATCH(A15,'Warehouse Data'!$B$2:$B$26,0)&gt;0,"Yes","No"),"No")</x:f>
        <x:v>Yes</x:v>
      </x:c>
      <x:c r="I15" s="3" t="n">
        <x:f>IFERROR(INDEX('Warehouse Data'!$D$2:$D$26,MATCH(A15,'Warehouse Data'!$B$2:$B$26,0)),"")</x:f>
        <x:v>5</x:v>
      </x:c>
      <x:c r="J15" s="2" t="str">
        <x:f t="shared" si="2"/>
        <x:v>Match</x:v>
      </x:c>
      <x:c r="K15" s="2" t="str">
        <x:f t="shared" si="3">IF(OR('Order Data'!D15="",D15=0),"Data Issue: Missing Order Quantity",IF(F15="CANCELLED","N/A - Order Cancelled",IF(AND(F15="SHIPPED",H15="No"),"Discrepancy: Shipped but No Dispatch Record (Traceability Gap)",IF(AND(F15="SHIPPED",H15="Yes",J15="Mismatch"),"Discrepancy: Quantity Mismatch",IF(AND(F15="SHIPPED",H15="Yes",J15="Match"),"OK - Verified",IF(AND(OR(F15="PROCESSING",F15="BACKORDERED"),H15="Yes"),"Discrepancy: Dispatched but Order Status Not Updated (Reverse Traceability Gap)",IF(OR(F15="PROCESSING",F15="BACKORDERED"),"N/A - Not Yet Shipped","Review Needed")))))))</x:f>
        <x:v>OK - Verified</x:v>
      </x:c>
      <x:c r="L15" s="2" t="str">
        <x:f>IFERROR(IF(INDEX('Warehouse Data'!$F$2:$F$26,MATCH(A15,'Warehouse Data'!$B$2:$B$26,0))=0,"",INDEX('Warehouse Data'!$F$2:$F$26,MATCH(A15,'Warehouse Data'!$B$2:$B$26,0))),"")</x:f>
      </x:c>
    </x:row>
    <x:row r="16" ht="21" customHeight="1">
      <x:c r="A16" s="14" t="str">
        <x:f>'Order Data'!A16</x:f>
        <x:v>ORD-1015</x:v>
      </x:c>
      <x:c r="B16" s="14" t="str">
        <x:f>'Order Data'!B16</x:f>
        <x:v>NHL-CW-006</x:v>
      </x:c>
      <x:c r="C16" s="14" t="str">
        <x:f>'Order Data'!C16</x:f>
        <x:v>Electric Hand Mixer</x:v>
      </x:c>
      <x:c r="D16" s="15" t="n">
        <x:f>'Order Data'!D16</x:f>
        <x:v>2</x:v>
      </x:c>
      <x:c r="E16" s="14" t="str">
        <x:f>'Order Data'!F16</x:f>
        <x:v>Backordered</x:v>
      </x:c>
      <x:c r="F16" s="14" t="str">
        <x:f t="shared" si="0"/>
        <x:v>BACKORDERED</x:v>
      </x:c>
      <x:c r="G16" s="14" t="str">
        <x:f t="shared" si="1"/>
      </x:c>
      <x:c r="H16" s="14" t="str">
        <x:f>IFERROR(IF(MATCH(A16,'Warehouse Data'!$B$2:$B$26,0)&gt;0,"Yes","No"),"No")</x:f>
        <x:v>Yes</x:v>
      </x:c>
      <x:c r="I16" s="15" t="n">
        <x:f>IFERROR(INDEX('Warehouse Data'!$D$2:$D$26,MATCH(A16,'Warehouse Data'!$B$2:$B$26,0)),"")</x:f>
        <x:v>2</x:v>
      </x:c>
      <x:c r="J16" s="14" t="str">
        <x:f t="shared" si="2"/>
        <x:v>Match</x:v>
      </x:c>
      <x:c r="K16" s="14" t="str">
        <x:f t="shared" si="3">IF(OR('Order Data'!D16="",D16=0),"Data Issue: Missing Order Quantity",IF(F16="CANCELLED","N/A - Order Cancelled",IF(AND(F16="SHIPPED",H16="No"),"Discrepancy: Shipped but No Dispatch Record (Traceability Gap)",IF(AND(F16="SHIPPED",H16="Yes",J16="Mismatch"),"Discrepancy: Quantity Mismatch",IF(AND(F16="SHIPPED",H16="Yes",J16="Match"),"OK - Verified",IF(AND(OR(F16="PROCESSING",F16="BACKORDERED"),H16="Yes"),"Discrepancy: Dispatched but Order Status Not Updated (Reverse Traceability Gap)",IF(OR(F16="PROCESSING",F16="BACKORDERED"),"N/A - Not Yet Shipped","Review Needed")))))))</x:f>
        <x:v>Discrepancy: Dispatched but Order Status Not Updated (Reverse Traceability Gap)</x:v>
      </x:c>
      <x:c r="L16" s="14" t="str">
        <x:f>IFERROR(IF(INDEX('Warehouse Data'!$F$2:$F$26,MATCH(A16,'Warehouse Data'!$B$2:$B$26,0))=0,"",INDEX('Warehouse Data'!$F$2:$F$26,MATCH(A16,'Warehouse Data'!$B$2:$B$26,0))),"")</x:f>
        <x:v>released from backorder</x:v>
      </x:c>
    </x:row>
    <x:row r="17" ht="21" customHeight="1">
      <x:c r="A17" s="2" t="str">
        <x:f>'Order Data'!A17</x:f>
        <x:v>ORD-1016</x:v>
      </x:c>
      <x:c r="B17" s="2" t="str">
        <x:f>'Order Data'!B17</x:f>
        <x:v>NHL-ST-005</x:v>
      </x:c>
      <x:c r="C17" s="2" t="str">
        <x:f>'Order Data'!C17</x:f>
        <x:v>Stackable Storage Box 20L</x:v>
      </x:c>
      <x:c r="D17" s="3" t="n">
        <x:f>'Order Data'!D17</x:f>
        <x:v>13</x:v>
      </x:c>
      <x:c r="E17" s="2" t="str">
        <x:f>'Order Data'!F17</x:f>
        <x:v>Shipped</x:v>
      </x:c>
      <x:c r="F17" s="2" t="str">
        <x:f t="shared" si="0"/>
        <x:v>SHIPPED</x:v>
      </x:c>
      <x:c r="G17" s="2" t="str">
        <x:f t="shared" si="1"/>
      </x:c>
      <x:c r="H17" s="2" t="str">
        <x:f>IFERROR(IF(MATCH(A17,'Warehouse Data'!$B$2:$B$26,0)&gt;0,"Yes","No"),"No")</x:f>
        <x:v>Yes</x:v>
      </x:c>
      <x:c r="I17" s="3" t="n">
        <x:f>IFERROR(INDEX('Warehouse Data'!$D$2:$D$26,MATCH(A17,'Warehouse Data'!$B$2:$B$26,0)),"")</x:f>
        <x:v>13</x:v>
      </x:c>
      <x:c r="J17" s="2" t="str">
        <x:f t="shared" si="2"/>
        <x:v>Match</x:v>
      </x:c>
      <x:c r="K17" s="2" t="str">
        <x:f t="shared" si="3">IF(OR('Order Data'!D17="",D17=0),"Data Issue: Missing Order Quantity",IF(F17="CANCELLED","N/A - Order Cancelled",IF(AND(F17="SHIPPED",H17="No"),"Discrepancy: Shipped but No Dispatch Record (Traceability Gap)",IF(AND(F17="SHIPPED",H17="Yes",J17="Mismatch"),"Discrepancy: Quantity Mismatch",IF(AND(F17="SHIPPED",H17="Yes",J17="Match"),"OK - Verified",IF(AND(OR(F17="PROCESSING",F17="BACKORDERED"),H17="Yes"),"Discrepancy: Dispatched but Order Status Not Updated (Reverse Traceability Gap)",IF(OR(F17="PROCESSING",F17="BACKORDERED"),"N/A - Not Yet Shipped","Review Needed")))))))</x:f>
        <x:v>OK - Verified</x:v>
      </x:c>
      <x:c r="L17" s="2" t="str">
        <x:f>IFERROR(IF(INDEX('Warehouse Data'!$F$2:$F$26,MATCH(A17,'Warehouse Data'!$B$2:$B$26,0))=0,"",INDEX('Warehouse Data'!$F$2:$F$26,MATCH(A17,'Warehouse Data'!$B$2:$B$26,0))),"")</x:f>
      </x:c>
    </x:row>
    <x:row r="18" ht="21" customHeight="1">
      <x:c r="A18" s="46" t="str">
        <x:f>'Order Data'!A18</x:f>
        <x:v>ORD-1017</x:v>
      </x:c>
      <x:c r="B18" s="46" t="str">
        <x:f>'Order Data'!B18</x:f>
        <x:v>NHL-CW-003</x:v>
      </x:c>
      <x:c r="C18" s="46" t="str">
        <x:f>'Order Data'!C18</x:f>
        <x:v>Bamboo Cutting Board</x:v>
      </x:c>
      <x:c r="D18" s="47" t="n">
        <x:f>'Order Data'!D18</x:f>
        <x:v>0</x:v>
      </x:c>
      <x:c r="E18" s="46" t="str">
        <x:f>'Order Data'!F18</x:f>
        <x:v>Processing</x:v>
      </x:c>
      <x:c r="F18" s="46" t="str">
        <x:f t="shared" si="0"/>
        <x:v>PROCESSING</x:v>
      </x:c>
      <x:c r="G18" s="46" t="str">
        <x:f t="shared" si="1"/>
      </x:c>
      <x:c r="H18" s="46" t="str">
        <x:f>IFERROR(IF(MATCH(A18,'Warehouse Data'!$B$2:$B$26,0)&gt;0,"Yes","No"),"No")</x:f>
        <x:v>No</x:v>
      </x:c>
      <x:c r="I18" s="47" t="str">
        <x:f>IFERROR(INDEX('Warehouse Data'!$D$2:$D$26,MATCH(A18,'Warehouse Data'!$B$2:$B$26,0)),"")</x:f>
      </x:c>
      <x:c r="J18" s="46" t="str">
        <x:f t="shared" si="2"/>
        <x:v>N/A</x:v>
      </x:c>
      <x:c r="K18" s="46" t="str">
        <x:f t="shared" si="3">IF(OR('Order Data'!D18="",D18=0),"Data Issue: Missing Order Quantity",IF(F18="CANCELLED","N/A - Order Cancelled",IF(AND(F18="SHIPPED",H18="No"),"Discrepancy: Shipped but No Dispatch Record (Traceability Gap)",IF(AND(F18="SHIPPED",H18="Yes",J18="Mismatch"),"Discrepancy: Quantity Mismatch",IF(AND(F18="SHIPPED",H18="Yes",J18="Match"),"OK - Verified",IF(AND(OR(F18="PROCESSING",F18="BACKORDERED"),H18="Yes"),"Discrepancy: Dispatched but Order Status Not Updated (Reverse Traceability Gap)",IF(OR(F18="PROCESSING",F18="BACKORDERED"),"N/A - Not Yet Shipped","Review Needed")))))))</x:f>
        <x:v>Data Issue: Missing Order Quantity</x:v>
      </x:c>
      <x:c r="L18" s="46" t="str">
        <x:f>IFERROR(IF(INDEX('Warehouse Data'!$F$2:$F$26,MATCH(A18,'Warehouse Data'!$B$2:$B$26,0))=0,"",INDEX('Warehouse Data'!$F$2:$F$26,MATCH(A18,'Warehouse Data'!$B$2:$B$26,0))),"")</x:f>
      </x:c>
    </x:row>
    <x:row r="19" ht="21" customHeight="1">
      <x:c r="A19" s="2" t="str">
        <x:f>'Order Data'!A19</x:f>
        <x:v>ORD-1018</x:v>
      </x:c>
      <x:c r="B19" s="2" t="str">
        <x:f>'Order Data'!B19</x:f>
        <x:v>NHL-BD-010</x:v>
      </x:c>
      <x:c r="C19" s="2" t="str">
        <x:f>'Order Data'!C19</x:f>
        <x:v>Cotton Bedsheet Set Queen</x:v>
      </x:c>
      <x:c r="D19" s="3" t="n">
        <x:f>'Order Data'!D19</x:f>
        <x:v>6</x:v>
      </x:c>
      <x:c r="E19" s="2" t="str">
        <x:f>'Order Data'!F19</x:f>
        <x:v>Shipped</x:v>
      </x:c>
      <x:c r="F19" s="2" t="str">
        <x:f t="shared" si="0"/>
        <x:v>SHIPPED</x:v>
      </x:c>
      <x:c r="G19" s="2" t="str">
        <x:f t="shared" si="1"/>
      </x:c>
      <x:c r="H19" s="2" t="str">
        <x:f>IFERROR(IF(MATCH(A19,'Warehouse Data'!$B$2:$B$26,0)&gt;0,"Yes","No"),"No")</x:f>
        <x:v>Yes</x:v>
      </x:c>
      <x:c r="I19" s="3" t="n">
        <x:f>IFERROR(INDEX('Warehouse Data'!$D$2:$D$26,MATCH(A19,'Warehouse Data'!$B$2:$B$26,0)),"")</x:f>
        <x:v>6</x:v>
      </x:c>
      <x:c r="J19" s="2" t="str">
        <x:f t="shared" si="2"/>
        <x:v>Match</x:v>
      </x:c>
      <x:c r="K19" s="2" t="str">
        <x:f t="shared" si="3">IF(OR('Order Data'!D19="",D19=0),"Data Issue: Missing Order Quantity",IF(F19="CANCELLED","N/A - Order Cancelled",IF(AND(F19="SHIPPED",H19="No"),"Discrepancy: Shipped but No Dispatch Record (Traceability Gap)",IF(AND(F19="SHIPPED",H19="Yes",J19="Mismatch"),"Discrepancy: Quantity Mismatch",IF(AND(F19="SHIPPED",H19="Yes",J19="Match"),"OK - Verified",IF(AND(OR(F19="PROCESSING",F19="BACKORDERED"),H19="Yes"),"Discrepancy: Dispatched but Order Status Not Updated (Reverse Traceability Gap)",IF(OR(F19="PROCESSING",F19="BACKORDERED"),"N/A - Not Yet Shipped","Review Needed")))))))</x:f>
        <x:v>OK - Verified</x:v>
      </x:c>
      <x:c r="L19" s="2" t="str">
        <x:f>IFERROR(IF(INDEX('Warehouse Data'!$F$2:$F$26,MATCH(A19,'Warehouse Data'!$B$2:$B$26,0))=0,"",INDEX('Warehouse Data'!$F$2:$F$26,MATCH(A19,'Warehouse Data'!$B$2:$B$26,0))),"")</x:f>
      </x:c>
    </x:row>
    <x:row r="20" ht="21" customHeight="1">
      <x:c r="A20" s="2" t="str">
        <x:f>'Order Data'!A20</x:f>
        <x:v>ORD-1019</x:v>
      </x:c>
      <x:c r="B20" s="2" t="str">
        <x:f>'Order Data'!B20</x:f>
        <x:v>NHL-CW-007</x:v>
      </x:c>
      <x:c r="C20" s="2" t="str">
        <x:f>'Order Data'!C20</x:f>
        <x:v>Silicone Baking Mat Set</x:v>
      </x:c>
      <x:c r="D20" s="3" t="n">
        <x:f>'Order Data'!D20</x:f>
        <x:v>14</x:v>
      </x:c>
      <x:c r="E20" s="2" t="str">
        <x:f>'Order Data'!F20</x:f>
        <x:v>Shipped </x:v>
      </x:c>
      <x:c r="F20" s="2" t="str">
        <x:f t="shared" si="0"/>
        <x:v>SHIPPED</x:v>
      </x:c>
      <x:c r="G20" s="2" t="str">
        <x:f t="shared" si="1"/>
      </x:c>
      <x:c r="H20" s="2" t="str">
        <x:f>IFERROR(IF(MATCH(A20,'Warehouse Data'!$B$2:$B$26,0)&gt;0,"Yes","No"),"No")</x:f>
        <x:v>Yes</x:v>
      </x:c>
      <x:c r="I20" s="3" t="n">
        <x:f>IFERROR(INDEX('Warehouse Data'!$D$2:$D$26,MATCH(A20,'Warehouse Data'!$B$2:$B$26,0)),"")</x:f>
        <x:v>14</x:v>
      </x:c>
      <x:c r="J20" s="2" t="str">
        <x:f t="shared" si="2"/>
        <x:v>Match</x:v>
      </x:c>
      <x:c r="K20" s="2" t="str">
        <x:f t="shared" si="3">IF(OR('Order Data'!D20="",D20=0),"Data Issue: Missing Order Quantity",IF(F20="CANCELLED","N/A - Order Cancelled",IF(AND(F20="SHIPPED",H20="No"),"Discrepancy: Shipped but No Dispatch Record (Traceability Gap)",IF(AND(F20="SHIPPED",H20="Yes",J20="Mismatch"),"Discrepancy: Quantity Mismatch",IF(AND(F20="SHIPPED",H20="Yes",J20="Match"),"OK - Verified",IF(AND(OR(F20="PROCESSING",F20="BACKORDERED"),H20="Yes"),"Discrepancy: Dispatched but Order Status Not Updated (Reverse Traceability Gap)",IF(OR(F20="PROCESSING",F20="BACKORDERED"),"N/A - Not Yet Shipped","Review Needed")))))))</x:f>
        <x:v>OK - Verified</x:v>
      </x:c>
      <x:c r="L20" s="2" t="str">
        <x:f>IFERROR(IF(INDEX('Warehouse Data'!$F$2:$F$26,MATCH(A20,'Warehouse Data'!$B$2:$B$26,0))=0,"",INDEX('Warehouse Data'!$F$2:$F$26,MATCH(A20,'Warehouse Data'!$B$2:$B$26,0))),"")</x:f>
      </x:c>
    </x:row>
    <x:row r="21" ht="21" customHeight="1">
      <x:c r="A21" s="5" t="str">
        <x:f>'Order Data'!A21</x:f>
        <x:v>ORD-1020</x:v>
      </x:c>
      <x:c r="B21" s="5" t="str">
        <x:f>'Order Data'!B21</x:f>
        <x:v>NHL-ST-008</x:v>
      </x:c>
      <x:c r="C21" s="5" t="str">
        <x:f>'Order Data'!C21</x:f>
        <x:v>Closet Organizer Rack</x:v>
      </x:c>
      <x:c r="D21" s="6" t="n">
        <x:f>'Order Data'!D21</x:f>
        <x:v>4</x:v>
      </x:c>
      <x:c r="E21" s="5" t="str">
        <x:f>'Order Data'!F21</x:f>
        <x:v>Processing</x:v>
      </x:c>
      <x:c r="F21" s="5" t="str">
        <x:f t="shared" si="0"/>
        <x:v>PROCESSING</x:v>
      </x:c>
      <x:c r="G21" s="5" t="str">
        <x:f t="shared" si="1"/>
      </x:c>
      <x:c r="H21" s="5" t="str">
        <x:f>IFERROR(IF(MATCH(A21,'Warehouse Data'!$B$2:$B$26,0)&gt;0,"Yes","No"),"No")</x:f>
        <x:v>No</x:v>
      </x:c>
      <x:c r="I21" s="6" t="str">
        <x:f>IFERROR(INDEX('Warehouse Data'!$D$2:$D$26,MATCH(A21,'Warehouse Data'!$B$2:$B$26,0)),"")</x:f>
      </x:c>
      <x:c r="J21" s="5" t="str">
        <x:f t="shared" si="2"/>
        <x:v>N/A</x:v>
      </x:c>
      <x:c r="K21" s="5" t="str">
        <x:f t="shared" si="3">IF(OR('Order Data'!D21="",D21=0),"Data Issue: Missing Order Quantity",IF(F21="CANCELLED","N/A - Order Cancelled",IF(AND(F21="SHIPPED",H21="No"),"Discrepancy: Shipped but No Dispatch Record (Traceability Gap)",IF(AND(F21="SHIPPED",H21="Yes",J21="Mismatch"),"Discrepancy: Quantity Mismatch",IF(AND(F21="SHIPPED",H21="Yes",J21="Match"),"OK - Verified",IF(AND(OR(F21="PROCESSING",F21="BACKORDERED"),H21="Yes"),"Discrepancy: Dispatched but Order Status Not Updated (Reverse Traceability Gap)",IF(OR(F21="PROCESSING",F21="BACKORDERED"),"N/A - Not Yet Shipped","Review Needed")))))))</x:f>
        <x:v>N/A - Not Yet Shipped</x:v>
      </x:c>
      <x:c r="L21" s="5" t="str">
        <x:f>IFERROR(IF(INDEX('Warehouse Data'!$F$2:$F$26,MATCH(A21,'Warehouse Data'!$B$2:$B$26,0))=0,"",INDEX('Warehouse Data'!$F$2:$F$26,MATCH(A21,'Warehouse Data'!$B$2:$B$26,0))),"")</x:f>
      </x:c>
    </x:row>
    <x:row r="22" ht="21" customHeight="1">
      <x:c r="A22" s="2" t="str">
        <x:f>'Order Data'!A22</x:f>
        <x:v>ORD-1021</x:v>
      </x:c>
      <x:c r="B22" s="2" t="str">
        <x:f>'Order Data'!B22</x:f>
        <x:v>NHL-CW-004</x:v>
      </x:c>
      <x:c r="C22" s="2" t="str">
        <x:f>'Order Data'!C22</x:f>
        <x:v>Stainless Steel Kettle 1.5L</x:v>
      </x:c>
      <x:c r="D22" s="3" t="n">
        <x:f>'Order Data'!D22</x:f>
        <x:v>8</x:v>
      </x:c>
      <x:c r="E22" s="2" t="str">
        <x:f>'Order Data'!F22</x:f>
        <x:v>Shipped</x:v>
      </x:c>
      <x:c r="F22" s="2" t="str">
        <x:f t="shared" si="0"/>
        <x:v>SHIPPED</x:v>
      </x:c>
      <x:c r="G22" s="2" t="str">
        <x:f t="shared" si="1"/>
      </x:c>
      <x:c r="H22" s="2" t="str">
        <x:f>IFERROR(IF(MATCH(A22,'Warehouse Data'!$B$2:$B$26,0)&gt;0,"Yes","No"),"No")</x:f>
        <x:v>Yes</x:v>
      </x:c>
      <x:c r="I22" s="3" t="n">
        <x:f>IFERROR(INDEX('Warehouse Data'!$D$2:$D$26,MATCH(A22,'Warehouse Data'!$B$2:$B$26,0)),"")</x:f>
        <x:v>8</x:v>
      </x:c>
      <x:c r="J22" s="2" t="str">
        <x:f t="shared" si="2"/>
        <x:v>Match</x:v>
      </x:c>
      <x:c r="K22" s="2" t="str">
        <x:f t="shared" si="3">IF(OR('Order Data'!D22="",D22=0),"Data Issue: Missing Order Quantity",IF(F22="CANCELLED","N/A - Order Cancelled",IF(AND(F22="SHIPPED",H22="No"),"Discrepancy: Shipped but No Dispatch Record (Traceability Gap)",IF(AND(F22="SHIPPED",H22="Yes",J22="Mismatch"),"Discrepancy: Quantity Mismatch",IF(AND(F22="SHIPPED",H22="Yes",J22="Match"),"OK - Verified",IF(AND(OR(F22="PROCESSING",F22="BACKORDERED"),H22="Yes"),"Discrepancy: Dispatched but Order Status Not Updated (Reverse Traceability Gap)",IF(OR(F22="PROCESSING",F22="BACKORDERED"),"N/A - Not Yet Shipped","Review Needed")))))))</x:f>
        <x:v>OK - Verified</x:v>
      </x:c>
      <x:c r="L22" s="2" t="str">
        <x:f>IFERROR(IF(INDEX('Warehouse Data'!$F$2:$F$26,MATCH(A22,'Warehouse Data'!$B$2:$B$26,0))=0,"",INDEX('Warehouse Data'!$F$2:$F$26,MATCH(A22,'Warehouse Data'!$B$2:$B$26,0))),"")</x:f>
      </x:c>
    </x:row>
    <x:row r="23" ht="21" customHeight="1">
      <x:c r="A23" s="8" t="str">
        <x:f>'Order Data'!A23</x:f>
        <x:v>ORD-1022</x:v>
      </x:c>
      <x:c r="B23" s="8" t="str">
        <x:f>'Order Data'!B23</x:f>
        <x:v>NHL-BD-011</x:v>
      </x:c>
      <x:c r="C23" s="8" t="str">
        <x:f>'Order Data'!C23</x:f>
        <x:v>Microfiber Pillowcase Pair</x:v>
      </x:c>
      <x:c r="D23" s="9" t="n">
        <x:f>'Order Data'!D23</x:f>
        <x:v>12</x:v>
      </x:c>
      <x:c r="E23" s="8" t="str">
        <x:f>'Order Data'!F23</x:f>
        <x:v>shipped</x:v>
      </x:c>
      <x:c r="F23" s="8" t="str">
        <x:f t="shared" si="0"/>
        <x:v>SHIPPED</x:v>
      </x:c>
      <x:c r="G23" s="8" t="str">
        <x:f t="shared" si="1"/>
      </x:c>
      <x:c r="H23" s="8" t="str">
        <x:f>IFERROR(IF(MATCH(A23,'Warehouse Data'!$B$2:$B$26,0)&gt;0,"Yes","No"),"No")</x:f>
        <x:v>Yes</x:v>
      </x:c>
      <x:c r="I23" s="9" t="n">
        <x:f>IFERROR(INDEX('Warehouse Data'!$D$2:$D$26,MATCH(A23,'Warehouse Data'!$B$2:$B$26,0)),"")</x:f>
        <x:v>10</x:v>
      </x:c>
      <x:c r="J23" s="8" t="str">
        <x:f t="shared" si="2"/>
        <x:v>Mismatch</x:v>
      </x:c>
      <x:c r="K23" s="8" t="str">
        <x:f t="shared" si="3">IF(OR('Order Data'!D23="",D23=0),"Data Issue: Missing Order Quantity",IF(F23="CANCELLED","N/A - Order Cancelled",IF(AND(F23="SHIPPED",H23="No"),"Discrepancy: Shipped but No Dispatch Record (Traceability Gap)",IF(AND(F23="SHIPPED",H23="Yes",J23="Mismatch"),"Discrepancy: Quantity Mismatch",IF(AND(F23="SHIPPED",H23="Yes",J23="Match"),"OK - Verified",IF(AND(OR(F23="PROCESSING",F23="BACKORDERED"),H23="Yes"),"Discrepancy: Dispatched but Order Status Not Updated (Reverse Traceability Gap)",IF(OR(F23="PROCESSING",F23="BACKORDERED"),"N/A - Not Yet Shipped","Review Needed")))))))</x:f>
        <x:v>Discrepancy: Quantity Mismatch</x:v>
      </x:c>
      <x:c r="L23" s="8" t="str">
        <x:f>IFERROR(IF(INDEX('Warehouse Data'!$F$2:$F$26,MATCH(A23,'Warehouse Data'!$B$2:$B$26,0))=0,"",INDEX('Warehouse Data'!$F$2:$F$26,MATCH(A23,'Warehouse Data'!$B$2:$B$26,0))),"")</x:f>
        <x:v>qty short by 2, item damaged in pick</x:v>
      </x:c>
    </x:row>
    <x:row r="24" ht="21" customHeight="1">
      <x:c r="A24" s="5" t="str">
        <x:f>'Order Data'!A24</x:f>
        <x:v>ORD-1023</x:v>
      </x:c>
      <x:c r="B24" s="5" t="str">
        <x:f>'Order Data'!B24</x:f>
        <x:v>NHL-CW-008</x:v>
      </x:c>
      <x:c r="C24" s="5" t="str">
        <x:f>'Order Data'!C24</x:f>
        <x:v>Cast Iron Skillet 30cm</x:v>
      </x:c>
      <x:c r="D24" s="6" t="n">
        <x:f>'Order Data'!D24</x:f>
        <x:v>5</x:v>
      </x:c>
      <x:c r="E24" s="5" t="str">
        <x:f>'Order Data'!F24</x:f>
        <x:v>Processing</x:v>
      </x:c>
      <x:c r="F24" s="5" t="str">
        <x:f t="shared" si="0"/>
        <x:v>PROCESSING</x:v>
      </x:c>
      <x:c r="G24" s="5" t="str">
        <x:f t="shared" si="1"/>
      </x:c>
      <x:c r="H24" s="5" t="str">
        <x:f>IFERROR(IF(MATCH(A24,'Warehouse Data'!$B$2:$B$26,0)&gt;0,"Yes","No"),"No")</x:f>
        <x:v>No</x:v>
      </x:c>
      <x:c r="I24" s="6" t="str">
        <x:f>IFERROR(INDEX('Warehouse Data'!$D$2:$D$26,MATCH(A24,'Warehouse Data'!$B$2:$B$26,0)),"")</x:f>
      </x:c>
      <x:c r="J24" s="5" t="str">
        <x:f t="shared" si="2"/>
        <x:v>N/A</x:v>
      </x:c>
      <x:c r="K24" s="5" t="str">
        <x:f t="shared" si="3">IF(OR('Order Data'!D24="",D24=0),"Data Issue: Missing Order Quantity",IF(F24="CANCELLED","N/A - Order Cancelled",IF(AND(F24="SHIPPED",H24="No"),"Discrepancy: Shipped but No Dispatch Record (Traceability Gap)",IF(AND(F24="SHIPPED",H24="Yes",J24="Mismatch"),"Discrepancy: Quantity Mismatch",IF(AND(F24="SHIPPED",H24="Yes",J24="Match"),"OK - Verified",IF(AND(OR(F24="PROCESSING",F24="BACKORDERED"),H24="Yes"),"Discrepancy: Dispatched but Order Status Not Updated (Reverse Traceability Gap)",IF(OR(F24="PROCESSING",F24="BACKORDERED"),"N/A - Not Yet Shipped","Review Needed")))))))</x:f>
        <x:v>N/A - Not Yet Shipped</x:v>
      </x:c>
      <x:c r="L24" s="5" t="str">
        <x:f>IFERROR(IF(INDEX('Warehouse Data'!$F$2:$F$26,MATCH(A24,'Warehouse Data'!$B$2:$B$26,0))=0,"",INDEX('Warehouse Data'!$F$2:$F$26,MATCH(A24,'Warehouse Data'!$B$2:$B$26,0))),"")</x:f>
      </x:c>
    </x:row>
    <x:row r="25" ht="21" customHeight="1">
      <x:c r="A25" s="2" t="str">
        <x:f>'Order Data'!A25</x:f>
        <x:v>ORD-1024</x:v>
      </x:c>
      <x:c r="B25" s="2" t="str">
        <x:f>'Order Data'!B25</x:f>
        <x:v>NHL-ST-006</x:v>
      </x:c>
      <x:c r="C25" s="2" t="str">
        <x:f>'Order Data'!C25</x:f>
        <x:v>Vacuum Storage Bag Set</x:v>
      </x:c>
      <x:c r="D25" s="3" t="n">
        <x:f>'Order Data'!D25</x:f>
        <x:v>9</x:v>
      </x:c>
      <x:c r="E25" s="2" t="str">
        <x:f>'Order Data'!F25</x:f>
        <x:v>Shipped</x:v>
      </x:c>
      <x:c r="F25" s="2" t="str">
        <x:f t="shared" si="0"/>
        <x:v>SHIPPED</x:v>
      </x:c>
      <x:c r="G25" s="2" t="str">
        <x:f t="shared" si="1"/>
      </x:c>
      <x:c r="H25" s="2" t="str">
        <x:f>IFERROR(IF(MATCH(A25,'Warehouse Data'!$B$2:$B$26,0)&gt;0,"Yes","No"),"No")</x:f>
        <x:v>Yes</x:v>
      </x:c>
      <x:c r="I25" s="3" t="n">
        <x:f>IFERROR(INDEX('Warehouse Data'!$D$2:$D$26,MATCH(A25,'Warehouse Data'!$B$2:$B$26,0)),"")</x:f>
        <x:v>9</x:v>
      </x:c>
      <x:c r="J25" s="2" t="str">
        <x:f t="shared" si="2"/>
        <x:v>Match</x:v>
      </x:c>
      <x:c r="K25" s="2" t="str">
        <x:f t="shared" si="3">IF(OR('Order Data'!D25="",D25=0),"Data Issue: Missing Order Quantity",IF(F25="CANCELLED","N/A - Order Cancelled",IF(AND(F25="SHIPPED",H25="No"),"Discrepancy: Shipped but No Dispatch Record (Traceability Gap)",IF(AND(F25="SHIPPED",H25="Yes",J25="Mismatch"),"Discrepancy: Quantity Mismatch",IF(AND(F25="SHIPPED",H25="Yes",J25="Match"),"OK - Verified",IF(AND(OR(F25="PROCESSING",F25="BACKORDERED"),H25="Yes"),"Discrepancy: Dispatched but Order Status Not Updated (Reverse Traceability Gap)",IF(OR(F25="PROCESSING",F25="BACKORDERED"),"N/A - Not Yet Shipped","Review Needed")))))))</x:f>
        <x:v>OK - Verified</x:v>
      </x:c>
      <x:c r="L25" s="2" t="str">
        <x:f>IFERROR(IF(INDEX('Warehouse Data'!$F$2:$F$26,MATCH(A25,'Warehouse Data'!$B$2:$B$26,0))=0,"",INDEX('Warehouse Data'!$F$2:$F$26,MATCH(A25,'Warehouse Data'!$B$2:$B$26,0))),"")</x:f>
      </x:c>
    </x:row>
    <x:row r="26" ht="21" customHeight="1">
      <x:c r="A26" s="11" t="str">
        <x:f>'Order Data'!A26</x:f>
        <x:v>ORD-1025</x:v>
      </x:c>
      <x:c r="B26" s="11" t="str">
        <x:f>'Order Data'!B26</x:f>
        <x:v>NHL-CW-001</x:v>
      </x:c>
      <x:c r="C26" s="11" t="str">
        <x:f>'Order Data'!C26</x:f>
        <x:v>Ceramic Mixing Bowl Set</x:v>
      </x:c>
      <x:c r="D26" s="12" t="n">
        <x:f>'Order Data'!D26</x:f>
        <x:v>7</x:v>
      </x:c>
      <x:c r="E26" s="11" t="str">
        <x:f>'Order Data'!F26</x:f>
        <x:v>Cancelled</x:v>
      </x:c>
      <x:c r="F26" s="11" t="str">
        <x:f t="shared" si="0"/>
        <x:v>CANCELLED</x:v>
      </x:c>
      <x:c r="G26" s="11" t="str">
        <x:f t="shared" si="1"/>
      </x:c>
      <x:c r="H26" s="11" t="str">
        <x:f>IFERROR(IF(MATCH(A26,'Warehouse Data'!$B$2:$B$26,0)&gt;0,"Yes","No"),"No")</x:f>
        <x:v>No</x:v>
      </x:c>
      <x:c r="I26" s="12" t="str">
        <x:f>IFERROR(INDEX('Warehouse Data'!$D$2:$D$26,MATCH(A26,'Warehouse Data'!$B$2:$B$26,0)),"")</x:f>
      </x:c>
      <x:c r="J26" s="11" t="str">
        <x:f t="shared" si="2"/>
        <x:v>N/A</x:v>
      </x:c>
      <x:c r="K26" s="11" t="str">
        <x:f t="shared" si="3">IF(OR('Order Data'!D26="",D26=0),"Data Issue: Missing Order Quantity",IF(F26="CANCELLED","N/A - Order Cancelled",IF(AND(F26="SHIPPED",H26="No"),"Discrepancy: Shipped but No Dispatch Record (Traceability Gap)",IF(AND(F26="SHIPPED",H26="Yes",J26="Mismatch"),"Discrepancy: Quantity Mismatch",IF(AND(F26="SHIPPED",H26="Yes",J26="Match"),"OK - Verified",IF(AND(OR(F26="PROCESSING",F26="BACKORDERED"),H26="Yes"),"Discrepancy: Dispatched but Order Status Not Updated (Reverse Traceability Gap)",IF(OR(F26="PROCESSING",F26="BACKORDERED"),"N/A - Not Yet Shipped","Review Needed")))))))</x:f>
        <x:v>N/A - Order Cancelled</x:v>
      </x:c>
      <x:c r="L26" s="11" t="str">
        <x:f>IFERROR(IF(INDEX('Warehouse Data'!$F$2:$F$26,MATCH(A26,'Warehouse Data'!$B$2:$B$26,0))=0,"",INDEX('Warehouse Data'!$F$2:$F$26,MATCH(A26,'Warehouse Data'!$B$2:$B$26,0))),"")</x:f>
      </x:c>
    </x:row>
    <x:row r="27" ht="21" customHeight="1">
      <x:c r="A27" s="2" t="str">
        <x:f>'Order Data'!A27</x:f>
        <x:v>ORD-1009</x:v>
      </x:c>
      <x:c r="B27" s="2" t="str">
        <x:f>'Order Data'!B27</x:f>
        <x:v>NHL-CW-001</x:v>
      </x:c>
      <x:c r="C27" s="2" t="str">
        <x:f>'Order Data'!C27</x:f>
        <x:v>Ceramic Mixing Bowl Set</x:v>
      </x:c>
      <x:c r="D27" s="3" t="n">
        <x:f>'Order Data'!D27</x:f>
        <x:v>4</x:v>
      </x:c>
      <x:c r="E27" s="2" t="str">
        <x:f>'Order Data'!F27</x:f>
        <x:v>Shipped</x:v>
      </x:c>
      <x:c r="F27" s="2" t="str">
        <x:f t="shared" si="0"/>
        <x:v>SHIPPED</x:v>
      </x:c>
      <x:c r="G27" s="2" t="str">
        <x:f t="shared" si="1"/>
        <x:v>Duplicate Order Entry</x:v>
      </x:c>
      <x:c r="H27" s="2" t="str">
        <x:f>IFERROR(IF(MATCH(A27,'Warehouse Data'!$B$2:$B$26,0)&gt;0,"Yes","No"),"No")</x:f>
        <x:v>Yes</x:v>
      </x:c>
      <x:c r="I27" s="3" t="n">
        <x:f>IFERROR(INDEX('Warehouse Data'!$D$2:$D$26,MATCH(A27,'Warehouse Data'!$B$2:$B$26,0)),"")</x:f>
        <x:v>4</x:v>
      </x:c>
      <x:c r="J27" s="2" t="str">
        <x:f t="shared" si="2"/>
        <x:v>Match</x:v>
      </x:c>
      <x:c r="K27" s="2" t="str">
        <x:f t="shared" si="3">IF(OR('Order Data'!D27="",D27=0),"Data Issue: Missing Order Quantity",IF(F27="CANCELLED","N/A - Order Cancelled",IF(AND(F27="SHIPPED",H27="No"),"Discrepancy: Shipped but No Dispatch Record (Traceability Gap)",IF(AND(F27="SHIPPED",H27="Yes",J27="Mismatch"),"Discrepancy: Quantity Mismatch",IF(AND(F27="SHIPPED",H27="Yes",J27="Match"),"OK - Verified",IF(AND(OR(F27="PROCESSING",F27="BACKORDERED"),H27="Yes"),"Discrepancy: Dispatched but Order Status Not Updated (Reverse Traceability Gap)",IF(OR(F27="PROCESSING",F27="BACKORDERED"),"N/A - Not Yet Shipped","Review Needed")))))))</x:f>
        <x:v>OK - Verified</x:v>
      </x:c>
      <x:c r="L27" s="2" t="str">
        <x:f>IFERROR(IF(INDEX('Warehouse Data'!$F$2:$F$26,MATCH(A27,'Warehouse Data'!$B$2:$B$26,0))=0,"",INDEX('Warehouse Data'!$F$2:$F$26,MATCH(A27,'Warehouse Data'!$B$2:$B$26,0))),"")</x:f>
      </x:c>
    </x:row>
    <x:row r="28" ht="21" customHeight="1">
      <x:c r="A28" s="17" t="str">
        <x:f>'Order Data'!A28</x:f>
        <x:v>ORD-1026</x:v>
      </x:c>
      <x:c r="B28" s="17" t="str">
        <x:f>'Order Data'!B28</x:f>
        <x:v>NHL-BD-014</x:v>
      </x:c>
      <x:c r="C28" s="17" t="str">
        <x:f>'Order Data'!C28</x:f>
        <x:v>Bamboo Laundry Hamper</x:v>
      </x:c>
      <x:c r="D28" s="18" t="n">
        <x:f>'Order Data'!D28</x:f>
        <x:v>10</x:v>
      </x:c>
      <x:c r="E28" s="17" t="str">
        <x:f>'Order Data'!F28</x:f>
        <x:v>Shipped</x:v>
      </x:c>
      <x:c r="F28" s="17" t="str">
        <x:f t="shared" si="0"/>
        <x:v>SHIPPED</x:v>
      </x:c>
      <x:c r="G28" s="17" t="str">
        <x:f t="shared" si="1"/>
      </x:c>
      <x:c r="H28" s="17" t="str">
        <x:f>IFERROR(IF(MATCH(A28,'Warehouse Data'!$B$2:$B$26,0)&gt;0,"Yes","No"),"No")</x:f>
        <x:v>No</x:v>
      </x:c>
      <x:c r="I28" s="18" t="str">
        <x:f>IFERROR(INDEX('Warehouse Data'!$D$2:$D$26,MATCH(A28,'Warehouse Data'!$B$2:$B$26,0)),"")</x:f>
      </x:c>
      <x:c r="J28" s="17" t="str">
        <x:f t="shared" si="2"/>
        <x:v>N/A</x:v>
      </x:c>
      <x:c r="K28" s="17" t="str">
        <x:f t="shared" si="3">IF(OR('Order Data'!D28="",D28=0),"Data Issue: Missing Order Quantity",IF(F28="CANCELLED","N/A - Order Cancelled",IF(AND(F28="SHIPPED",H28="No"),"Discrepancy: Shipped but No Dispatch Record (Traceability Gap)",IF(AND(F28="SHIPPED",H28="Yes",J28="Mismatch"),"Discrepancy: Quantity Mismatch",IF(AND(F28="SHIPPED",H28="Yes",J28="Match"),"OK - Verified",IF(AND(OR(F28="PROCESSING",F28="BACKORDERED"),H28="Yes"),"Discrepancy: Dispatched but Order Status Not Updated (Reverse Traceability Gap)",IF(OR(F28="PROCESSING",F28="BACKORDERED"),"N/A - Not Yet Shipped","Review Needed")))))))</x:f>
        <x:v>Discrepancy: Shipped but No Dispatch Record (Traceability Gap)</x:v>
      </x:c>
      <x:c r="L28" s="17" t="str">
        <x:f>IFERROR(IF(INDEX('Warehouse Data'!$F$2:$F$26,MATCH(A28,'Warehouse Data'!$B$2:$B$26,0))=0,"",INDEX('Warehouse Data'!$F$2:$F$26,MATCH(A28,'Warehouse Data'!$B$2:$B$26,0))),"")</x:f>
      </x:c>
    </x:row>
    <x:row r="29" ht="21" customHeight="1">
      <x:c r="A29" s="5" t="str">
        <x:f>'Order Data'!A29</x:f>
        <x:v>ORD-1027</x:v>
      </x:c>
      <x:c r="B29" s="5" t="str">
        <x:f>'Order Data'!B29</x:f>
        <x:v>NHL-CW-009</x:v>
      </x:c>
      <x:c r="C29" s="5" t="str">
        <x:f>'Order Data'!C29</x:f>
        <x:v>Digital Kitchen Scale</x:v>
      </x:c>
      <x:c r="D29" s="6" t="n">
        <x:f>'Order Data'!D29</x:f>
        <x:v>16</x:v>
      </x:c>
      <x:c r="E29" s="5" t="str">
        <x:f>'Order Data'!F29</x:f>
        <x:v>Processing</x:v>
      </x:c>
      <x:c r="F29" s="5" t="str">
        <x:f t="shared" si="0"/>
        <x:v>PROCESSING</x:v>
      </x:c>
      <x:c r="G29" s="5" t="str">
        <x:f t="shared" si="1"/>
      </x:c>
      <x:c r="H29" s="5" t="str">
        <x:f>IFERROR(IF(MATCH(A29,'Warehouse Data'!$B$2:$B$26,0)&gt;0,"Yes","No"),"No")</x:f>
        <x:v>No</x:v>
      </x:c>
      <x:c r="I29" s="6" t="str">
        <x:f>IFERROR(INDEX('Warehouse Data'!$D$2:$D$26,MATCH(A29,'Warehouse Data'!$B$2:$B$26,0)),"")</x:f>
      </x:c>
      <x:c r="J29" s="5" t="str">
        <x:f t="shared" si="2"/>
        <x:v>N/A</x:v>
      </x:c>
      <x:c r="K29" s="5" t="str">
        <x:f t="shared" si="3">IF(OR('Order Data'!D29="",D29=0),"Data Issue: Missing Order Quantity",IF(F29="CANCELLED","N/A - Order Cancelled",IF(AND(F29="SHIPPED",H29="No"),"Discrepancy: Shipped but No Dispatch Record (Traceability Gap)",IF(AND(F29="SHIPPED",H29="Yes",J29="Mismatch"),"Discrepancy: Quantity Mismatch",IF(AND(F29="SHIPPED",H29="Yes",J29="Match"),"OK - Verified",IF(AND(OR(F29="PROCESSING",F29="BACKORDERED"),H29="Yes"),"Discrepancy: Dispatched but Order Status Not Updated (Reverse Traceability Gap)",IF(OR(F29="PROCESSING",F29="BACKORDERED"),"N/A - Not Yet Shipped","Review Needed")))))))</x:f>
        <x:v>N/A - Not Yet Shipped</x:v>
      </x:c>
      <x:c r="L29" s="5" t="str">
        <x:f>IFERROR(IF(INDEX('Warehouse Data'!$F$2:$F$26,MATCH(A29,'Warehouse Data'!$B$2:$B$26,0))=0,"",INDEX('Warehouse Data'!$F$2:$F$26,MATCH(A29,'Warehouse Data'!$B$2:$B$26,0))),"")</x:f>
      </x:c>
    </x:row>
    <x:row r="30" ht="21" customHeight="1">
      <x:c r="A30" s="2" t="str">
        <x:f>'Order Data'!A30</x:f>
        <x:v>ORD-1028</x:v>
      </x:c>
      <x:c r="B30" s="2" t="str">
        <x:f>'Order Data'!B30</x:f>
        <x:v>NHL-ST-009</x:v>
      </x:c>
      <x:c r="C30" s="2" t="str">
        <x:f>'Order Data'!C30</x:f>
        <x:v>Fabric Storage Cube Set</x:v>
      </x:c>
      <x:c r="D30" s="3" t="n">
        <x:f>'Order Data'!D30</x:f>
        <x:v>6</x:v>
      </x:c>
      <x:c r="E30" s="2" t="str">
        <x:f>'Order Data'!F30</x:f>
        <x:v>Shipped</x:v>
      </x:c>
      <x:c r="F30" s="2" t="str">
        <x:f t="shared" si="0"/>
        <x:v>SHIPPED</x:v>
      </x:c>
      <x:c r="G30" s="2" t="str">
        <x:f t="shared" si="1"/>
      </x:c>
      <x:c r="H30" s="2" t="str">
        <x:f>IFERROR(IF(MATCH(A30,'Warehouse Data'!$B$2:$B$26,0)&gt;0,"Yes","No"),"No")</x:f>
        <x:v>Yes</x:v>
      </x:c>
      <x:c r="I30" s="3" t="n">
        <x:f>IFERROR(INDEX('Warehouse Data'!$D$2:$D$26,MATCH(A30,'Warehouse Data'!$B$2:$B$26,0)),"")</x:f>
        <x:v>6</x:v>
      </x:c>
      <x:c r="J30" s="2" t="str">
        <x:f t="shared" si="2"/>
        <x:v>Match</x:v>
      </x:c>
      <x:c r="K30" s="2" t="str">
        <x:f t="shared" si="3">IF(OR('Order Data'!D30="",D30=0),"Data Issue: Missing Order Quantity",IF(F30="CANCELLED","N/A - Order Cancelled",IF(AND(F30="SHIPPED",H30="No"),"Discrepancy: Shipped but No Dispatch Record (Traceability Gap)",IF(AND(F30="SHIPPED",H30="Yes",J30="Mismatch"),"Discrepancy: Quantity Mismatch",IF(AND(F30="SHIPPED",H30="Yes",J30="Match"),"OK - Verified",IF(AND(OR(F30="PROCESSING",F30="BACKORDERED"),H30="Yes"),"Discrepancy: Dispatched but Order Status Not Updated (Reverse Traceability Gap)",IF(OR(F30="PROCESSING",F30="BACKORDERED"),"N/A - Not Yet Shipped","Review Needed")))))))</x:f>
        <x:v>OK - Verified</x:v>
      </x:c>
      <x:c r="L30" s="2" t="str">
        <x:f>IFERROR(IF(INDEX('Warehouse Data'!$F$2:$F$26,MATCH(A30,'Warehouse Data'!$B$2:$B$26,0))=0,"",INDEX('Warehouse Data'!$F$2:$F$26,MATCH(A30,'Warehouse Data'!$B$2:$B$26,0))),"")</x:f>
      </x:c>
    </x:row>
    <x:row r="31" ht="21" customHeight="1">
      <x:c r="A31" s="14" t="str">
        <x:f>'Order Data'!A31</x:f>
        <x:v>ORD-1029</x:v>
      </x:c>
      <x:c r="B31" s="14" t="str">
        <x:f>'Order Data'!B31</x:f>
        <x:v>NHL-CW-002</x:v>
      </x:c>
      <x:c r="C31" s="14" t="str">
        <x:f>'Order Data'!C31</x:f>
        <x:v>Non-Stick Frying Pan 26cm</x:v>
      </x:c>
      <x:c r="D31" s="15" t="n">
        <x:f>'Order Data'!D31</x:f>
        <x:v>3</x:v>
      </x:c>
      <x:c r="E31" s="14" t="str">
        <x:f>'Order Data'!F31</x:f>
        <x:v>Backordered</x:v>
      </x:c>
      <x:c r="F31" s="14" t="str">
        <x:f t="shared" si="0"/>
        <x:v>BACKORDERED</x:v>
      </x:c>
      <x:c r="G31" s="14" t="str">
        <x:f t="shared" si="1"/>
      </x:c>
      <x:c r="H31" s="14" t="str">
        <x:f>IFERROR(IF(MATCH(A31,'Warehouse Data'!$B$2:$B$26,0)&gt;0,"Yes","No"),"No")</x:f>
        <x:v>Yes</x:v>
      </x:c>
      <x:c r="I31" s="15" t="n">
        <x:f>IFERROR(INDEX('Warehouse Data'!$D$2:$D$26,MATCH(A31,'Warehouse Data'!$B$2:$B$26,0)),"")</x:f>
        <x:v>3</x:v>
      </x:c>
      <x:c r="J31" s="14" t="str">
        <x:f t="shared" si="2"/>
        <x:v>Match</x:v>
      </x:c>
      <x:c r="K31" s="14" t="str">
        <x:f t="shared" si="3">IF(OR('Order Data'!D31="",D31=0),"Data Issue: Missing Order Quantity",IF(F31="CANCELLED","N/A - Order Cancelled",IF(AND(F31="SHIPPED",H31="No"),"Discrepancy: Shipped but No Dispatch Record (Traceability Gap)",IF(AND(F31="SHIPPED",H31="Yes",J31="Mismatch"),"Discrepancy: Quantity Mismatch",IF(AND(F31="SHIPPED",H31="Yes",J31="Match"),"OK - Verified",IF(AND(OR(F31="PROCESSING",F31="BACKORDERED"),H31="Yes"),"Discrepancy: Dispatched but Order Status Not Updated (Reverse Traceability Gap)",IF(OR(F31="PROCESSING",F31="BACKORDERED"),"N/A - Not Yet Shipped","Review Needed")))))))</x:f>
        <x:v>Discrepancy: Dispatched but Order Status Not Updated (Reverse Traceability Gap)</x:v>
      </x:c>
      <x:c r="L31" s="14" t="str">
        <x:f>IFERROR(IF(INDEX('Warehouse Data'!$F$2:$F$26,MATCH(A31,'Warehouse Data'!$B$2:$B$26,0))=0,"",INDEX('Warehouse Data'!$F$2:$F$26,MATCH(A31,'Warehouse Data'!$B$2:$B$26,0))),"")</x:f>
        <x:v>released from backorder</x:v>
      </x:c>
    </x:row>
    <x:row r="32" ht="21" customHeight="1">
      <x:c r="A32" s="2" t="str">
        <x:f>'Order Data'!A32</x:f>
        <x:v>ORD-1030</x:v>
      </x:c>
      <x:c r="B32" s="2" t="str">
        <x:f>'Order Data'!B32</x:f>
        <x:v>NHL-BD-012</x:v>
      </x:c>
      <x:c r="C32" s="2" t="str">
        <x:f>'Order Data'!C32</x:f>
        <x:v>Weighted Blanket 6kg</x:v>
      </x:c>
      <x:c r="D32" s="3" t="n">
        <x:f>'Order Data'!D32</x:f>
        <x:v>2</x:v>
      </x:c>
      <x:c r="E32" s="2" t="str">
        <x:f>'Order Data'!F32</x:f>
        <x:v>Shipped</x:v>
      </x:c>
      <x:c r="F32" s="2" t="str">
        <x:f t="shared" si="0"/>
        <x:v>SHIPPED</x:v>
      </x:c>
      <x:c r="G32" s="2" t="str">
        <x:f t="shared" si="1"/>
      </x:c>
      <x:c r="H32" s="2" t="str">
        <x:f>IFERROR(IF(MATCH(A32,'Warehouse Data'!$B$2:$B$26,0)&gt;0,"Yes","No"),"No")</x:f>
        <x:v>Yes</x:v>
      </x:c>
      <x:c r="I32" s="3" t="n">
        <x:f>IFERROR(INDEX('Warehouse Data'!$D$2:$D$26,MATCH(A32,'Warehouse Data'!$B$2:$B$26,0)),"")</x:f>
        <x:v>2</x:v>
      </x:c>
      <x:c r="J32" s="2" t="str">
        <x:f t="shared" si="2"/>
        <x:v>Match</x:v>
      </x:c>
      <x:c r="K32" s="2" t="str">
        <x:f t="shared" si="3">IF(OR('Order Data'!D32="",D32=0),"Data Issue: Missing Order Quantity",IF(F32="CANCELLED","N/A - Order Cancelled",IF(AND(F32="SHIPPED",H32="No"),"Discrepancy: Shipped but No Dispatch Record (Traceability Gap)",IF(AND(F32="SHIPPED",H32="Yes",J32="Mismatch"),"Discrepancy: Quantity Mismatch",IF(AND(F32="SHIPPED",H32="Yes",J32="Match"),"OK - Verified",IF(AND(OR(F32="PROCESSING",F32="BACKORDERED"),H32="Yes"),"Discrepancy: Dispatched but Order Status Not Updated (Reverse Traceability Gap)",IF(OR(F32="PROCESSING",F32="BACKORDERED"),"N/A - Not Yet Shipped","Review Needed")))))))</x:f>
        <x:v>OK - Verified</x:v>
      </x:c>
      <x:c r="L32" s="2" t="str">
        <x:f>IFERROR(IF(INDEX('Warehouse Data'!$F$2:$F$26,MATCH(A32,'Warehouse Data'!$B$2:$B$26,0))=0,"",INDEX('Warehouse Data'!$F$2:$F$26,MATCH(A32,'Warehouse Data'!$B$2:$B$26,0))),"")</x:f>
      </x:c>
    </x:row>
    <x:row r="33" ht="21" customHeight="1">
      <x:c r="A33" s="2" t="str">
        <x:f>'Order Data'!A33</x:f>
        <x:v>ORD-1031</x:v>
      </x:c>
      <x:c r="B33" s="2" t="str">
        <x:f>'Order Data'!B33</x:f>
        <x:v>NHL-CW-010</x:v>
      </x:c>
      <x:c r="C33" s="2" t="str">
        <x:f>'Order Data'!C33</x:f>
        <x:v>Insulated Coffee Tumbler Set</x:v>
      </x:c>
      <x:c r="D33" s="3" t="n">
        <x:f>'Order Data'!D33</x:f>
        <x:v>18</x:v>
      </x:c>
      <x:c r="E33" s="2" t="str">
        <x:f>'Order Data'!F33</x:f>
        <x:v>Shipped</x:v>
      </x:c>
      <x:c r="F33" s="2" t="str">
        <x:f t="shared" si="0"/>
        <x:v>SHIPPED</x:v>
      </x:c>
      <x:c r="G33" s="2" t="str">
        <x:f t="shared" si="1"/>
      </x:c>
      <x:c r="H33" s="2" t="str">
        <x:f>IFERROR(IF(MATCH(A33,'Warehouse Data'!$B$2:$B$26,0)&gt;0,"Yes","No"),"No")</x:f>
        <x:v>Yes</x:v>
      </x:c>
      <x:c r="I33" s="3" t="n">
        <x:f>IFERROR(INDEX('Warehouse Data'!$D$2:$D$26,MATCH(A33,'Warehouse Data'!$B$2:$B$26,0)),"")</x:f>
        <x:v>18</x:v>
      </x:c>
      <x:c r="J33" s="2" t="str">
        <x:f t="shared" si="2"/>
        <x:v>Match</x:v>
      </x:c>
      <x:c r="K33" s="2" t="str">
        <x:f t="shared" si="3">IF(OR('Order Data'!D33="",D33=0),"Data Issue: Missing Order Quantity",IF(F33="CANCELLED","N/A - Order Cancelled",IF(AND(F33="SHIPPED",H33="No"),"Discrepancy: Shipped but No Dispatch Record (Traceability Gap)",IF(AND(F33="SHIPPED",H33="Yes",J33="Mismatch"),"Discrepancy: Quantity Mismatch",IF(AND(F33="SHIPPED",H33="Yes",J33="Match"),"OK - Verified",IF(AND(OR(F33="PROCESSING",F33="BACKORDERED"),H33="Yes"),"Discrepancy: Dispatched but Order Status Not Updated (Reverse Traceability Gap)",IF(OR(F33="PROCESSING",F33="BACKORDERED"),"N/A - Not Yet Shipped","Review Needed")))))))</x:f>
        <x:v>OK - Verified</x:v>
      </x:c>
      <x:c r="L33" s="2" t="str">
        <x:f>IFERROR(IF(INDEX('Warehouse Data'!$F$2:$F$26,MATCH(A33,'Warehouse Data'!$B$2:$B$26,0))=0,"",INDEX('Warehouse Data'!$F$2:$F$26,MATCH(A33,'Warehouse Data'!$B$2:$B$26,0))),"")</x:f>
      </x:c>
    </x:row>
    <x:row r="34" ht="21" customHeight="1">
      <x:c r="A34" s="5" t="str">
        <x:f>'Order Data'!A34</x:f>
        <x:v>ORD-1032</x:v>
      </x:c>
      <x:c r="B34" s="5" t="str">
        <x:f>'Order Data'!B34</x:f>
        <x:v>NHL-ST-007</x:v>
      </x:c>
      <x:c r="C34" s="5" t="str">
        <x:f>'Order Data'!C34</x:f>
        <x:v>Under-bed Storage Bin</x:v>
      </x:c>
      <x:c r="D34" s="6" t="n">
        <x:f>'Order Data'!D34</x:f>
        <x:v>5</x:v>
      </x:c>
      <x:c r="E34" s="5" t="str">
        <x:f>'Order Data'!F34</x:f>
        <x:v>Processing</x:v>
      </x:c>
      <x:c r="F34" s="5" t="str">
        <x:f t="shared" si="0"/>
        <x:v>PROCESSING</x:v>
      </x:c>
      <x:c r="G34" s="5" t="str">
        <x:f t="shared" si="1"/>
      </x:c>
      <x:c r="H34" s="5" t="str">
        <x:f>IFERROR(IF(MATCH(A34,'Warehouse Data'!$B$2:$B$26,0)&gt;0,"Yes","No"),"No")</x:f>
        <x:v>No</x:v>
      </x:c>
      <x:c r="I34" s="6" t="str">
        <x:f>IFERROR(INDEX('Warehouse Data'!$D$2:$D$26,MATCH(A34,'Warehouse Data'!$B$2:$B$26,0)),"")</x:f>
      </x:c>
      <x:c r="J34" s="5" t="str">
        <x:f t="shared" si="2"/>
        <x:v>N/A</x:v>
      </x:c>
      <x:c r="K34" s="5" t="str">
        <x:f t="shared" si="3">IF(OR('Order Data'!D34="",D34=0),"Data Issue: Missing Order Quantity",IF(F34="CANCELLED","N/A - Order Cancelled",IF(AND(F34="SHIPPED",H34="No"),"Discrepancy: Shipped but No Dispatch Record (Traceability Gap)",IF(AND(F34="SHIPPED",H34="Yes",J34="Mismatch"),"Discrepancy: Quantity Mismatch",IF(AND(F34="SHIPPED",H34="Yes",J34="Match"),"OK - Verified",IF(AND(OR(F34="PROCESSING",F34="BACKORDERED"),H34="Yes"),"Discrepancy: Dispatched but Order Status Not Updated (Reverse Traceability Gap)",IF(OR(F34="PROCESSING",F34="BACKORDERED"),"N/A - Not Yet Shipped","Review Needed")))))))</x:f>
        <x:v>N/A - Not Yet Shipped</x:v>
      </x:c>
      <x:c r="L34" s="5" t="str">
        <x:f>IFERROR(IF(INDEX('Warehouse Data'!$F$2:$F$26,MATCH(A34,'Warehouse Data'!$B$2:$B$26,0))=0,"",INDEX('Warehouse Data'!$F$2:$F$26,MATCH(A34,'Warehouse Data'!$B$2:$B$26,0))),"")</x:f>
      </x:c>
    </x:row>
    <x:row r="35" ht="21" customHeight="1">
      <x:c r="A35" s="2" t="str">
        <x:f>'Order Data'!A35</x:f>
        <x:v>ORD-1033</x:v>
      </x:c>
      <x:c r="B35" s="2" t="str">
        <x:f>'Order Data'!B35</x:f>
        <x:v>NHL-CW-005</x:v>
      </x:c>
      <x:c r="C35" s="2" t="str">
        <x:f>'Order Data'!C35</x:f>
        <x:v>Glass Food Storage Set 5pc</x:v>
      </x:c>
      <x:c r="D35" s="3" t="n">
        <x:f>'Order Data'!D35</x:f>
        <x:v>11</x:v>
      </x:c>
      <x:c r="E35" s="2" t="str">
        <x:f>'Order Data'!F35</x:f>
        <x:v>Shipped </x:v>
      </x:c>
      <x:c r="F35" s="2" t="str">
        <x:f t="shared" si="0"/>
        <x:v>SHIPPED</x:v>
      </x:c>
      <x:c r="G35" s="2" t="str">
        <x:f t="shared" si="1"/>
      </x:c>
      <x:c r="H35" s="2" t="str">
        <x:f>IFERROR(IF(MATCH(A35,'Warehouse Data'!$B$2:$B$26,0)&gt;0,"Yes","No"),"No")</x:f>
        <x:v>Yes</x:v>
      </x:c>
      <x:c r="I35" s="3" t="n">
        <x:f>IFERROR(INDEX('Warehouse Data'!$D$2:$D$26,MATCH(A35,'Warehouse Data'!$B$2:$B$26,0)),"")</x:f>
        <x:v>11</x:v>
      </x:c>
      <x:c r="J35" s="2" t="str">
        <x:f t="shared" si="2"/>
        <x:v>Match</x:v>
      </x:c>
      <x:c r="K35" s="2" t="str">
        <x:f t="shared" si="3">IF(OR('Order Data'!D35="",D35=0),"Data Issue: Missing Order Quantity",IF(F35="CANCELLED","N/A - Order Cancelled",IF(AND(F35="SHIPPED",H35="No"),"Discrepancy: Shipped but No Dispatch Record (Traceability Gap)",IF(AND(F35="SHIPPED",H35="Yes",J35="Mismatch"),"Discrepancy: Quantity Mismatch",IF(AND(F35="SHIPPED",H35="Yes",J35="Match"),"OK - Verified",IF(AND(OR(F35="PROCESSING",F35="BACKORDERED"),H35="Yes"),"Discrepancy: Dispatched but Order Status Not Updated (Reverse Traceability Gap)",IF(OR(F35="PROCESSING",F35="BACKORDERED"),"N/A - Not Yet Shipped","Review Needed")))))))</x:f>
        <x:v>OK - Verified</x:v>
      </x:c>
      <x:c r="L35" s="2" t="str">
        <x:f>IFERROR(IF(INDEX('Warehouse Data'!$F$2:$F$26,MATCH(A35,'Warehouse Data'!$B$2:$B$26,0))=0,"",INDEX('Warehouse Data'!$F$2:$F$26,MATCH(A35,'Warehouse Data'!$B$2:$B$26,0))),"")</x:f>
      </x:c>
    </x:row>
    <x:row r="36" ht="21" customHeight="1">
      <x:c r="A36" s="17" t="str">
        <x:f>'Order Data'!A36</x:f>
        <x:v>ORD-1034</x:v>
      </x:c>
      <x:c r="B36" s="17" t="str">
        <x:f>'Order Data'!B36</x:f>
        <x:v>NHL-BD-013</x:v>
      </x:c>
      <x:c r="C36" s="17" t="str">
        <x:f>'Order Data'!C36</x:f>
        <x:v>Waterproof Mattress Protector</x:v>
      </x:c>
      <x:c r="D36" s="18" t="n">
        <x:f>'Order Data'!D36</x:f>
        <x:v>4</x:v>
      </x:c>
      <x:c r="E36" s="17" t="str">
        <x:f>'Order Data'!F36</x:f>
        <x:v>shipped</x:v>
      </x:c>
      <x:c r="F36" s="17" t="str">
        <x:f t="shared" si="0"/>
        <x:v>SHIPPED</x:v>
      </x:c>
      <x:c r="G36" s="17" t="str">
        <x:f t="shared" si="1"/>
      </x:c>
      <x:c r="H36" s="17" t="str">
        <x:f>IFERROR(IF(MATCH(A36,'Warehouse Data'!$B$2:$B$26,0)&gt;0,"Yes","No"),"No")</x:f>
        <x:v>No</x:v>
      </x:c>
      <x:c r="I36" s="18" t="str">
        <x:f>IFERROR(INDEX('Warehouse Data'!$D$2:$D$26,MATCH(A36,'Warehouse Data'!$B$2:$B$26,0)),"")</x:f>
      </x:c>
      <x:c r="J36" s="17" t="str">
        <x:f t="shared" si="2"/>
        <x:v>N/A</x:v>
      </x:c>
      <x:c r="K36" s="17" t="str">
        <x:f t="shared" si="3">IF(OR('Order Data'!D36="",D36=0),"Data Issue: Missing Order Quantity",IF(F36="CANCELLED","N/A - Order Cancelled",IF(AND(F36="SHIPPED",H36="No"),"Discrepancy: Shipped but No Dispatch Record (Traceability Gap)",IF(AND(F36="SHIPPED",H36="Yes",J36="Mismatch"),"Discrepancy: Quantity Mismatch",IF(AND(F36="SHIPPED",H36="Yes",J36="Match"),"OK - Verified",IF(AND(OR(F36="PROCESSING",F36="BACKORDERED"),H36="Yes"),"Discrepancy: Dispatched but Order Status Not Updated (Reverse Traceability Gap)",IF(OR(F36="PROCESSING",F36="BACKORDERED"),"N/A - Not Yet Shipped","Review Needed")))))))</x:f>
        <x:v>Discrepancy: Shipped but No Dispatch Record (Traceability Gap)</x:v>
      </x:c>
      <x:c r="L36" s="17" t="str">
        <x:f>IFERROR(IF(INDEX('Warehouse Data'!$F$2:$F$26,MATCH(A36,'Warehouse Data'!$B$2:$B$26,0))=0,"",INDEX('Warehouse Data'!$F$2:$F$26,MATCH(A36,'Warehouse Data'!$B$2:$B$26,0))),"")</x:f>
      </x:c>
    </x:row>
    <x:row r="37" ht="21" customHeight="1">
      <x:c r="A37" s="5" t="str">
        <x:f>'Order Data'!A37</x:f>
        <x:v>ORD-1035</x:v>
      </x:c>
      <x:c r="B37" s="5" t="str">
        <x:f>'Order Data'!B37</x:f>
        <x:v>NHL-CW-011</x:v>
      </x:c>
      <x:c r="C37" s="5" t="str">
        <x:f>'Order Data'!C37</x:f>
        <x:v>Wooden Utensil Set 8pc</x:v>
      </x:c>
      <x:c r="D37" s="6" t="n">
        <x:f>'Order Data'!D37</x:f>
        <x:v>9</x:v>
      </x:c>
      <x:c r="E37" s="5" t="str">
        <x:f>'Order Data'!F37</x:f>
        <x:v>Processing</x:v>
      </x:c>
      <x:c r="F37" s="5" t="str">
        <x:f t="shared" si="0"/>
        <x:v>PROCESSING</x:v>
      </x:c>
      <x:c r="G37" s="5" t="str">
        <x:f t="shared" si="1"/>
      </x:c>
      <x:c r="H37" s="5" t="str">
        <x:f>IFERROR(IF(MATCH(A37,'Warehouse Data'!$B$2:$B$26,0)&gt;0,"Yes","No"),"No")</x:f>
        <x:v>No</x:v>
      </x:c>
      <x:c r="I37" s="6" t="str">
        <x:f>IFERROR(INDEX('Warehouse Data'!$D$2:$D$26,MATCH(A37,'Warehouse Data'!$B$2:$B$26,0)),"")</x:f>
      </x:c>
      <x:c r="J37" s="5" t="str">
        <x:f t="shared" si="2"/>
        <x:v>N/A</x:v>
      </x:c>
      <x:c r="K37" s="5" t="str">
        <x:f t="shared" si="3">IF(OR('Order Data'!D37="",D37=0),"Data Issue: Missing Order Quantity",IF(F37="CANCELLED","N/A - Order Cancelled",IF(AND(F37="SHIPPED",H37="No"),"Discrepancy: Shipped but No Dispatch Record (Traceability Gap)",IF(AND(F37="SHIPPED",H37="Yes",J37="Mismatch"),"Discrepancy: Quantity Mismatch",IF(AND(F37="SHIPPED",H37="Yes",J37="Match"),"OK - Verified",IF(AND(OR(F37="PROCESSING",F37="BACKORDERED"),H37="Yes"),"Discrepancy: Dispatched but Order Status Not Updated (Reverse Traceability Gap)",IF(OR(F37="PROCESSING",F37="BACKORDERED"),"N/A - Not Yet Shipped","Review Needed")))))))</x:f>
        <x:v>N/A - Not Yet Shipped</x:v>
      </x:c>
      <x:c r="L37" s="5" t="str">
        <x:f>IFERROR(IF(INDEX('Warehouse Data'!$F$2:$F$26,MATCH(A37,'Warehouse Data'!$B$2:$B$26,0))=0,"",INDEX('Warehouse Data'!$F$2:$F$26,MATCH(A37,'Warehouse Data'!$B$2:$B$26,0))),"")</x:f>
      </x:c>
    </x:row>
    <x:row r="38" ht="21" customHeight="1">
      <x:c r="A38" s="2" t="str">
        <x:f>'Order Data'!A38</x:f>
        <x:v>ORD-1036</x:v>
      </x:c>
      <x:c r="B38" s="2" t="str">
        <x:f>'Order Data'!B38</x:f>
        <x:v>NHL-ST-010</x:v>
      </x:c>
      <x:c r="C38" s="2" t="str">
        <x:f>'Order Data'!C38</x:f>
        <x:v>Multi-Purpose Wall Shelf</x:v>
      </x:c>
      <x:c r="D38" s="3" t="n">
        <x:f>'Order Data'!D38</x:f>
        <x:v>7</x:v>
      </x:c>
      <x:c r="E38" s="2" t="str">
        <x:f>'Order Data'!F38</x:f>
        <x:v>Shipped</x:v>
      </x:c>
      <x:c r="F38" s="2" t="str">
        <x:f t="shared" si="0"/>
        <x:v>SHIPPED</x:v>
      </x:c>
      <x:c r="G38" s="2" t="str">
        <x:f t="shared" si="1"/>
      </x:c>
      <x:c r="H38" s="2" t="str">
        <x:f>IFERROR(IF(MATCH(A38,'Warehouse Data'!$B$2:$B$26,0)&gt;0,"Yes","No"),"No")</x:f>
        <x:v>Yes</x:v>
      </x:c>
      <x:c r="I38" s="3" t="n">
        <x:f>IFERROR(INDEX('Warehouse Data'!$D$2:$D$26,MATCH(A38,'Warehouse Data'!$B$2:$B$26,0)),"")</x:f>
        <x:v>7</x:v>
      </x:c>
      <x:c r="J38" s="2" t="str">
        <x:f t="shared" si="2"/>
        <x:v>Match</x:v>
      </x:c>
      <x:c r="K38" s="2" t="str">
        <x:f t="shared" si="3">IF(OR('Order Data'!D38="",D38=0),"Data Issue: Missing Order Quantity",IF(F38="CANCELLED","N/A - Order Cancelled",IF(AND(F38="SHIPPED",H38="No"),"Discrepancy: Shipped but No Dispatch Record (Traceability Gap)",IF(AND(F38="SHIPPED",H38="Yes",J38="Mismatch"),"Discrepancy: Quantity Mismatch",IF(AND(F38="SHIPPED",H38="Yes",J38="Match"),"OK - Verified",IF(AND(OR(F38="PROCESSING",F38="BACKORDERED"),H38="Yes"),"Discrepancy: Dispatched but Order Status Not Updated (Reverse Traceability Gap)",IF(OR(F38="PROCESSING",F38="BACKORDERED"),"N/A - Not Yet Shipped","Review Needed")))))))</x:f>
        <x:v>OK - Verified</x:v>
      </x:c>
      <x:c r="L38" s="2" t="str">
        <x:f>IFERROR(IF(INDEX('Warehouse Data'!$F$2:$F$26,MATCH(A38,'Warehouse Data'!$B$2:$B$26,0))=0,"",INDEX('Warehouse Data'!$F$2:$F$26,MATCH(A38,'Warehouse Data'!$B$2:$B$26,0))),"")</x:f>
      </x:c>
    </x:row>
    <x:row r="39" ht="21" customHeight="1">
      <x:c r="A39" s="2" t="str">
        <x:f>'Order Data'!A39</x:f>
        <x:v>ORD-1037</x:v>
      </x:c>
      <x:c r="B39" s="2" t="str">
        <x:f>'Order Data'!B39</x:f>
        <x:v>NHL-CW-006</x:v>
      </x:c>
      <x:c r="C39" s="2" t="str">
        <x:f>'Order Data'!C39</x:f>
        <x:v>Electric Hand Mixer</x:v>
      </x:c>
      <x:c r="D39" s="3" t="n">
        <x:f>'Order Data'!D39</x:f>
        <x:v>3</x:v>
      </x:c>
      <x:c r="E39" s="2" t="str">
        <x:f>'Order Data'!F39</x:f>
        <x:v>Shipped</x:v>
      </x:c>
      <x:c r="F39" s="2" t="str">
        <x:f t="shared" si="0"/>
        <x:v>SHIPPED</x:v>
      </x:c>
      <x:c r="G39" s="2" t="str">
        <x:f t="shared" si="1"/>
      </x:c>
      <x:c r="H39" s="2" t="str">
        <x:f>IFERROR(IF(MATCH(A39,'Warehouse Data'!$B$2:$B$26,0)&gt;0,"Yes","No"),"No")</x:f>
        <x:v>Yes</x:v>
      </x:c>
      <x:c r="I39" s="3" t="n">
        <x:f>IFERROR(INDEX('Warehouse Data'!$D$2:$D$26,MATCH(A39,'Warehouse Data'!$B$2:$B$26,0)),"")</x:f>
        <x:v>3</x:v>
      </x:c>
      <x:c r="J39" s="2" t="str">
        <x:f t="shared" si="2"/>
        <x:v>Match</x:v>
      </x:c>
      <x:c r="K39" s="2" t="str">
        <x:f t="shared" si="3">IF(OR('Order Data'!D39="",D39=0),"Data Issue: Missing Order Quantity",IF(F39="CANCELLED","N/A - Order Cancelled",IF(AND(F39="SHIPPED",H39="No"),"Discrepancy: Shipped but No Dispatch Record (Traceability Gap)",IF(AND(F39="SHIPPED",H39="Yes",J39="Mismatch"),"Discrepancy: Quantity Mismatch",IF(AND(F39="SHIPPED",H39="Yes",J39="Match"),"OK - Verified",IF(AND(OR(F39="PROCESSING",F39="BACKORDERED"),H39="Yes"),"Discrepancy: Dispatched but Order Status Not Updated (Reverse Traceability Gap)",IF(OR(F39="PROCESSING",F39="BACKORDERED"),"N/A - Not Yet Shipped","Review Needed")))))))</x:f>
        <x:v>OK - Verified</x:v>
      </x:c>
      <x:c r="L39" s="2" t="str">
        <x:f>IFERROR(IF(INDEX('Warehouse Data'!$F$2:$F$26,MATCH(A39,'Warehouse Data'!$B$2:$B$26,0))=0,"",INDEX('Warehouse Data'!$F$2:$F$26,MATCH(A39,'Warehouse Data'!$B$2:$B$26,0))),"")</x:f>
      </x:c>
    </x:row>
    <x:row r="40" ht="21" customHeight="1">
      <x:c r="A40" s="11" t="str">
        <x:f>'Order Data'!A40</x:f>
        <x:v>ORD-1038</x:v>
      </x:c>
      <x:c r="B40" s="11" t="str">
        <x:f>'Order Data'!B40</x:f>
        <x:v>NHL-BD-010</x:v>
      </x:c>
      <x:c r="C40" s="11" t="str">
        <x:f>'Order Data'!C40</x:f>
        <x:v>Cotton Bedsheet Set Queen</x:v>
      </x:c>
      <x:c r="D40" s="12" t="n">
        <x:f>'Order Data'!D40</x:f>
        <x:v>8</x:v>
      </x:c>
      <x:c r="E40" s="11" t="str">
        <x:f>'Order Data'!F40</x:f>
        <x:v>Cancelled</x:v>
      </x:c>
      <x:c r="F40" s="11" t="str">
        <x:f t="shared" si="0"/>
        <x:v>CANCELLED</x:v>
      </x:c>
      <x:c r="G40" s="11" t="str">
        <x:f t="shared" si="1"/>
      </x:c>
      <x:c r="H40" s="11" t="str">
        <x:f>IFERROR(IF(MATCH(A40,'Warehouse Data'!$B$2:$B$26,0)&gt;0,"Yes","No"),"No")</x:f>
        <x:v>No</x:v>
      </x:c>
      <x:c r="I40" s="12" t="str">
        <x:f>IFERROR(INDEX('Warehouse Data'!$D$2:$D$26,MATCH(A40,'Warehouse Data'!$B$2:$B$26,0)),"")</x:f>
      </x:c>
      <x:c r="J40" s="11" t="str">
        <x:f t="shared" si="2"/>
        <x:v>N/A</x:v>
      </x:c>
      <x:c r="K40" s="11" t="str">
        <x:f t="shared" si="3">IF(OR('Order Data'!D40="",D40=0),"Data Issue: Missing Order Quantity",IF(F40="CANCELLED","N/A - Order Cancelled",IF(AND(F40="SHIPPED",H40="No"),"Discrepancy: Shipped but No Dispatch Record (Traceability Gap)",IF(AND(F40="SHIPPED",H40="Yes",J40="Mismatch"),"Discrepancy: Quantity Mismatch",IF(AND(F40="SHIPPED",H40="Yes",J40="Match"),"OK - Verified",IF(AND(OR(F40="PROCESSING",F40="BACKORDERED"),H40="Yes"),"Discrepancy: Dispatched but Order Status Not Updated (Reverse Traceability Gap)",IF(OR(F40="PROCESSING",F40="BACKORDERED"),"N/A - Not Yet Shipped","Review Needed")))))))</x:f>
        <x:v>N/A - Order Cancelled</x:v>
      </x:c>
      <x:c r="L40" s="11" t="str">
        <x:f>IFERROR(IF(INDEX('Warehouse Data'!$F$2:$F$26,MATCH(A40,'Warehouse Data'!$B$2:$B$26,0))=0,"",INDEX('Warehouse Data'!$F$2:$F$26,MATCH(A40,'Warehouse Data'!$B$2:$B$26,0))),"")</x:f>
      </x:c>
    </x:row>
    <x:row r="41" ht="21" customHeight="1">
      <x:c r="A41" s="5" t="str">
        <x:f>'Order Data'!A41</x:f>
        <x:v>ORD-1039</x:v>
      </x:c>
      <x:c r="B41" s="5" t="str">
        <x:f>'Order Data'!B41</x:f>
        <x:v>NHL-CW-012</x:v>
      </x:c>
      <x:c r="C41" s="5" t="str">
        <x:f>'Order Data'!C41</x:f>
        <x:v>Enamel Cookware Pot 3L</x:v>
      </x:c>
      <x:c r="D41" s="6" t="n">
        <x:f>'Order Data'!D41</x:f>
        <x:v>6</x:v>
      </x:c>
      <x:c r="E41" s="5" t="str">
        <x:f>'Order Data'!F41</x:f>
        <x:v>Processing</x:v>
      </x:c>
      <x:c r="F41" s="5" t="str">
        <x:f t="shared" si="0"/>
        <x:v>PROCESSING</x:v>
      </x:c>
      <x:c r="G41" s="5" t="str">
        <x:f t="shared" si="1"/>
      </x:c>
      <x:c r="H41" s="5" t="str">
        <x:f>IFERROR(IF(MATCH(A41,'Warehouse Data'!$B$2:$B$26,0)&gt;0,"Yes","No"),"No")</x:f>
        <x:v>No</x:v>
      </x:c>
      <x:c r="I41" s="6" t="str">
        <x:f>IFERROR(INDEX('Warehouse Data'!$D$2:$D$26,MATCH(A41,'Warehouse Data'!$B$2:$B$26,0)),"")</x:f>
      </x:c>
      <x:c r="J41" s="5" t="str">
        <x:f t="shared" si="2"/>
        <x:v>N/A</x:v>
      </x:c>
      <x:c r="K41" s="5" t="str">
        <x:f t="shared" si="3">IF(OR('Order Data'!D41="",D41=0),"Data Issue: Missing Order Quantity",IF(F41="CANCELLED","N/A - Order Cancelled",IF(AND(F41="SHIPPED",H41="No"),"Discrepancy: Shipped but No Dispatch Record (Traceability Gap)",IF(AND(F41="SHIPPED",H41="Yes",J41="Mismatch"),"Discrepancy: Quantity Mismatch",IF(AND(F41="SHIPPED",H41="Yes",J41="Match"),"OK - Verified",IF(AND(OR(F41="PROCESSING",F41="BACKORDERED"),H41="Yes"),"Discrepancy: Dispatched but Order Status Not Updated (Reverse Traceability Gap)",IF(OR(F41="PROCESSING",F41="BACKORDERED"),"N/A - Not Yet Shipped","Review Needed")))))))</x:f>
        <x:v>N/A - Not Yet Shipped</x:v>
      </x:c>
      <x:c r="L41" s="5" t="str">
        <x:f>IFERROR(IF(INDEX('Warehouse Data'!$F$2:$F$26,MATCH(A41,'Warehouse Data'!$B$2:$B$26,0))=0,"",INDEX('Warehouse Data'!$F$2:$F$26,MATCH(A41,'Warehouse Data'!$B$2:$B$26,0))),"")</x:f>
      </x:c>
    </x:row>
    <x:row r="42" ht="21" customHeight="1">
      <x:c r="A42" s="2" t="str">
        <x:f>'Order Data'!A42</x:f>
        <x:v>ORD-1040</x:v>
      </x:c>
      <x:c r="B42" s="2" t="str">
        <x:f>'Order Data'!B42</x:f>
        <x:v>NHL-ST-005</x:v>
      </x:c>
      <x:c r="C42" s="2" t="str">
        <x:f>'Order Data'!C42</x:f>
        <x:v>Stackable Storage Box 20L</x:v>
      </x:c>
      <x:c r="D42" s="3" t="n">
        <x:f>'Order Data'!D42</x:f>
        <x:v>10</x:v>
      </x:c>
      <x:c r="E42" s="2" t="str">
        <x:f>'Order Data'!F42</x:f>
        <x:v>Shipped</x:v>
      </x:c>
      <x:c r="F42" s="2" t="str">
        <x:f t="shared" si="0"/>
        <x:v>SHIPPED</x:v>
      </x:c>
      <x:c r="G42" s="2" t="str">
        <x:f t="shared" si="1"/>
      </x:c>
      <x:c r="H42" s="2" t="str">
        <x:f>IFERROR(IF(MATCH(A42,'Warehouse Data'!$B$2:$B$26,0)&gt;0,"Yes","No"),"No")</x:f>
        <x:v>Yes</x:v>
      </x:c>
      <x:c r="I42" s="3" t="n">
        <x:f>IFERROR(INDEX('Warehouse Data'!$D$2:$D$26,MATCH(A42,'Warehouse Data'!$B$2:$B$26,0)),"")</x:f>
        <x:v>10</x:v>
      </x:c>
      <x:c r="J42" s="2" t="str">
        <x:f t="shared" si="2"/>
        <x:v>Match</x:v>
      </x:c>
      <x:c r="K42" s="2" t="str">
        <x:f t="shared" si="3">IF(OR('Order Data'!D42="",D42=0),"Data Issue: Missing Order Quantity",IF(F42="CANCELLED","N/A - Order Cancelled",IF(AND(F42="SHIPPED",H42="No"),"Discrepancy: Shipped but No Dispatch Record (Traceability Gap)",IF(AND(F42="SHIPPED",H42="Yes",J42="Mismatch"),"Discrepancy: Quantity Mismatch",IF(AND(F42="SHIPPED",H42="Yes",J42="Match"),"OK - Verified",IF(AND(OR(F42="PROCESSING",F42="BACKORDERED"),H42="Yes"),"Discrepancy: Dispatched but Order Status Not Updated (Reverse Traceability Gap)",IF(OR(F42="PROCESSING",F42="BACKORDERED"),"N/A - Not Yet Shipped","Review Needed")))))))</x:f>
        <x:v>OK - Verified</x:v>
      </x:c>
      <x:c r="L42" s="2" t="str">
        <x:f>IFERROR(IF(INDEX('Warehouse Data'!$F$2:$F$26,MATCH(A42,'Warehouse Data'!$B$2:$B$26,0))=0,"",INDEX('Warehouse Data'!$F$2:$F$26,MATCH(A42,'Warehouse Data'!$B$2:$B$26,0))),"")</x:f>
      </x:c>
    </x:row>
  </x:sheetData>
  <x:conditionalFormatting sqref="A2:L42">
    <x:cfRule type="expression" dxfId="6" priority="2">
      <x:formula>$K2="OK - Verified"</x:formula>
    </x:cfRule>
    <x:cfRule type="expression" dxfId="5" priority="3">
      <x:formula>$K2="N/A - Not Yet Shipped"</x:formula>
    </x:cfRule>
    <x:cfRule type="expression" dxfId="4" priority="4">
      <x:formula>$K2="N/A - Order Cancelled"</x:formula>
    </x:cfRule>
    <x:cfRule type="expression" dxfId="3" priority="5">
      <x:formula>$K2="Discrepancy: Shipped but No Dispatch Record (Traceability Gap)"</x:formula>
    </x:cfRule>
    <x:cfRule type="expression" dxfId="2" priority="6">
      <x:formula>$K2="Discrepancy: Dispatched but Order Status Not Updated (Reverse Traceability Gap)"</x:formula>
    </x:cfRule>
    <x:cfRule type="expression" dxfId="1" priority="7">
      <x:formula>$K2="Discrepancy: Quantity Mismatch"</x:formula>
    </x:cfRule>
    <x:cfRule type="expression" dxfId="0" priority="8">
      <x:formula>$K2="Data Issue: Missing Order Quantity"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9"/>
  </x:sheetPr>
  <x:sheetViews>
    <x:sheetView showGridLines="0" workbookViewId="0"/>
  </x:sheetViews>
  <x:sheetFormatPr defaultColWidth="8.7109375" defaultRowHeight="15"/>
  <x:cols>
    <x:col min="1" max="1" width="50" customWidth="1"/>
    <x:col min="2" max="2" width="16" customWidth="1"/>
  </x:cols>
  <x:sheetData>
    <x:row r="1" ht="33.95000076293945" customHeight="1">
      <x:c r="A1" s="41" t="s">
        <x:v>165</x:v>
      </x:c>
      <x:c r="B1" s="42"/>
    </x:row>
    <x:row r="2" ht="23.100000381469727" customHeight="1">
      <x:c r="A2" s="43" t="s">
        <x:v>166</x:v>
      </x:c>
      <x:c r="B2" s="42"/>
    </x:row>
    <x:row r="3" ht="23.100000381469727" customHeight="1">
      <x:c r="A3" s="34" t="s">
        <x:v>167</x:v>
      </x:c>
      <x:c r="B3" s="35" t="n">
        <x:f>COUNTA(Reconciliation!A2:A42)</x:f>
        <x:v>41</x:v>
      </x:c>
    </x:row>
    <x:row r="4" ht="23.100000381469727" customHeight="1">
      <x:c r="A4" s="34" t="s">
        <x:v>168</x:v>
      </x:c>
      <x:c r="B4" s="35" t="n">
        <x:f>COUNTA(Reconciliation!A2:A42)-COUNTIF(Reconciliation!G2:G42,"Duplicate Order Entry")+1</x:f>
        <x:v>40</x:v>
      </x:c>
    </x:row>
    <x:row r="5" ht="23.100000381469727" customHeight="1">
      <x:c r="A5" s="2" t="s">
        <x:v>169</x:v>
      </x:c>
      <x:c r="B5" s="36" t="n">
        <x:f>COUNTIF(Reconciliation!K2:K42,"OK - Verified")</x:f>
        <x:v>19</x:v>
      </x:c>
    </x:row>
    <x:row r="6" ht="23.100000381469727" customHeight="1">
      <x:c r="A6" s="50" t="s">
        <x:v>170</x:v>
      </x:c>
      <x:c r="B6" s="51" t="n">
        <x:f>COUNTIF(Reconciliation!K2:K42,"Discrepancy: Shipped but No Dispatch Record (Traceability Gap)")</x:f>
        <x:v>3</x:v>
      </x:c>
    </x:row>
    <x:row r="7" ht="23.100000381469727" customHeight="1">
      <x:c r="A7" s="8" t="s">
        <x:v>171</x:v>
      </x:c>
      <x:c r="B7" s="53" t="n">
        <x:f>COUNTIF(Reconciliation!K2:K42,"Discrepancy: Quantity Mismatch")</x:f>
        <x:v>2</x:v>
      </x:c>
    </x:row>
    <x:row r="8" ht="23.100000381469727" customHeight="1">
      <x:c r="A8" s="14" t="s">
        <x:v>172</x:v>
      </x:c>
      <x:c r="B8" s="54" t="n">
        <x:f>COUNTIF(Reconciliation!K2:K42,"Discrepancy: Dispatched but Order Status Not Updated (Reverse Traceability Gap)")</x:f>
        <x:v>3</x:v>
      </x:c>
    </x:row>
    <x:row r="9" ht="23.100000381469727" customHeight="1">
      <x:c r="A9" s="46" t="s">
        <x:v>173</x:v>
      </x:c>
      <x:c r="B9" s="52" t="n">
        <x:f>COUNTIF(Reconciliation!K2:K42,"Data Issue: Missing Order Quantity")</x:f>
        <x:v>2</x:v>
      </x:c>
    </x:row>
    <x:row r="10" ht="23.100000381469727" customHeight="1">
      <x:c r="A10" s="5" t="s">
        <x:v>174</x:v>
      </x:c>
      <x:c r="B10" s="40" t="n">
        <x:f>COUNTIF(Reconciliation!G2:G42,"Duplicate Order Entry")</x:f>
        <x:v>2</x:v>
      </x:c>
    </x:row>
    <x:row r="11" ht="23.100000381469727" customHeight="1">
      <x:c r="A11" s="17" t="s">
        <x:v>175</x:v>
      </x:c>
      <x:c r="B11" s="37" t="n">
        <x:f>COUNTIF('Warehouse Data'!G2:G26,"Unmatched (Phantom Order ID)")</x:f>
        <x:v>1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6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  <x:col min="12" max="12" width="28" hidden="0" customWidth="1"/>
    <x:col min="13" max="13" width="18" hidden="0" customWidth="1"/>
    <x:col min="14" max="14" width="18" hidden="0" customWidth="1"/>
  </x:cols>
  <x:sheetData>
    <x:row r="1" ht="30" customHeight="1">
      <x:c r="A1" s="77" t="str">
        <x:v>PROJ-003 | ORDER RECONCILIATION EXCEPTION QUEUE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2" ht="24" customHeight="1">
      <x:c r="A2" s="79" t="str">
        <x:v>One row per traceability, quantity, or source-data exception • written-first closure control</x:v>
      </x:c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</x:row>
    <x:row r="4" ht="34" customHeight="1">
      <x:c r="A4" s="83" t="str">
        <x:v>Case ID</x:v>
      </x:c>
      <x:c r="B4" s="83" t="str">
        <x:v>Order ID</x:v>
      </x:c>
      <x:c r="C4" s="83" t="str">
        <x:v>SKU</x:v>
      </x:c>
      <x:c r="D4" s="83" t="str">
        <x:v>Product Name</x:v>
      </x:c>
      <x:c r="E4" s="83" t="str">
        <x:v>Discrepancy Category</x:v>
      </x:c>
      <x:c r="F4" s="83" t="str">
        <x:v>Warehouse Note</x:v>
      </x:c>
      <x:c r="G4" s="83" t="str">
        <x:v>Priority</x:v>
      </x:c>
      <x:c r="H4" s="83" t="str">
        <x:v>Owner</x:v>
      </x:c>
      <x:c r="I4" s="83" t="str">
        <x:v>Status</x:v>
      </x:c>
      <x:c r="J4" s="83" t="str">
        <x:v>Due Date</x:v>
      </x:c>
      <x:c r="K4" s="83" t="str">
        <x:v>Written Next Action</x:v>
      </x:c>
      <x:c r="L4" s="83" t="str">
        <x:v>Resolution Note</x:v>
      </x:c>
      <x:c r="M4" s="83" t="str">
        <x:v>Resolution Date</x:v>
      </x:c>
      <x:c r="N4" s="83" t="str">
        <x:v>Verified By</x:v>
      </x:c>
    </x:row>
    <x:row r="5" ht="32" customHeight="1">
      <x:c r="A5" s="72" t="str">
        <x:f>"ORD-CASE-"&amp;TEXT(ROW()-4,"000")</x:f>
        <x:v>ORD-CASE-001</x:v>
      </x:c>
      <x:c r="B5" s="72" t="str">
        <x:f>'Reconciliation'!A5</x:f>
        <x:v>ORD-1004</x:v>
      </x:c>
      <x:c r="C5" s="72" t="str">
        <x:f>'Reconciliation'!B5</x:f>
        <x:v>NHL-CW-003</x:v>
      </x:c>
      <x:c r="D5" s="72" t="str">
        <x:f>'Reconciliation'!C5</x:f>
        <x:v>Bamboo Cutting Board</x:v>
      </x:c>
      <x:c r="E5" s="86" t="str">
        <x:f>'Reconciliation'!K5</x:f>
        <x:v>Discrepancy: Shipped but No Dispatch Record (Traceability Gap)</x:v>
      </x:c>
      <x:c r="F5" s="86" t="str">
        <x:f>IF('Reconciliation'!L5="","",'Reconciliation'!L5)</x:f>
      </x:c>
      <x:c r="G5" s="72" t="str">
        <x:f>IF(OR(ISNUMBER(SEARCH("Duplicate",E5)),ISNUMBER(SEARCH("Missing Order Quantity",E5))),"High","Medium")</x:f>
        <x:v>Medium</x:v>
      </x:c>
      <x:c r="H5" s="72" t="str">
        <x:f>IF(OR(ISNUMBER(SEARCH("No Dispatch",E5)),ISNUMBER(SEARCH("Quantity",E5))),"Warehouse Admin","Order Admin")</x:f>
        <x:v>Warehouse Admin</x:v>
      </x:c>
      <x:c r="I5" s="72" t="str">
        <x:v>Open</x:v>
      </x:c>
      <x:c r="J5" s="84" t="n">
        <x:f>DATE(2026,8,17)+IF(G5="High",1,3)</x:f>
        <x:v>46254</x:v>
      </x:c>
      <x:c r="K5" s="86" t="str">
        <x:f>IF(ISNUMBER(SEARCH("No Dispatch",E5)),"Request dispatch confirmation in writing",IF(ISNUMBER(SEARCH("Status Not Updated",E5)),"Request written order-status correction",IF(ISNUMBER(SEARCH("Quantity",E5)),"Verify quantity against approved source","Compare duplicate/source records and document decision")))</x:f>
        <x:v>Request dispatch confirmation in writing</x:v>
      </x:c>
      <x:c r="L5" s="86"/>
      <x:c r="M5" s="84"/>
      <x:c r="N5" s="72"/>
    </x:row>
    <x:row r="6" ht="32" customHeight="1">
      <x:c r="A6" s="75" t="str">
        <x:f>"ORD-CASE-"&amp;TEXT(ROW()-4,"000")</x:f>
        <x:v>ORD-CASE-002</x:v>
      </x:c>
      <x:c r="B6" s="75" t="str">
        <x:f>'Reconciliation'!A8</x:f>
        <x:v>ORD-1007</x:v>
      </x:c>
      <x:c r="C6" s="75" t="str">
        <x:f>'Reconciliation'!B8</x:f>
        <x:v>NHL-CW-004</x:v>
      </x:c>
      <x:c r="D6" s="75" t="str">
        <x:f>'Reconciliation'!C8</x:f>
        <x:v>Stainless Steel Kettle 1.5L</x:v>
      </x:c>
      <x:c r="E6" s="87" t="str">
        <x:f>'Reconciliation'!K8</x:f>
        <x:v>Data Issue: Missing Order Quantity</x:v>
      </x:c>
      <x:c r="F6" s="87" t="str">
        <x:f>IF('Reconciliation'!L8="","",'Reconciliation'!L8)</x:f>
      </x:c>
      <x:c r="G6" s="75" t="str">
        <x:f>IF(OR(ISNUMBER(SEARCH("Duplicate",E6)),ISNUMBER(SEARCH("Missing Order Quantity",E6))),"High","Medium")</x:f>
        <x:v>High</x:v>
      </x:c>
      <x:c r="H6" s="75" t="str">
        <x:f>IF(OR(ISNUMBER(SEARCH("No Dispatch",E6)),ISNUMBER(SEARCH("Quantity",E6))),"Warehouse Admin","Order Admin")</x:f>
        <x:v>Warehouse Admin</x:v>
      </x:c>
      <x:c r="I6" s="75" t="str">
        <x:v>Open</x:v>
      </x:c>
      <x:c r="J6" s="85" t="n">
        <x:f>DATE(2026,8,17)+IF(G6="High",1,3)</x:f>
        <x:v>46252</x:v>
      </x:c>
      <x:c r="K6" s="87" t="str">
        <x:f>IF(ISNUMBER(SEARCH("No Dispatch",E6)),"Request dispatch confirmation in writing",IF(ISNUMBER(SEARCH("Status Not Updated",E6)),"Request written order-status correction",IF(ISNUMBER(SEARCH("Quantity",E6)),"Verify quantity against approved source","Compare duplicate/source records and document decision")))</x:f>
        <x:v>Verify quantity against approved source</x:v>
      </x:c>
      <x:c r="L6" s="87"/>
      <x:c r="M6" s="85"/>
      <x:c r="N6" s="75"/>
    </x:row>
    <x:row r="7" ht="32" customHeight="1">
      <x:c r="A7" s="72" t="str">
        <x:f>"ORD-CASE-"&amp;TEXT(ROW()-4,"000")</x:f>
        <x:v>ORD-CASE-003</x:v>
      </x:c>
      <x:c r="B7" s="72" t="str">
        <x:f>'Reconciliation'!A13</x:f>
        <x:v>ORD-1012</x:v>
      </x:c>
      <x:c r="C7" s="72" t="str">
        <x:f>'Reconciliation'!B13</x:f>
        <x:v>NHL-ST-007</x:v>
      </x:c>
      <x:c r="D7" s="72" t="str">
        <x:f>'Reconciliation'!C13</x:f>
        <x:v>Under-bed Storage Bin</x:v>
      </x:c>
      <x:c r="E7" s="86" t="str">
        <x:f>'Reconciliation'!K13</x:f>
        <x:v>Discrepancy: Quantity Mismatch</x:v>
      </x:c>
      <x:c r="F7" s="86" t="str">
        <x:f>IF('Reconciliation'!L13="","",'Reconciliation'!L13)</x:f>
        <x:v>qty short by 1, backfilled next batch</x:v>
      </x:c>
      <x:c r="G7" s="72" t="str">
        <x:f>IF(OR(ISNUMBER(SEARCH("Duplicate",E7)),ISNUMBER(SEARCH("Missing Order Quantity",E7))),"High","Medium")</x:f>
        <x:v>Medium</x:v>
      </x:c>
      <x:c r="H7" s="72" t="str">
        <x:f>IF(OR(ISNUMBER(SEARCH("No Dispatch",E7)),ISNUMBER(SEARCH("Quantity",E7))),"Warehouse Admin","Order Admin")</x:f>
        <x:v>Warehouse Admin</x:v>
      </x:c>
      <x:c r="I7" s="72" t="str">
        <x:v>Open</x:v>
      </x:c>
      <x:c r="J7" s="84" t="n">
        <x:f>DATE(2026,8,17)+IF(G7="High",1,3)</x:f>
        <x:v>46254</x:v>
      </x:c>
      <x:c r="K7" s="86" t="str">
        <x:f>IF(ISNUMBER(SEARCH("No Dispatch",E7)),"Request dispatch confirmation in writing",IF(ISNUMBER(SEARCH("Status Not Updated",E7)),"Request written order-status correction",IF(ISNUMBER(SEARCH("Quantity",E7)),"Verify quantity against approved source","Compare duplicate/source records and document decision")))</x:f>
        <x:v>Verify quantity against approved source</x:v>
      </x:c>
      <x:c r="L7" s="86"/>
      <x:c r="M7" s="84"/>
      <x:c r="N7" s="72"/>
    </x:row>
    <x:row r="8" ht="32" customHeight="1">
      <x:c r="A8" s="75" t="str">
        <x:f>"ORD-CASE-"&amp;TEXT(ROW()-4,"000")</x:f>
        <x:v>ORD-CASE-004</x:v>
      </x:c>
      <x:c r="B8" s="75" t="str">
        <x:f>'Reconciliation'!A14</x:f>
        <x:v>ORD-1013</x:v>
      </x:c>
      <x:c r="C8" s="75" t="str">
        <x:f>'Reconciliation'!B14</x:f>
        <x:v>NHL-CW-002</x:v>
      </x:c>
      <x:c r="D8" s="75" t="str">
        <x:f>'Reconciliation'!C14</x:f>
        <x:v>Non-Stick Frying Pan 26cm</x:v>
      </x:c>
      <x:c r="E8" s="87" t="str">
        <x:f>'Reconciliation'!K14</x:f>
        <x:v>Discrepancy: Dispatched but Order Status Not Updated (Reverse Traceability Gap)</x:v>
      </x:c>
      <x:c r="F8" s="87" t="str">
        <x:f>IF('Reconciliation'!L14="","",'Reconciliation'!L14)</x:f>
      </x:c>
      <x:c r="G8" s="75" t="str">
        <x:f>IF(OR(ISNUMBER(SEARCH("Duplicate",E8)),ISNUMBER(SEARCH("Missing Order Quantity",E8))),"High","Medium")</x:f>
        <x:v>Medium</x:v>
      </x:c>
      <x:c r="H8" s="75" t="str">
        <x:f>IF(OR(ISNUMBER(SEARCH("No Dispatch",E8)),ISNUMBER(SEARCH("Quantity",E8))),"Warehouse Admin","Order Admin")</x:f>
        <x:v>Order Admin</x:v>
      </x:c>
      <x:c r="I8" s="75" t="str">
        <x:v>Open</x:v>
      </x:c>
      <x:c r="J8" s="85" t="n">
        <x:f>DATE(2026,8,17)+IF(G8="High",1,3)</x:f>
        <x:v>46254</x:v>
      </x:c>
      <x:c r="K8" s="87" t="str">
        <x:f>IF(ISNUMBER(SEARCH("No Dispatch",E8)),"Request dispatch confirmation in writing",IF(ISNUMBER(SEARCH("Status Not Updated",E8)),"Request written order-status correction",IF(ISNUMBER(SEARCH("Quantity",E8)),"Verify quantity against approved source","Compare duplicate/source records and document decision")))</x:f>
        <x:v>Request written order-status correction</x:v>
      </x:c>
      <x:c r="L8" s="87"/>
      <x:c r="M8" s="85"/>
      <x:c r="N8" s="75"/>
    </x:row>
    <x:row r="9" ht="32" customHeight="1">
      <x:c r="A9" s="72" t="str">
        <x:f>"ORD-CASE-"&amp;TEXT(ROW()-4,"000")</x:f>
        <x:v>ORD-CASE-005</x:v>
      </x:c>
      <x:c r="B9" s="72" t="str">
        <x:f>'Reconciliation'!A16</x:f>
        <x:v>ORD-1015</x:v>
      </x:c>
      <x:c r="C9" s="72" t="str">
        <x:f>'Reconciliation'!B16</x:f>
        <x:v>NHL-CW-006</x:v>
      </x:c>
      <x:c r="D9" s="72" t="str">
        <x:f>'Reconciliation'!C16</x:f>
        <x:v>Electric Hand Mixer</x:v>
      </x:c>
      <x:c r="E9" s="86" t="str">
        <x:f>'Reconciliation'!K16</x:f>
        <x:v>Discrepancy: Dispatched but Order Status Not Updated (Reverse Traceability Gap)</x:v>
      </x:c>
      <x:c r="F9" s="86" t="str">
        <x:f>IF('Reconciliation'!L16="","",'Reconciliation'!L16)</x:f>
        <x:v>released from backorder</x:v>
      </x:c>
      <x:c r="G9" s="72" t="str">
        <x:f>IF(OR(ISNUMBER(SEARCH("Duplicate",E9)),ISNUMBER(SEARCH("Missing Order Quantity",E9))),"High","Medium")</x:f>
        <x:v>Medium</x:v>
      </x:c>
      <x:c r="H9" s="72" t="str">
        <x:f>IF(OR(ISNUMBER(SEARCH("No Dispatch",E9)),ISNUMBER(SEARCH("Quantity",E9))),"Warehouse Admin","Order Admin")</x:f>
        <x:v>Order Admin</x:v>
      </x:c>
      <x:c r="I9" s="72" t="str">
        <x:v>Open</x:v>
      </x:c>
      <x:c r="J9" s="84" t="n">
        <x:f>DATE(2026,8,17)+IF(G9="High",1,3)</x:f>
        <x:v>46254</x:v>
      </x:c>
      <x:c r="K9" s="86" t="str">
        <x:f>IF(ISNUMBER(SEARCH("No Dispatch",E9)),"Request dispatch confirmation in writing",IF(ISNUMBER(SEARCH("Status Not Updated",E9)),"Request written order-status correction",IF(ISNUMBER(SEARCH("Quantity",E9)),"Verify quantity against approved source","Compare duplicate/source records and document decision")))</x:f>
        <x:v>Request written order-status correction</x:v>
      </x:c>
      <x:c r="L9" s="86"/>
      <x:c r="M9" s="84"/>
      <x:c r="N9" s="72"/>
    </x:row>
    <x:row r="10" ht="32" customHeight="1">
      <x:c r="A10" s="75" t="str">
        <x:f>"ORD-CASE-"&amp;TEXT(ROW()-4,"000")</x:f>
        <x:v>ORD-CASE-006</x:v>
      </x:c>
      <x:c r="B10" s="75" t="str">
        <x:f>'Reconciliation'!A18</x:f>
        <x:v>ORD-1017</x:v>
      </x:c>
      <x:c r="C10" s="75" t="str">
        <x:f>'Reconciliation'!B18</x:f>
        <x:v>NHL-CW-003</x:v>
      </x:c>
      <x:c r="D10" s="75" t="str">
        <x:f>'Reconciliation'!C18</x:f>
        <x:v>Bamboo Cutting Board</x:v>
      </x:c>
      <x:c r="E10" s="87" t="str">
        <x:f>'Reconciliation'!K18</x:f>
        <x:v>Data Issue: Missing Order Quantity</x:v>
      </x:c>
      <x:c r="F10" s="87" t="str">
        <x:f>IF('Reconciliation'!L18="","",'Reconciliation'!L18)</x:f>
      </x:c>
      <x:c r="G10" s="75" t="str">
        <x:f>IF(OR(ISNUMBER(SEARCH("Duplicate",E10)),ISNUMBER(SEARCH("Missing Order Quantity",E10))),"High","Medium")</x:f>
        <x:v>High</x:v>
      </x:c>
      <x:c r="H10" s="75" t="str">
        <x:f>IF(OR(ISNUMBER(SEARCH("No Dispatch",E10)),ISNUMBER(SEARCH("Quantity",E10))),"Warehouse Admin","Order Admin")</x:f>
        <x:v>Warehouse Admin</x:v>
      </x:c>
      <x:c r="I10" s="75" t="str">
        <x:v>Open</x:v>
      </x:c>
      <x:c r="J10" s="85" t="n">
        <x:f>DATE(2026,8,17)+IF(G10="High",1,3)</x:f>
        <x:v>46252</x:v>
      </x:c>
      <x:c r="K10" s="87" t="str">
        <x:f>IF(ISNUMBER(SEARCH("No Dispatch",E10)),"Request dispatch confirmation in writing",IF(ISNUMBER(SEARCH("Status Not Updated",E10)),"Request written order-status correction",IF(ISNUMBER(SEARCH("Quantity",E10)),"Verify quantity against approved source","Compare duplicate/source records and document decision")))</x:f>
        <x:v>Verify quantity against approved source</x:v>
      </x:c>
      <x:c r="L10" s="87"/>
      <x:c r="M10" s="85"/>
      <x:c r="N10" s="75"/>
    </x:row>
    <x:row r="11" ht="32" customHeight="1">
      <x:c r="A11" s="72" t="str">
        <x:f>"ORD-CASE-"&amp;TEXT(ROW()-4,"000")</x:f>
        <x:v>ORD-CASE-007</x:v>
      </x:c>
      <x:c r="B11" s="72" t="str">
        <x:f>'Reconciliation'!A23</x:f>
        <x:v>ORD-1022</x:v>
      </x:c>
      <x:c r="C11" s="72" t="str">
        <x:f>'Reconciliation'!B23</x:f>
        <x:v>NHL-BD-011</x:v>
      </x:c>
      <x:c r="D11" s="72" t="str">
        <x:f>'Reconciliation'!C23</x:f>
        <x:v>Microfiber Pillowcase Pair</x:v>
      </x:c>
      <x:c r="E11" s="86" t="str">
        <x:f>'Reconciliation'!K23</x:f>
        <x:v>Discrepancy: Quantity Mismatch</x:v>
      </x:c>
      <x:c r="F11" s="86" t="str">
        <x:f>IF('Reconciliation'!L23="","",'Reconciliation'!L23)</x:f>
        <x:v>qty short by 2, item damaged in pick</x:v>
      </x:c>
      <x:c r="G11" s="72" t="str">
        <x:f>IF(OR(ISNUMBER(SEARCH("Duplicate",E11)),ISNUMBER(SEARCH("Missing Order Quantity",E11))),"High","Medium")</x:f>
        <x:v>Medium</x:v>
      </x:c>
      <x:c r="H11" s="72" t="str">
        <x:f>IF(OR(ISNUMBER(SEARCH("No Dispatch",E11)),ISNUMBER(SEARCH("Quantity",E11))),"Warehouse Admin","Order Admin")</x:f>
        <x:v>Warehouse Admin</x:v>
      </x:c>
      <x:c r="I11" s="72" t="str">
        <x:v>Open</x:v>
      </x:c>
      <x:c r="J11" s="84" t="n">
        <x:f>DATE(2026,8,17)+IF(G11="High",1,3)</x:f>
        <x:v>46254</x:v>
      </x:c>
      <x:c r="K11" s="86" t="str">
        <x:f>IF(ISNUMBER(SEARCH("No Dispatch",E11)),"Request dispatch confirmation in writing",IF(ISNUMBER(SEARCH("Status Not Updated",E11)),"Request written order-status correction",IF(ISNUMBER(SEARCH("Quantity",E11)),"Verify quantity against approved source","Compare duplicate/source records and document decision")))</x:f>
        <x:v>Verify quantity against approved source</x:v>
      </x:c>
      <x:c r="L11" s="86"/>
      <x:c r="M11" s="84"/>
      <x:c r="N11" s="72"/>
    </x:row>
    <x:row r="12" ht="32" customHeight="1">
      <x:c r="A12" s="75" t="str">
        <x:f>"ORD-CASE-"&amp;TEXT(ROW()-4,"000")</x:f>
        <x:v>ORD-CASE-008</x:v>
      </x:c>
      <x:c r="B12" s="75" t="str">
        <x:f>'Reconciliation'!A28</x:f>
        <x:v>ORD-1026</x:v>
      </x:c>
      <x:c r="C12" s="75" t="str">
        <x:f>'Reconciliation'!B28</x:f>
        <x:v>NHL-BD-014</x:v>
      </x:c>
      <x:c r="D12" s="75" t="str">
        <x:f>'Reconciliation'!C28</x:f>
        <x:v>Bamboo Laundry Hamper</x:v>
      </x:c>
      <x:c r="E12" s="87" t="str">
        <x:f>'Reconciliation'!K28</x:f>
        <x:v>Discrepancy: Shipped but No Dispatch Record (Traceability Gap)</x:v>
      </x:c>
      <x:c r="F12" s="87" t="str">
        <x:f>IF('Reconciliation'!L28="","",'Reconciliation'!L28)</x:f>
      </x:c>
      <x:c r="G12" s="75" t="str">
        <x:f>IF(OR(ISNUMBER(SEARCH("Duplicate",E12)),ISNUMBER(SEARCH("Missing Order Quantity",E12))),"High","Medium")</x:f>
        <x:v>Medium</x:v>
      </x:c>
      <x:c r="H12" s="75" t="str">
        <x:f>IF(OR(ISNUMBER(SEARCH("No Dispatch",E12)),ISNUMBER(SEARCH("Quantity",E12))),"Warehouse Admin","Order Admin")</x:f>
        <x:v>Warehouse Admin</x:v>
      </x:c>
      <x:c r="I12" s="75" t="str">
        <x:v>Open</x:v>
      </x:c>
      <x:c r="J12" s="85" t="n">
        <x:f>DATE(2026,8,17)+IF(G12="High",1,3)</x:f>
        <x:v>46254</x:v>
      </x:c>
      <x:c r="K12" s="87" t="str">
        <x:f>IF(ISNUMBER(SEARCH("No Dispatch",E12)),"Request dispatch confirmation in writing",IF(ISNUMBER(SEARCH("Status Not Updated",E12)),"Request written order-status correction",IF(ISNUMBER(SEARCH("Quantity",E12)),"Verify quantity against approved source","Compare duplicate/source records and document decision")))</x:f>
        <x:v>Request dispatch confirmation in writing</x:v>
      </x:c>
      <x:c r="L12" s="87"/>
      <x:c r="M12" s="85"/>
      <x:c r="N12" s="75"/>
    </x:row>
    <x:row r="13" ht="32" customHeight="1">
      <x:c r="A13" s="72" t="str">
        <x:f>"ORD-CASE-"&amp;TEXT(ROW()-4,"000")</x:f>
        <x:v>ORD-CASE-009</x:v>
      </x:c>
      <x:c r="B13" s="72" t="str">
        <x:f>'Reconciliation'!A31</x:f>
        <x:v>ORD-1029</x:v>
      </x:c>
      <x:c r="C13" s="72" t="str">
        <x:f>'Reconciliation'!B31</x:f>
        <x:v>NHL-CW-002</x:v>
      </x:c>
      <x:c r="D13" s="72" t="str">
        <x:f>'Reconciliation'!C31</x:f>
        <x:v>Non-Stick Frying Pan 26cm</x:v>
      </x:c>
      <x:c r="E13" s="86" t="str">
        <x:f>'Reconciliation'!K31</x:f>
        <x:v>Discrepancy: Dispatched but Order Status Not Updated (Reverse Traceability Gap)</x:v>
      </x:c>
      <x:c r="F13" s="86" t="str">
        <x:f>IF('Reconciliation'!L31="","",'Reconciliation'!L31)</x:f>
        <x:v>released from backorder</x:v>
      </x:c>
      <x:c r="G13" s="72" t="str">
        <x:f>IF(OR(ISNUMBER(SEARCH("Duplicate",E13)),ISNUMBER(SEARCH("Missing Order Quantity",E13))),"High","Medium")</x:f>
        <x:v>Medium</x:v>
      </x:c>
      <x:c r="H13" s="72" t="str">
        <x:f>IF(OR(ISNUMBER(SEARCH("No Dispatch",E13)),ISNUMBER(SEARCH("Quantity",E13))),"Warehouse Admin","Order Admin")</x:f>
        <x:v>Order Admin</x:v>
      </x:c>
      <x:c r="I13" s="72" t="str">
        <x:v>Open</x:v>
      </x:c>
      <x:c r="J13" s="84" t="n">
        <x:f>DATE(2026,8,17)+IF(G13="High",1,3)</x:f>
        <x:v>46254</x:v>
      </x:c>
      <x:c r="K13" s="86" t="str">
        <x:f>IF(ISNUMBER(SEARCH("No Dispatch",E13)),"Request dispatch confirmation in writing",IF(ISNUMBER(SEARCH("Status Not Updated",E13)),"Request written order-status correction",IF(ISNUMBER(SEARCH("Quantity",E13)),"Verify quantity against approved source","Compare duplicate/source records and document decision")))</x:f>
        <x:v>Request written order-status correction</x:v>
      </x:c>
      <x:c r="L13" s="86"/>
      <x:c r="M13" s="84"/>
      <x:c r="N13" s="72"/>
    </x:row>
    <x:row r="14" ht="32" customHeight="1">
      <x:c r="A14" s="75" t="str">
        <x:f>"ORD-CASE-"&amp;TEXT(ROW()-4,"000")</x:f>
        <x:v>ORD-CASE-010</x:v>
      </x:c>
      <x:c r="B14" s="75" t="str">
        <x:f>'Reconciliation'!A36</x:f>
        <x:v>ORD-1034</x:v>
      </x:c>
      <x:c r="C14" s="75" t="str">
        <x:f>'Reconciliation'!B36</x:f>
        <x:v>NHL-BD-013</x:v>
      </x:c>
      <x:c r="D14" s="75" t="str">
        <x:f>'Reconciliation'!C36</x:f>
        <x:v>Waterproof Mattress Protector</x:v>
      </x:c>
      <x:c r="E14" s="87" t="str">
        <x:f>'Reconciliation'!K36</x:f>
        <x:v>Discrepancy: Shipped but No Dispatch Record (Traceability Gap)</x:v>
      </x:c>
      <x:c r="F14" s="87" t="str">
        <x:f>IF('Reconciliation'!L36="","",'Reconciliation'!L36)</x:f>
      </x:c>
      <x:c r="G14" s="75" t="str">
        <x:f>IF(OR(ISNUMBER(SEARCH("Duplicate",E14)),ISNUMBER(SEARCH("Missing Order Quantity",E14))),"High","Medium")</x:f>
        <x:v>Medium</x:v>
      </x:c>
      <x:c r="H14" s="75" t="str">
        <x:f>IF(OR(ISNUMBER(SEARCH("No Dispatch",E14)),ISNUMBER(SEARCH("Quantity",E14))),"Warehouse Admin","Order Admin")</x:f>
        <x:v>Warehouse Admin</x:v>
      </x:c>
      <x:c r="I14" s="75" t="str">
        <x:v>Open</x:v>
      </x:c>
      <x:c r="J14" s="85" t="n">
        <x:f>DATE(2026,8,17)+IF(G14="High",1,3)</x:f>
        <x:v>46254</x:v>
      </x:c>
      <x:c r="K14" s="87" t="str">
        <x:f>IF(ISNUMBER(SEARCH("No Dispatch",E14)),"Request dispatch confirmation in writing",IF(ISNUMBER(SEARCH("Status Not Updated",E14)),"Request written order-status correction",IF(ISNUMBER(SEARCH("Quantity",E14)),"Verify quantity against approved source","Compare duplicate/source records and document decision")))</x:f>
        <x:v>Request dispatch confirmation in writing</x:v>
      </x:c>
      <x:c r="L14" s="87"/>
      <x:c r="M14" s="85"/>
      <x:c r="N14" s="75"/>
    </x:row>
  </x:sheetData>
  <x:mergeCells>
    <x:mergeCell ref="A1:N1"/>
    <x:mergeCell ref="A2:N2"/>
  </x:mergeCells>
  <x:dataValidations count="3">
    <x:dataValidation type="list" sqref="G5:G14">
      <x:formula1>"High,Medium,Low"</x:formula1>
    </x:dataValidation>
    <x:dataValidation type="list" sqref="H5:H14">
      <x:formula1>"Order Admin,Warehouse Admin"</x:formula1>
    </x:dataValidation>
    <x:dataValidation type="list" sqref="I5:I14">
      <x:formula1>"Open,In Progress,Waiting for Source,Resolved"</x:formula1>
    </x:dataValidation>
  </x:dataValidations>
  <x:pageMargins left="0.7" right="0.7" top="0.75" bottom="0.75" header="0.3" footer="0.3"/>
</x:worksheet>
</file>